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38d267aab82413e"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renzo\Downloads\"/>
    </mc:Choice>
  </mc:AlternateContent>
  <xr:revisionPtr revIDLastSave="0" documentId="13_ncr:1_{091CF3FF-387D-400E-A0A2-E8B8AF84D655}" xr6:coauthVersionLast="47" xr6:coauthVersionMax="47" xr10:uidLastSave="{00000000-0000-0000-0000-000000000000}"/>
  <bookViews>
    <workbookView xWindow="19080" yWindow="-120" windowWidth="15600" windowHeight="11160" tabRatio="705" firstSheet="1" activeTab="5" xr2:uid="{00000000-000D-0000-FFFF-FFFF00000000}"/>
  </bookViews>
  <sheets>
    <sheet name="About" sheetId="234" state="hidden" r:id="rId1"/>
    <sheet name="VRP Solver Console" sheetId="231" r:id="rId2"/>
    <sheet name="MultiLanguageMenuItems" sheetId="232" state="hidden" r:id="rId3"/>
    <sheet name="MultiLanguageInterface" sheetId="233" state="hidden" r:id="rId4"/>
    <sheet name="1. Locais" sheetId="243" r:id="rId5"/>
    <sheet name="2. Distâncias" sheetId="244" r:id="rId6"/>
    <sheet name="Planilha1" sheetId="245" r:id="rId7"/>
  </sheets>
  <functionGroups builtInGroupCount="19"/>
  <definedNames>
    <definedName name="_xlnm._FilterDatabase" localSheetId="3" hidden="1">MultiLanguageInterface!$A$1:$G$193</definedName>
    <definedName name="_xlnm._FilterDatabase" localSheetId="2" hidden="1">MultiLanguageMenuItems!$B$1:$C$26</definedName>
    <definedName name="languag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330" i="244" l="1"/>
  <c r="L2331" i="244"/>
  <c r="L2332" i="244"/>
  <c r="L2333" i="244"/>
  <c r="L2334" i="244"/>
  <c r="L2335" i="244"/>
  <c r="L2336" i="244"/>
  <c r="L2337" i="244"/>
  <c r="L2338" i="244"/>
  <c r="L2339" i="244"/>
  <c r="L2340" i="244"/>
  <c r="L2341" i="244"/>
  <c r="L2342" i="244"/>
  <c r="L2343" i="244"/>
  <c r="L2344" i="244"/>
  <c r="L2345" i="244"/>
  <c r="L2346" i="244"/>
  <c r="L2347" i="244"/>
  <c r="L2348" i="244"/>
  <c r="L2349" i="244"/>
  <c r="L2350" i="244"/>
  <c r="L2351" i="244"/>
  <c r="L2329" i="244"/>
  <c r="L2328" i="244"/>
  <c r="L2327" i="244"/>
  <c r="L2326" i="244"/>
  <c r="L2325" i="244"/>
  <c r="L2324" i="244"/>
  <c r="L3" i="244"/>
  <c r="L18" i="244"/>
  <c r="L19" i="244"/>
  <c r="L20" i="244"/>
  <c r="L21" i="244"/>
  <c r="L22" i="244"/>
  <c r="L23" i="244"/>
  <c r="L24" i="244"/>
  <c r="L25" i="244"/>
  <c r="L26" i="244"/>
  <c r="L27" i="244"/>
  <c r="L28" i="244"/>
  <c r="L29" i="244"/>
  <c r="L30" i="244"/>
  <c r="L31" i="244"/>
  <c r="L32" i="244"/>
  <c r="L33" i="244"/>
  <c r="L34" i="244"/>
  <c r="L35" i="244"/>
  <c r="L36" i="244"/>
  <c r="L37" i="244"/>
  <c r="L38" i="244"/>
  <c r="L39" i="244"/>
  <c r="L40" i="244"/>
  <c r="L41" i="244"/>
  <c r="L42" i="244"/>
  <c r="L43" i="244"/>
  <c r="L44" i="244"/>
  <c r="L45" i="244"/>
  <c r="L46" i="244"/>
  <c r="L47" i="244"/>
  <c r="L48" i="244"/>
  <c r="L49" i="244"/>
  <c r="L50" i="244"/>
  <c r="L51" i="244"/>
  <c r="L52" i="244"/>
  <c r="L53" i="244"/>
  <c r="L54" i="244"/>
  <c r="L55" i="244"/>
  <c r="L56" i="244"/>
  <c r="L57" i="244"/>
  <c r="L58" i="244"/>
  <c r="L59" i="244"/>
  <c r="L60" i="244"/>
  <c r="L61" i="244"/>
  <c r="L62" i="244"/>
  <c r="L63" i="244"/>
  <c r="L64" i="244"/>
  <c r="L65" i="244"/>
  <c r="L66" i="244"/>
  <c r="L67" i="244"/>
  <c r="L68" i="244"/>
  <c r="L69" i="244"/>
  <c r="L70" i="244"/>
  <c r="L71" i="244"/>
  <c r="L72" i="244"/>
  <c r="L73" i="244"/>
  <c r="L74" i="244"/>
  <c r="L75" i="244"/>
  <c r="L76" i="244"/>
  <c r="L77" i="244"/>
  <c r="L78" i="244"/>
  <c r="L79" i="244"/>
  <c r="L80" i="244"/>
  <c r="L81" i="244"/>
  <c r="L82" i="244"/>
  <c r="L83" i="244"/>
  <c r="L84" i="244"/>
  <c r="L85" i="244"/>
  <c r="L86" i="244"/>
  <c r="L87" i="244"/>
  <c r="L88" i="244"/>
  <c r="L89" i="244"/>
  <c r="L90" i="244"/>
  <c r="L91" i="244"/>
  <c r="L92" i="244"/>
  <c r="L93" i="244"/>
  <c r="L94" i="244"/>
  <c r="L95" i="244"/>
  <c r="L96" i="244"/>
  <c r="L97" i="244"/>
  <c r="L98" i="244"/>
  <c r="L99" i="244"/>
  <c r="L100" i="244"/>
  <c r="L101" i="244"/>
  <c r="L102" i="244"/>
  <c r="L103" i="244"/>
  <c r="L104" i="244"/>
  <c r="L105" i="244"/>
  <c r="L106" i="244"/>
  <c r="L107" i="244"/>
  <c r="L108" i="244"/>
  <c r="L109" i="244"/>
  <c r="L110" i="244"/>
  <c r="L111" i="244"/>
  <c r="L112" i="244"/>
  <c r="L113" i="244"/>
  <c r="L114" i="244"/>
  <c r="L115" i="244"/>
  <c r="L116" i="244"/>
  <c r="L117" i="244"/>
  <c r="L118" i="244"/>
  <c r="L119" i="244"/>
  <c r="L120" i="244"/>
  <c r="L121" i="244"/>
  <c r="L122" i="244"/>
  <c r="L123" i="244"/>
  <c r="L124" i="244"/>
  <c r="L125" i="244"/>
  <c r="L126" i="244"/>
  <c r="L127" i="244"/>
  <c r="L128" i="244"/>
  <c r="L129" i="244"/>
  <c r="L130" i="244"/>
  <c r="L131" i="244"/>
  <c r="L132" i="244"/>
  <c r="L133" i="244"/>
  <c r="L134" i="244"/>
  <c r="L135" i="244"/>
  <c r="L136" i="244"/>
  <c r="L137" i="244"/>
  <c r="L138" i="244"/>
  <c r="L139" i="244"/>
  <c r="L140" i="244"/>
  <c r="L141" i="244"/>
  <c r="L142" i="244"/>
  <c r="L143" i="244"/>
  <c r="L144" i="244"/>
  <c r="L145" i="244"/>
  <c r="L146" i="244"/>
  <c r="L147" i="244"/>
  <c r="L148" i="244"/>
  <c r="L149" i="244"/>
  <c r="L150" i="244"/>
  <c r="L151" i="244"/>
  <c r="L152" i="244"/>
  <c r="L153" i="244"/>
  <c r="L154" i="244"/>
  <c r="L155" i="244"/>
  <c r="L156" i="244"/>
  <c r="L157" i="244"/>
  <c r="L158" i="244"/>
  <c r="L159" i="244"/>
  <c r="L160" i="244"/>
  <c r="L161" i="244"/>
  <c r="L162" i="244"/>
  <c r="L163" i="244"/>
  <c r="L164" i="244"/>
  <c r="L165" i="244"/>
  <c r="L166" i="244"/>
  <c r="L167" i="244"/>
  <c r="L168" i="244"/>
  <c r="L169" i="244"/>
  <c r="L170" i="244"/>
  <c r="L171" i="244"/>
  <c r="L172" i="244"/>
  <c r="L173" i="244"/>
  <c r="L174" i="244"/>
  <c r="L175" i="244"/>
  <c r="L176" i="244"/>
  <c r="L177" i="244"/>
  <c r="L178" i="244"/>
  <c r="L179" i="244"/>
  <c r="L180" i="244"/>
  <c r="L181" i="244"/>
  <c r="L182" i="244"/>
  <c r="L183" i="244"/>
  <c r="L184" i="244"/>
  <c r="L185" i="244"/>
  <c r="L186" i="244"/>
  <c r="L187" i="244"/>
  <c r="L188" i="244"/>
  <c r="L189" i="244"/>
  <c r="L190" i="244"/>
  <c r="L191" i="244"/>
  <c r="L192" i="244"/>
  <c r="L193" i="244"/>
  <c r="L194" i="244"/>
  <c r="L195" i="244"/>
  <c r="L196" i="244"/>
  <c r="L197" i="244"/>
  <c r="L198" i="244"/>
  <c r="L199" i="244"/>
  <c r="L200" i="244"/>
  <c r="L201" i="244"/>
  <c r="L202" i="244"/>
  <c r="L203" i="244"/>
  <c r="L204" i="244"/>
  <c r="L205" i="244"/>
  <c r="L206" i="244"/>
  <c r="L207" i="244"/>
  <c r="L208" i="244"/>
  <c r="L209" i="244"/>
  <c r="L210" i="244"/>
  <c r="L211" i="244"/>
  <c r="L212" i="244"/>
  <c r="L213" i="244"/>
  <c r="L214" i="244"/>
  <c r="L215" i="244"/>
  <c r="L216" i="244"/>
  <c r="L217" i="244"/>
  <c r="L218" i="244"/>
  <c r="L219" i="244"/>
  <c r="L220" i="244"/>
  <c r="L221" i="244"/>
  <c r="L222" i="244"/>
  <c r="L223" i="244"/>
  <c r="L224" i="244"/>
  <c r="L225" i="244"/>
  <c r="L226" i="244"/>
  <c r="L227" i="244"/>
  <c r="L228" i="244"/>
  <c r="L229" i="244"/>
  <c r="L230" i="244"/>
  <c r="L231" i="244"/>
  <c r="L232" i="244"/>
  <c r="L233" i="244"/>
  <c r="L234" i="244"/>
  <c r="L235" i="244"/>
  <c r="L236" i="244"/>
  <c r="L237" i="244"/>
  <c r="L238" i="244"/>
  <c r="L239" i="244"/>
  <c r="L240" i="244"/>
  <c r="L241" i="244"/>
  <c r="L242" i="244"/>
  <c r="L243" i="244"/>
  <c r="L244" i="244"/>
  <c r="L245" i="244"/>
  <c r="L246" i="244"/>
  <c r="L247" i="244"/>
  <c r="L248" i="244"/>
  <c r="L249" i="244"/>
  <c r="L250" i="244"/>
  <c r="L251" i="244"/>
  <c r="L252" i="244"/>
  <c r="L253" i="244"/>
  <c r="L254" i="244"/>
  <c r="L255" i="244"/>
  <c r="L256" i="244"/>
  <c r="L257" i="244"/>
  <c r="L258" i="244"/>
  <c r="L259" i="244"/>
  <c r="L260" i="244"/>
  <c r="L261" i="244"/>
  <c r="L262" i="244"/>
  <c r="L263" i="244"/>
  <c r="L264" i="244"/>
  <c r="L265" i="244"/>
  <c r="L266" i="244"/>
  <c r="L267" i="244"/>
  <c r="L268" i="244"/>
  <c r="L269" i="244"/>
  <c r="L270" i="244"/>
  <c r="L271" i="244"/>
  <c r="L272" i="244"/>
  <c r="L273" i="244"/>
  <c r="L274" i="244"/>
  <c r="L275" i="244"/>
  <c r="L276" i="244"/>
  <c r="L277" i="244"/>
  <c r="L278" i="244"/>
  <c r="L279" i="244"/>
  <c r="L280" i="244"/>
  <c r="L281" i="244"/>
  <c r="L282" i="244"/>
  <c r="L283" i="244"/>
  <c r="L284" i="244"/>
  <c r="L285" i="244"/>
  <c r="L286" i="244"/>
  <c r="L287" i="244"/>
  <c r="L288" i="244"/>
  <c r="L289" i="244"/>
  <c r="L290" i="244"/>
  <c r="L291" i="244"/>
  <c r="L292" i="244"/>
  <c r="L293" i="244"/>
  <c r="L294" i="244"/>
  <c r="L295" i="244"/>
  <c r="L296" i="244"/>
  <c r="L297" i="244"/>
  <c r="L298" i="244"/>
  <c r="L299" i="244"/>
  <c r="L300" i="244"/>
  <c r="L301" i="244"/>
  <c r="L302" i="244"/>
  <c r="L303" i="244"/>
  <c r="L304" i="244"/>
  <c r="L305" i="244"/>
  <c r="L306" i="244"/>
  <c r="L307" i="244"/>
  <c r="L308" i="244"/>
  <c r="L309" i="244"/>
  <c r="L310" i="244"/>
  <c r="L311" i="244"/>
  <c r="L312" i="244"/>
  <c r="L313" i="244"/>
  <c r="L314" i="244"/>
  <c r="L315" i="244"/>
  <c r="L316" i="244"/>
  <c r="L317" i="244"/>
  <c r="L318" i="244"/>
  <c r="L319" i="244"/>
  <c r="L320" i="244"/>
  <c r="L321" i="244"/>
  <c r="L322" i="244"/>
  <c r="L323" i="244"/>
  <c r="L324" i="244"/>
  <c r="L325" i="244"/>
  <c r="L326" i="244"/>
  <c r="L327" i="244"/>
  <c r="L328" i="244"/>
  <c r="L329" i="244"/>
  <c r="L330" i="244"/>
  <c r="L331" i="244"/>
  <c r="L332" i="244"/>
  <c r="L333" i="244"/>
  <c r="L334" i="244"/>
  <c r="L335" i="244"/>
  <c r="L336" i="244"/>
  <c r="L337" i="244"/>
  <c r="L338" i="244"/>
  <c r="L339" i="244"/>
  <c r="L340" i="244"/>
  <c r="L341" i="244"/>
  <c r="L342" i="244"/>
  <c r="L343" i="244"/>
  <c r="L344" i="244"/>
  <c r="L345" i="244"/>
  <c r="L346" i="244"/>
  <c r="L347" i="244"/>
  <c r="L348" i="244"/>
  <c r="L349" i="244"/>
  <c r="L350" i="244"/>
  <c r="L351" i="244"/>
  <c r="L352" i="244"/>
  <c r="L353" i="244"/>
  <c r="L354" i="244"/>
  <c r="L355" i="244"/>
  <c r="L356" i="244"/>
  <c r="L357" i="244"/>
  <c r="L358" i="244"/>
  <c r="L359" i="244"/>
  <c r="L360" i="244"/>
  <c r="L361" i="244"/>
  <c r="L362" i="244"/>
  <c r="L363" i="244"/>
  <c r="L364" i="244"/>
  <c r="L365" i="244"/>
  <c r="L366" i="244"/>
  <c r="L367" i="244"/>
  <c r="L368" i="244"/>
  <c r="L369" i="244"/>
  <c r="L370" i="244"/>
  <c r="L371" i="244"/>
  <c r="L372" i="244"/>
  <c r="L373" i="244"/>
  <c r="L374" i="244"/>
  <c r="L375" i="244"/>
  <c r="L376" i="244"/>
  <c r="L377" i="244"/>
  <c r="L378" i="244"/>
  <c r="L379" i="244"/>
  <c r="L380" i="244"/>
  <c r="L381" i="244"/>
  <c r="L382" i="244"/>
  <c r="L383" i="244"/>
  <c r="L384" i="244"/>
  <c r="L385" i="244"/>
  <c r="L386" i="244"/>
  <c r="L387" i="244"/>
  <c r="L388" i="244"/>
  <c r="L389" i="244"/>
  <c r="L390" i="244"/>
  <c r="L391" i="244"/>
  <c r="L392" i="244"/>
  <c r="L393" i="244"/>
  <c r="L394" i="244"/>
  <c r="L395" i="244"/>
  <c r="L396" i="244"/>
  <c r="L397" i="244"/>
  <c r="L398" i="244"/>
  <c r="L399" i="244"/>
  <c r="L400" i="244"/>
  <c r="L401" i="244"/>
  <c r="L402" i="244"/>
  <c r="L403" i="244"/>
  <c r="L404" i="244"/>
  <c r="L405" i="244"/>
  <c r="L406" i="244"/>
  <c r="L407" i="244"/>
  <c r="L408" i="244"/>
  <c r="L409" i="244"/>
  <c r="L410" i="244"/>
  <c r="L411" i="244"/>
  <c r="L412" i="244"/>
  <c r="L413" i="244"/>
  <c r="L414" i="244"/>
  <c r="L415" i="244"/>
  <c r="L416" i="244"/>
  <c r="L417" i="244"/>
  <c r="L418" i="244"/>
  <c r="L419" i="244"/>
  <c r="L420" i="244"/>
  <c r="L421" i="244"/>
  <c r="L422" i="244"/>
  <c r="L423" i="244"/>
  <c r="L424" i="244"/>
  <c r="L425" i="244"/>
  <c r="L426" i="244"/>
  <c r="L427" i="244"/>
  <c r="L428" i="244"/>
  <c r="L429" i="244"/>
  <c r="L430" i="244"/>
  <c r="L431" i="244"/>
  <c r="L432" i="244"/>
  <c r="L433" i="244"/>
  <c r="L434" i="244"/>
  <c r="L435" i="244"/>
  <c r="L436" i="244"/>
  <c r="L437" i="244"/>
  <c r="L438" i="244"/>
  <c r="L439" i="244"/>
  <c r="L440" i="244"/>
  <c r="L441" i="244"/>
  <c r="L442" i="244"/>
  <c r="L443" i="244"/>
  <c r="L444" i="244"/>
  <c r="L445" i="244"/>
  <c r="L446" i="244"/>
  <c r="L447" i="244"/>
  <c r="L448" i="244"/>
  <c r="L449" i="244"/>
  <c r="L450" i="244"/>
  <c r="L451" i="244"/>
  <c r="L452" i="244"/>
  <c r="L453" i="244"/>
  <c r="L454" i="244"/>
  <c r="L455" i="244"/>
  <c r="L456" i="244"/>
  <c r="L457" i="244"/>
  <c r="L458" i="244"/>
  <c r="L459" i="244"/>
  <c r="L460" i="244"/>
  <c r="L461" i="244"/>
  <c r="L462" i="244"/>
  <c r="L463" i="244"/>
  <c r="L464" i="244"/>
  <c r="L465" i="244"/>
  <c r="L466" i="244"/>
  <c r="L467" i="244"/>
  <c r="L468" i="244"/>
  <c r="L469" i="244"/>
  <c r="L470" i="244"/>
  <c r="L471" i="244"/>
  <c r="L472" i="244"/>
  <c r="L473" i="244"/>
  <c r="L474" i="244"/>
  <c r="L475" i="244"/>
  <c r="L476" i="244"/>
  <c r="L477" i="244"/>
  <c r="L478" i="244"/>
  <c r="L479" i="244"/>
  <c r="L480" i="244"/>
  <c r="L481" i="244"/>
  <c r="L482" i="244"/>
  <c r="L483" i="244"/>
  <c r="L484" i="244"/>
  <c r="L485" i="244"/>
  <c r="L486" i="244"/>
  <c r="L487" i="244"/>
  <c r="L488" i="244"/>
  <c r="L489" i="244"/>
  <c r="L490" i="244"/>
  <c r="L491" i="244"/>
  <c r="L492" i="244"/>
  <c r="L493" i="244"/>
  <c r="L494" i="244"/>
  <c r="L495" i="244"/>
  <c r="L496" i="244"/>
  <c r="L497" i="244"/>
  <c r="L498" i="244"/>
  <c r="L499" i="244"/>
  <c r="L500" i="244"/>
  <c r="L501" i="244"/>
  <c r="L502" i="244"/>
  <c r="L503" i="244"/>
  <c r="L504" i="244"/>
  <c r="L505" i="244"/>
  <c r="L506" i="244"/>
  <c r="L507" i="244"/>
  <c r="L508" i="244"/>
  <c r="L509" i="244"/>
  <c r="L510" i="244"/>
  <c r="L511" i="244"/>
  <c r="L512" i="244"/>
  <c r="L513" i="244"/>
  <c r="L514" i="244"/>
  <c r="L515" i="244"/>
  <c r="L516" i="244"/>
  <c r="L517" i="244"/>
  <c r="L518" i="244"/>
  <c r="L519" i="244"/>
  <c r="L520" i="244"/>
  <c r="L521" i="244"/>
  <c r="L522" i="244"/>
  <c r="L523" i="244"/>
  <c r="L524" i="244"/>
  <c r="L525" i="244"/>
  <c r="L526" i="244"/>
  <c r="L527" i="244"/>
  <c r="L528" i="244"/>
  <c r="L529" i="244"/>
  <c r="L530" i="244"/>
  <c r="L531" i="244"/>
  <c r="L532" i="244"/>
  <c r="L533" i="244"/>
  <c r="L534" i="244"/>
  <c r="L535" i="244"/>
  <c r="L536" i="244"/>
  <c r="L537" i="244"/>
  <c r="L538" i="244"/>
  <c r="L539" i="244"/>
  <c r="L540" i="244"/>
  <c r="L541" i="244"/>
  <c r="L542" i="244"/>
  <c r="L543" i="244"/>
  <c r="L544" i="244"/>
  <c r="L545" i="244"/>
  <c r="L546" i="244"/>
  <c r="L547" i="244"/>
  <c r="L548" i="244"/>
  <c r="L549" i="244"/>
  <c r="L550" i="244"/>
  <c r="L551" i="244"/>
  <c r="L552" i="244"/>
  <c r="L553" i="244"/>
  <c r="L554" i="244"/>
  <c r="L555" i="244"/>
  <c r="L556" i="244"/>
  <c r="L557" i="244"/>
  <c r="L558" i="244"/>
  <c r="L559" i="244"/>
  <c r="L560" i="244"/>
  <c r="L561" i="244"/>
  <c r="L562" i="244"/>
  <c r="L563" i="244"/>
  <c r="L564" i="244"/>
  <c r="L565" i="244"/>
  <c r="L566" i="244"/>
  <c r="L567" i="244"/>
  <c r="L568" i="244"/>
  <c r="L569" i="244"/>
  <c r="L570" i="244"/>
  <c r="L571" i="244"/>
  <c r="L572" i="244"/>
  <c r="L573" i="244"/>
  <c r="L574" i="244"/>
  <c r="L575" i="244"/>
  <c r="L576" i="244"/>
  <c r="L577" i="244"/>
  <c r="L578" i="244"/>
  <c r="L579" i="244"/>
  <c r="L580" i="244"/>
  <c r="L581" i="244"/>
  <c r="L582" i="244"/>
  <c r="L583" i="244"/>
  <c r="L584" i="244"/>
  <c r="L585" i="244"/>
  <c r="L586" i="244"/>
  <c r="L587" i="244"/>
  <c r="L588" i="244"/>
  <c r="L589" i="244"/>
  <c r="L590" i="244"/>
  <c r="L591" i="244"/>
  <c r="L592" i="244"/>
  <c r="L593" i="244"/>
  <c r="L594" i="244"/>
  <c r="L595" i="244"/>
  <c r="L596" i="244"/>
  <c r="L597" i="244"/>
  <c r="L598" i="244"/>
  <c r="L599" i="244"/>
  <c r="L600" i="244"/>
  <c r="L601" i="244"/>
  <c r="L602" i="244"/>
  <c r="L603" i="244"/>
  <c r="L604" i="244"/>
  <c r="L605" i="244"/>
  <c r="L606" i="244"/>
  <c r="L607" i="244"/>
  <c r="L608" i="244"/>
  <c r="L609" i="244"/>
  <c r="L610" i="244"/>
  <c r="L611" i="244"/>
  <c r="L612" i="244"/>
  <c r="L613" i="244"/>
  <c r="L614" i="244"/>
  <c r="L615" i="244"/>
  <c r="L616" i="244"/>
  <c r="L617" i="244"/>
  <c r="L618" i="244"/>
  <c r="L619" i="244"/>
  <c r="L620" i="244"/>
  <c r="L621" i="244"/>
  <c r="L622" i="244"/>
  <c r="L623" i="244"/>
  <c r="L624" i="244"/>
  <c r="L625" i="244"/>
  <c r="L626" i="244"/>
  <c r="L627" i="244"/>
  <c r="L628" i="244"/>
  <c r="L629" i="244"/>
  <c r="L630" i="244"/>
  <c r="L631" i="244"/>
  <c r="L632" i="244"/>
  <c r="L633" i="244"/>
  <c r="L634" i="244"/>
  <c r="L635" i="244"/>
  <c r="L636" i="244"/>
  <c r="L637" i="244"/>
  <c r="L638" i="244"/>
  <c r="L639" i="244"/>
  <c r="L640" i="244"/>
  <c r="L641" i="244"/>
  <c r="L642" i="244"/>
  <c r="L643" i="244"/>
  <c r="L644" i="244"/>
  <c r="L645" i="244"/>
  <c r="L646" i="244"/>
  <c r="L647" i="244"/>
  <c r="L648" i="244"/>
  <c r="L649" i="244"/>
  <c r="L650" i="244"/>
  <c r="L651" i="244"/>
  <c r="L652" i="244"/>
  <c r="L653" i="244"/>
  <c r="L654" i="244"/>
  <c r="L655" i="244"/>
  <c r="L656" i="244"/>
  <c r="L657" i="244"/>
  <c r="L658" i="244"/>
  <c r="L659" i="244"/>
  <c r="L660" i="244"/>
  <c r="L661" i="244"/>
  <c r="L662" i="244"/>
  <c r="L663" i="244"/>
  <c r="L664" i="244"/>
  <c r="L665" i="244"/>
  <c r="L666" i="244"/>
  <c r="L667" i="244"/>
  <c r="L668" i="244"/>
  <c r="L669" i="244"/>
  <c r="L670" i="244"/>
  <c r="L671" i="244"/>
  <c r="L672" i="244"/>
  <c r="L673" i="244"/>
  <c r="L674" i="244"/>
  <c r="L675" i="244"/>
  <c r="L676" i="244"/>
  <c r="L677" i="244"/>
  <c r="L678" i="244"/>
  <c r="L679" i="244"/>
  <c r="L680" i="244"/>
  <c r="L681" i="244"/>
  <c r="L682" i="244"/>
  <c r="L683" i="244"/>
  <c r="L684" i="244"/>
  <c r="L685" i="244"/>
  <c r="L686" i="244"/>
  <c r="L687" i="244"/>
  <c r="L688" i="244"/>
  <c r="L689" i="244"/>
  <c r="L690" i="244"/>
  <c r="L691" i="244"/>
  <c r="L692" i="244"/>
  <c r="L693" i="244"/>
  <c r="L694" i="244"/>
  <c r="L695" i="244"/>
  <c r="L696" i="244"/>
  <c r="L697" i="244"/>
  <c r="L698" i="244"/>
  <c r="L699" i="244"/>
  <c r="L700" i="244"/>
  <c r="L701" i="244"/>
  <c r="L702" i="244"/>
  <c r="L703" i="244"/>
  <c r="L704" i="244"/>
  <c r="L705" i="244"/>
  <c r="L706" i="244"/>
  <c r="L707" i="244"/>
  <c r="L708" i="244"/>
  <c r="L709" i="244"/>
  <c r="L710" i="244"/>
  <c r="L711" i="244"/>
  <c r="L712" i="244"/>
  <c r="L713" i="244"/>
  <c r="L714" i="244"/>
  <c r="L715" i="244"/>
  <c r="L716" i="244"/>
  <c r="L717" i="244"/>
  <c r="L718" i="244"/>
  <c r="L719" i="244"/>
  <c r="L720" i="244"/>
  <c r="L721" i="244"/>
  <c r="L722" i="244"/>
  <c r="L723" i="244"/>
  <c r="L724" i="244"/>
  <c r="L725" i="244"/>
  <c r="L726" i="244"/>
  <c r="L727" i="244"/>
  <c r="L728" i="244"/>
  <c r="L729" i="244"/>
  <c r="L730" i="244"/>
  <c r="L731" i="244"/>
  <c r="L732" i="244"/>
  <c r="L733" i="244"/>
  <c r="L734" i="244"/>
  <c r="L735" i="244"/>
  <c r="L736" i="244"/>
  <c r="L737" i="244"/>
  <c r="L738" i="244"/>
  <c r="L739" i="244"/>
  <c r="L740" i="244"/>
  <c r="L741" i="244"/>
  <c r="L742" i="244"/>
  <c r="L743" i="244"/>
  <c r="L744" i="244"/>
  <c r="L745" i="244"/>
  <c r="L746" i="244"/>
  <c r="L747" i="244"/>
  <c r="L748" i="244"/>
  <c r="L749" i="244"/>
  <c r="L750" i="244"/>
  <c r="L751" i="244"/>
  <c r="L752" i="244"/>
  <c r="L753" i="244"/>
  <c r="L754" i="244"/>
  <c r="L755" i="244"/>
  <c r="L756" i="244"/>
  <c r="L757" i="244"/>
  <c r="L758" i="244"/>
  <c r="L759" i="244"/>
  <c r="L760" i="244"/>
  <c r="L761" i="244"/>
  <c r="L762" i="244"/>
  <c r="L763" i="244"/>
  <c r="L764" i="244"/>
  <c r="L765" i="244"/>
  <c r="L766" i="244"/>
  <c r="L767" i="244"/>
  <c r="L768" i="244"/>
  <c r="L769" i="244"/>
  <c r="L770" i="244"/>
  <c r="L771" i="244"/>
  <c r="L772" i="244"/>
  <c r="L773" i="244"/>
  <c r="L774" i="244"/>
  <c r="L775" i="244"/>
  <c r="L776" i="244"/>
  <c r="L777" i="244"/>
  <c r="L778" i="244"/>
  <c r="L779" i="244"/>
  <c r="L780" i="244"/>
  <c r="L781" i="244"/>
  <c r="L782" i="244"/>
  <c r="L783" i="244"/>
  <c r="L784" i="244"/>
  <c r="L785" i="244"/>
  <c r="L786" i="244"/>
  <c r="L787" i="244"/>
  <c r="L788" i="244"/>
  <c r="L789" i="244"/>
  <c r="L790" i="244"/>
  <c r="L791" i="244"/>
  <c r="L792" i="244"/>
  <c r="L793" i="244"/>
  <c r="L794" i="244"/>
  <c r="L795" i="244"/>
  <c r="L796" i="244"/>
  <c r="L797" i="244"/>
  <c r="L798" i="244"/>
  <c r="L799" i="244"/>
  <c r="L800" i="244"/>
  <c r="L801" i="244"/>
  <c r="L802" i="244"/>
  <c r="L803" i="244"/>
  <c r="L804" i="244"/>
  <c r="L805" i="244"/>
  <c r="L806" i="244"/>
  <c r="L807" i="244"/>
  <c r="L808" i="244"/>
  <c r="L809" i="244"/>
  <c r="L810" i="244"/>
  <c r="L811" i="244"/>
  <c r="L812" i="244"/>
  <c r="L813" i="244"/>
  <c r="L814" i="244"/>
  <c r="L815" i="244"/>
  <c r="L816" i="244"/>
  <c r="L817" i="244"/>
  <c r="L818" i="244"/>
  <c r="L819" i="244"/>
  <c r="L820" i="244"/>
  <c r="L821" i="244"/>
  <c r="L822" i="244"/>
  <c r="L823" i="244"/>
  <c r="L824" i="244"/>
  <c r="L825" i="244"/>
  <c r="L826" i="244"/>
  <c r="L827" i="244"/>
  <c r="L828" i="244"/>
  <c r="L829" i="244"/>
  <c r="L830" i="244"/>
  <c r="L831" i="244"/>
  <c r="L832" i="244"/>
  <c r="L833" i="244"/>
  <c r="L834" i="244"/>
  <c r="L835" i="244"/>
  <c r="L836" i="244"/>
  <c r="L837" i="244"/>
  <c r="L838" i="244"/>
  <c r="L839" i="244"/>
  <c r="L840" i="244"/>
  <c r="L841" i="244"/>
  <c r="L842" i="244"/>
  <c r="L843" i="244"/>
  <c r="L844" i="244"/>
  <c r="L845" i="244"/>
  <c r="L846" i="244"/>
  <c r="L847" i="244"/>
  <c r="L848" i="244"/>
  <c r="L849" i="244"/>
  <c r="L850" i="244"/>
  <c r="L851" i="244"/>
  <c r="L852" i="244"/>
  <c r="L853" i="244"/>
  <c r="L854" i="244"/>
  <c r="L855" i="244"/>
  <c r="L856" i="244"/>
  <c r="L857" i="244"/>
  <c r="L858" i="244"/>
  <c r="L859" i="244"/>
  <c r="L860" i="244"/>
  <c r="L861" i="244"/>
  <c r="L862" i="244"/>
  <c r="L863" i="244"/>
  <c r="L864" i="244"/>
  <c r="L865" i="244"/>
  <c r="L866" i="244"/>
  <c r="L867" i="244"/>
  <c r="L868" i="244"/>
  <c r="L869" i="244"/>
  <c r="L870" i="244"/>
  <c r="L871" i="244"/>
  <c r="L872" i="244"/>
  <c r="L873" i="244"/>
  <c r="L874" i="244"/>
  <c r="L875" i="244"/>
  <c r="L876" i="244"/>
  <c r="L877" i="244"/>
  <c r="L878" i="244"/>
  <c r="L879" i="244"/>
  <c r="L880" i="244"/>
  <c r="L881" i="244"/>
  <c r="L882" i="244"/>
  <c r="L883" i="244"/>
  <c r="L884" i="244"/>
  <c r="L885" i="244"/>
  <c r="L886" i="244"/>
  <c r="L887" i="244"/>
  <c r="L888" i="244"/>
  <c r="L889" i="244"/>
  <c r="L890" i="244"/>
  <c r="L891" i="244"/>
  <c r="L892" i="244"/>
  <c r="L893" i="244"/>
  <c r="L894" i="244"/>
  <c r="L895" i="244"/>
  <c r="L896" i="244"/>
  <c r="L897" i="244"/>
  <c r="L898" i="244"/>
  <c r="L899" i="244"/>
  <c r="L900" i="244"/>
  <c r="L901" i="244"/>
  <c r="L902" i="244"/>
  <c r="L903" i="244"/>
  <c r="L904" i="244"/>
  <c r="L905" i="244"/>
  <c r="L906" i="244"/>
  <c r="L907" i="244"/>
  <c r="L908" i="244"/>
  <c r="L909" i="244"/>
  <c r="L910" i="244"/>
  <c r="L911" i="244"/>
  <c r="L912" i="244"/>
  <c r="L913" i="244"/>
  <c r="L914" i="244"/>
  <c r="L915" i="244"/>
  <c r="L916" i="244"/>
  <c r="L917" i="244"/>
  <c r="L918" i="244"/>
  <c r="L919" i="244"/>
  <c r="L920" i="244"/>
  <c r="L921" i="244"/>
  <c r="L922" i="244"/>
  <c r="L923" i="244"/>
  <c r="L924" i="244"/>
  <c r="L925" i="244"/>
  <c r="L926" i="244"/>
  <c r="L927" i="244"/>
  <c r="L928" i="244"/>
  <c r="L929" i="244"/>
  <c r="L930" i="244"/>
  <c r="L931" i="244"/>
  <c r="L932" i="244"/>
  <c r="L933" i="244"/>
  <c r="L934" i="244"/>
  <c r="L935" i="244"/>
  <c r="L936" i="244"/>
  <c r="L937" i="244"/>
  <c r="L938" i="244"/>
  <c r="L939" i="244"/>
  <c r="L940" i="244"/>
  <c r="L941" i="244"/>
  <c r="L942" i="244"/>
  <c r="L943" i="244"/>
  <c r="L944" i="244"/>
  <c r="L945" i="244"/>
  <c r="L946" i="244"/>
  <c r="L947" i="244"/>
  <c r="L948" i="244"/>
  <c r="L949" i="244"/>
  <c r="L950" i="244"/>
  <c r="L951" i="244"/>
  <c r="L952" i="244"/>
  <c r="L953" i="244"/>
  <c r="L954" i="244"/>
  <c r="L955" i="244"/>
  <c r="L956" i="244"/>
  <c r="L957" i="244"/>
  <c r="L958" i="244"/>
  <c r="L959" i="244"/>
  <c r="L960" i="244"/>
  <c r="L961" i="244"/>
  <c r="L962" i="244"/>
  <c r="L963" i="244"/>
  <c r="L964" i="244"/>
  <c r="L965" i="244"/>
  <c r="L966" i="244"/>
  <c r="L967" i="244"/>
  <c r="L968" i="244"/>
  <c r="L969" i="244"/>
  <c r="L970" i="244"/>
  <c r="L971" i="244"/>
  <c r="L972" i="244"/>
  <c r="L973" i="244"/>
  <c r="L974" i="244"/>
  <c r="L975" i="244"/>
  <c r="L976" i="244"/>
  <c r="L977" i="244"/>
  <c r="L978" i="244"/>
  <c r="L979" i="244"/>
  <c r="L980" i="244"/>
  <c r="L981" i="244"/>
  <c r="L982" i="244"/>
  <c r="L983" i="244"/>
  <c r="L984" i="244"/>
  <c r="L985" i="244"/>
  <c r="L986" i="244"/>
  <c r="L987" i="244"/>
  <c r="L988" i="244"/>
  <c r="L989" i="244"/>
  <c r="L990" i="244"/>
  <c r="L991" i="244"/>
  <c r="L992" i="244"/>
  <c r="L993" i="244"/>
  <c r="L994" i="244"/>
  <c r="L995" i="244"/>
  <c r="L996" i="244"/>
  <c r="L997" i="244"/>
  <c r="L998" i="244"/>
  <c r="L999" i="244"/>
  <c r="L1000" i="244"/>
  <c r="L1001" i="244"/>
  <c r="L1002" i="244"/>
  <c r="L1003" i="244"/>
  <c r="L1004" i="244"/>
  <c r="L1005" i="244"/>
  <c r="L1006" i="244"/>
  <c r="L1007" i="244"/>
  <c r="L1008" i="244"/>
  <c r="L1009" i="244"/>
  <c r="L1010" i="244"/>
  <c r="L1011" i="244"/>
  <c r="L1012" i="244"/>
  <c r="L1013" i="244"/>
  <c r="L1014" i="244"/>
  <c r="L1015" i="244"/>
  <c r="L1016" i="244"/>
  <c r="L1017" i="244"/>
  <c r="L1018" i="244"/>
  <c r="L1019" i="244"/>
  <c r="L1020" i="244"/>
  <c r="L1021" i="244"/>
  <c r="L1022" i="244"/>
  <c r="L1023" i="244"/>
  <c r="L1024" i="244"/>
  <c r="L1025" i="244"/>
  <c r="L1026" i="244"/>
  <c r="L1027" i="244"/>
  <c r="L1028" i="244"/>
  <c r="L1029" i="244"/>
  <c r="L1030" i="244"/>
  <c r="L1031" i="244"/>
  <c r="L1032" i="244"/>
  <c r="L1033" i="244"/>
  <c r="L1034" i="244"/>
  <c r="L1035" i="244"/>
  <c r="L1036" i="244"/>
  <c r="L1037" i="244"/>
  <c r="L1038" i="244"/>
  <c r="L1039" i="244"/>
  <c r="L1040" i="244"/>
  <c r="L1041" i="244"/>
  <c r="L1042" i="244"/>
  <c r="L1043" i="244"/>
  <c r="L1044" i="244"/>
  <c r="L1045" i="244"/>
  <c r="L1046" i="244"/>
  <c r="L1047" i="244"/>
  <c r="L1048" i="244"/>
  <c r="L1049" i="244"/>
  <c r="L1050" i="244"/>
  <c r="L1051" i="244"/>
  <c r="L1052" i="244"/>
  <c r="L1053" i="244"/>
  <c r="L1054" i="244"/>
  <c r="L1055" i="244"/>
  <c r="L1056" i="244"/>
  <c r="L1057" i="244"/>
  <c r="L1058" i="244"/>
  <c r="L1059" i="244"/>
  <c r="L1060" i="244"/>
  <c r="L1061" i="244"/>
  <c r="L1062" i="244"/>
  <c r="L1063" i="244"/>
  <c r="L1064" i="244"/>
  <c r="L1065" i="244"/>
  <c r="L1066" i="244"/>
  <c r="L1067" i="244"/>
  <c r="L1068" i="244"/>
  <c r="L1069" i="244"/>
  <c r="L1070" i="244"/>
  <c r="L1071" i="244"/>
  <c r="L1072" i="244"/>
  <c r="L1073" i="244"/>
  <c r="L1074" i="244"/>
  <c r="L1075" i="244"/>
  <c r="L1076" i="244"/>
  <c r="L1077" i="244"/>
  <c r="L1078" i="244"/>
  <c r="L1079" i="244"/>
  <c r="L1080" i="244"/>
  <c r="L1081" i="244"/>
  <c r="L1082" i="244"/>
  <c r="L1083" i="244"/>
  <c r="L1084" i="244"/>
  <c r="L1085" i="244"/>
  <c r="L1086" i="244"/>
  <c r="L1087" i="244"/>
  <c r="L1088" i="244"/>
  <c r="L1089" i="244"/>
  <c r="L1090" i="244"/>
  <c r="L1091" i="244"/>
  <c r="L1092" i="244"/>
  <c r="L1093" i="244"/>
  <c r="L1094" i="244"/>
  <c r="L1095" i="244"/>
  <c r="L1096" i="244"/>
  <c r="L1097" i="244"/>
  <c r="L1098" i="244"/>
  <c r="L1099" i="244"/>
  <c r="L1100" i="244"/>
  <c r="L1101" i="244"/>
  <c r="L1102" i="244"/>
  <c r="L1103" i="244"/>
  <c r="L1104" i="244"/>
  <c r="L1105" i="244"/>
  <c r="L1106" i="244"/>
  <c r="L1107" i="244"/>
  <c r="L1108" i="244"/>
  <c r="L1109" i="244"/>
  <c r="L1110" i="244"/>
  <c r="L1111" i="244"/>
  <c r="L1112" i="244"/>
  <c r="L1113" i="244"/>
  <c r="L1114" i="244"/>
  <c r="L1115" i="244"/>
  <c r="L1116" i="244"/>
  <c r="L1117" i="244"/>
  <c r="L1118" i="244"/>
  <c r="L1119" i="244"/>
  <c r="L1120" i="244"/>
  <c r="L1121" i="244"/>
  <c r="L1122" i="244"/>
  <c r="L1123" i="244"/>
  <c r="L1124" i="244"/>
  <c r="L1125" i="244"/>
  <c r="L1126" i="244"/>
  <c r="L1127" i="244"/>
  <c r="L1128" i="244"/>
  <c r="L1129" i="244"/>
  <c r="L1130" i="244"/>
  <c r="L1131" i="244"/>
  <c r="L1132" i="244"/>
  <c r="L1133" i="244"/>
  <c r="L1134" i="244"/>
  <c r="L1135" i="244"/>
  <c r="L1136" i="244"/>
  <c r="L1137" i="244"/>
  <c r="L1138" i="244"/>
  <c r="L1139" i="244"/>
  <c r="L1140" i="244"/>
  <c r="L1141" i="244"/>
  <c r="L1142" i="244"/>
  <c r="L1143" i="244"/>
  <c r="L1144" i="244"/>
  <c r="L1145" i="244"/>
  <c r="L1146" i="244"/>
  <c r="L1147" i="244"/>
  <c r="L1148" i="244"/>
  <c r="L1149" i="244"/>
  <c r="L1150" i="244"/>
  <c r="L1151" i="244"/>
  <c r="L1152" i="244"/>
  <c r="L1153" i="244"/>
  <c r="L1154" i="244"/>
  <c r="L1155" i="244"/>
  <c r="L1156" i="244"/>
  <c r="L1157" i="244"/>
  <c r="L1158" i="244"/>
  <c r="L1159" i="244"/>
  <c r="L1160" i="244"/>
  <c r="L1161" i="244"/>
  <c r="L1162" i="244"/>
  <c r="L1163" i="244"/>
  <c r="L1164" i="244"/>
  <c r="L1165" i="244"/>
  <c r="L1166" i="244"/>
  <c r="L1167" i="244"/>
  <c r="L1168" i="244"/>
  <c r="L1169" i="244"/>
  <c r="L1170" i="244"/>
  <c r="L1171" i="244"/>
  <c r="L1172" i="244"/>
  <c r="L1173" i="244"/>
  <c r="L1174" i="244"/>
  <c r="L1175" i="244"/>
  <c r="L1176" i="244"/>
  <c r="L1177" i="244"/>
  <c r="L1178" i="244"/>
  <c r="L1179" i="244"/>
  <c r="L1180" i="244"/>
  <c r="L1181" i="244"/>
  <c r="L1182" i="244"/>
  <c r="L1183" i="244"/>
  <c r="L1184" i="244"/>
  <c r="L1185" i="244"/>
  <c r="L1186" i="244"/>
  <c r="L1187" i="244"/>
  <c r="L1188" i="244"/>
  <c r="L1189" i="244"/>
  <c r="L1190" i="244"/>
  <c r="L1191" i="244"/>
  <c r="L1192" i="244"/>
  <c r="L1193" i="244"/>
  <c r="L1194" i="244"/>
  <c r="L1195" i="244"/>
  <c r="L1196" i="244"/>
  <c r="L1197" i="244"/>
  <c r="L1198" i="244"/>
  <c r="L1199" i="244"/>
  <c r="L1200" i="244"/>
  <c r="L1201" i="244"/>
  <c r="L1202" i="244"/>
  <c r="L1203" i="244"/>
  <c r="L1204" i="244"/>
  <c r="L1205" i="244"/>
  <c r="L1206" i="244"/>
  <c r="L1207" i="244"/>
  <c r="L1208" i="244"/>
  <c r="L1209" i="244"/>
  <c r="L1210" i="244"/>
  <c r="L1211" i="244"/>
  <c r="L1212" i="244"/>
  <c r="L1213" i="244"/>
  <c r="L1214" i="244"/>
  <c r="L1215" i="244"/>
  <c r="L1216" i="244"/>
  <c r="L1217" i="244"/>
  <c r="L1218" i="244"/>
  <c r="L1219" i="244"/>
  <c r="L1220" i="244"/>
  <c r="L1221" i="244"/>
  <c r="L1222" i="244"/>
  <c r="L1223" i="244"/>
  <c r="L1224" i="244"/>
  <c r="L1225" i="244"/>
  <c r="L1226" i="244"/>
  <c r="L1227" i="244"/>
  <c r="L1228" i="244"/>
  <c r="L1229" i="244"/>
  <c r="L1230" i="244"/>
  <c r="L1231" i="244"/>
  <c r="L1232" i="244"/>
  <c r="L1233" i="244"/>
  <c r="L1234" i="244"/>
  <c r="L1235" i="244"/>
  <c r="L1236" i="244"/>
  <c r="L1237" i="244"/>
  <c r="L1238" i="244"/>
  <c r="L1239" i="244"/>
  <c r="L1240" i="244"/>
  <c r="L1241" i="244"/>
  <c r="L1242" i="244"/>
  <c r="L1243" i="244"/>
  <c r="L1244" i="244"/>
  <c r="L1245" i="244"/>
  <c r="L1246" i="244"/>
  <c r="L1247" i="244"/>
  <c r="L1248" i="244"/>
  <c r="L1249" i="244"/>
  <c r="L1250" i="244"/>
  <c r="L1251" i="244"/>
  <c r="L1252" i="244"/>
  <c r="L1253" i="244"/>
  <c r="L1254" i="244"/>
  <c r="L1255" i="244"/>
  <c r="L1256" i="244"/>
  <c r="L1257" i="244"/>
  <c r="L1258" i="244"/>
  <c r="L1259" i="244"/>
  <c r="L1260" i="244"/>
  <c r="L1261" i="244"/>
  <c r="L1262" i="244"/>
  <c r="L1263" i="244"/>
  <c r="L1264" i="244"/>
  <c r="L1265" i="244"/>
  <c r="L1266" i="244"/>
  <c r="L1267" i="244"/>
  <c r="L1268" i="244"/>
  <c r="L1269" i="244"/>
  <c r="L1270" i="244"/>
  <c r="L1271" i="244"/>
  <c r="L1272" i="244"/>
  <c r="L1273" i="244"/>
  <c r="L1274" i="244"/>
  <c r="L1275" i="244"/>
  <c r="L1276" i="244"/>
  <c r="L1277" i="244"/>
  <c r="L1278" i="244"/>
  <c r="L1279" i="244"/>
  <c r="L1280" i="244"/>
  <c r="L1281" i="244"/>
  <c r="L1282" i="244"/>
  <c r="L1283" i="244"/>
  <c r="L1284" i="244"/>
  <c r="L1285" i="244"/>
  <c r="L1286" i="244"/>
  <c r="L1287" i="244"/>
  <c r="L1288" i="244"/>
  <c r="L1289" i="244"/>
  <c r="L1290" i="244"/>
  <c r="L1291" i="244"/>
  <c r="L1292" i="244"/>
  <c r="L1293" i="244"/>
  <c r="L1294" i="244"/>
  <c r="L1295" i="244"/>
  <c r="L1296" i="244"/>
  <c r="L1297" i="244"/>
  <c r="L1298" i="244"/>
  <c r="L1299" i="244"/>
  <c r="L1300" i="244"/>
  <c r="L1301" i="244"/>
  <c r="L1302" i="244"/>
  <c r="L1303" i="244"/>
  <c r="L1304" i="244"/>
  <c r="L1305" i="244"/>
  <c r="L1306" i="244"/>
  <c r="L1307" i="244"/>
  <c r="L1308" i="244"/>
  <c r="L1309" i="244"/>
  <c r="L1310" i="244"/>
  <c r="L1311" i="244"/>
  <c r="L1312" i="244"/>
  <c r="L1313" i="244"/>
  <c r="L1314" i="244"/>
  <c r="L1315" i="244"/>
  <c r="L1316" i="244"/>
  <c r="L1317" i="244"/>
  <c r="L1318" i="244"/>
  <c r="L1319" i="244"/>
  <c r="L1320" i="244"/>
  <c r="L1321" i="244"/>
  <c r="L1322" i="244"/>
  <c r="L1323" i="244"/>
  <c r="L1324" i="244"/>
  <c r="L1325" i="244"/>
  <c r="L1326" i="244"/>
  <c r="L1327" i="244"/>
  <c r="L1328" i="244"/>
  <c r="L1329" i="244"/>
  <c r="L1330" i="244"/>
  <c r="L1331" i="244"/>
  <c r="L1332" i="244"/>
  <c r="L1333" i="244"/>
  <c r="L1334" i="244"/>
  <c r="L1335" i="244"/>
  <c r="L1336" i="244"/>
  <c r="L1337" i="244"/>
  <c r="L1338" i="244"/>
  <c r="L1339" i="244"/>
  <c r="L1340" i="244"/>
  <c r="L1341" i="244"/>
  <c r="L1342" i="244"/>
  <c r="L1343" i="244"/>
  <c r="L1344" i="244"/>
  <c r="L1345" i="244"/>
  <c r="L1346" i="244"/>
  <c r="L1347" i="244"/>
  <c r="L1348" i="244"/>
  <c r="L1349" i="244"/>
  <c r="L1350" i="244"/>
  <c r="L1351" i="244"/>
  <c r="L1352" i="244"/>
  <c r="L1353" i="244"/>
  <c r="L1354" i="244"/>
  <c r="L1355" i="244"/>
  <c r="L1356" i="244"/>
  <c r="L1357" i="244"/>
  <c r="L1358" i="244"/>
  <c r="L1359" i="244"/>
  <c r="L1360" i="244"/>
  <c r="L1361" i="244"/>
  <c r="L1362" i="244"/>
  <c r="L1363" i="244"/>
  <c r="L1364" i="244"/>
  <c r="L1365" i="244"/>
  <c r="L1366" i="244"/>
  <c r="L1367" i="244"/>
  <c r="L1368" i="244"/>
  <c r="L1369" i="244"/>
  <c r="L1370" i="244"/>
  <c r="L1371" i="244"/>
  <c r="L1372" i="244"/>
  <c r="L1373" i="244"/>
  <c r="L1374" i="244"/>
  <c r="L1375" i="244"/>
  <c r="L1376" i="244"/>
  <c r="L1377" i="244"/>
  <c r="L1378" i="244"/>
  <c r="L1379" i="244"/>
  <c r="L1380" i="244"/>
  <c r="L1381" i="244"/>
  <c r="L1382" i="244"/>
  <c r="L1383" i="244"/>
  <c r="L1384" i="244"/>
  <c r="L1385" i="244"/>
  <c r="L1386" i="244"/>
  <c r="L1387" i="244"/>
  <c r="L1388" i="244"/>
  <c r="L1389" i="244"/>
  <c r="L1390" i="244"/>
  <c r="L1391" i="244"/>
  <c r="L1392" i="244"/>
  <c r="L1393" i="244"/>
  <c r="L1394" i="244"/>
  <c r="L1395" i="244"/>
  <c r="L1396" i="244"/>
  <c r="L1397" i="244"/>
  <c r="L1398" i="244"/>
  <c r="L1399" i="244"/>
  <c r="L1400" i="244"/>
  <c r="L1401" i="244"/>
  <c r="L1402" i="244"/>
  <c r="L1403" i="244"/>
  <c r="L1404" i="244"/>
  <c r="L1405" i="244"/>
  <c r="L1406" i="244"/>
  <c r="L1407" i="244"/>
  <c r="L1408" i="244"/>
  <c r="L1409" i="244"/>
  <c r="L1410" i="244"/>
  <c r="L1411" i="244"/>
  <c r="L1412" i="244"/>
  <c r="L1413" i="244"/>
  <c r="L1414" i="244"/>
  <c r="L1415" i="244"/>
  <c r="L1416" i="244"/>
  <c r="L1417" i="244"/>
  <c r="L1418" i="244"/>
  <c r="L1419" i="244"/>
  <c r="L1420" i="244"/>
  <c r="L1421" i="244"/>
  <c r="L1422" i="244"/>
  <c r="L1423" i="244"/>
  <c r="L1424" i="244"/>
  <c r="L1425" i="244"/>
  <c r="L1426" i="244"/>
  <c r="L1427" i="244"/>
  <c r="L1428" i="244"/>
  <c r="L1429" i="244"/>
  <c r="L1430" i="244"/>
  <c r="L1431" i="244"/>
  <c r="L1432" i="244"/>
  <c r="L1433" i="244"/>
  <c r="L1434" i="244"/>
  <c r="L1435" i="244"/>
  <c r="L1436" i="244"/>
  <c r="L1437" i="244"/>
  <c r="L1438" i="244"/>
  <c r="L1439" i="244"/>
  <c r="L1440" i="244"/>
  <c r="L1441" i="244"/>
  <c r="L1442" i="244"/>
  <c r="L1443" i="244"/>
  <c r="L1444" i="244"/>
  <c r="L1445" i="244"/>
  <c r="L1446" i="244"/>
  <c r="L1447" i="244"/>
  <c r="L1448" i="244"/>
  <c r="L1449" i="244"/>
  <c r="L1450" i="244"/>
  <c r="L1451" i="244"/>
  <c r="L1452" i="244"/>
  <c r="L1453" i="244"/>
  <c r="L1454" i="244"/>
  <c r="L1455" i="244"/>
  <c r="L1456" i="244"/>
  <c r="L1457" i="244"/>
  <c r="L1458" i="244"/>
  <c r="L1459" i="244"/>
  <c r="L1460" i="244"/>
  <c r="L1461" i="244"/>
  <c r="L1462" i="244"/>
  <c r="L1463" i="244"/>
  <c r="L1464" i="244"/>
  <c r="L1465" i="244"/>
  <c r="L1466" i="244"/>
  <c r="L1467" i="244"/>
  <c r="L1468" i="244"/>
  <c r="L1469" i="244"/>
  <c r="L1470" i="244"/>
  <c r="L1471" i="244"/>
  <c r="L1472" i="244"/>
  <c r="L1473" i="244"/>
  <c r="L1474" i="244"/>
  <c r="L1475" i="244"/>
  <c r="L1476" i="244"/>
  <c r="L1477" i="244"/>
  <c r="L1478" i="244"/>
  <c r="L1479" i="244"/>
  <c r="L1480" i="244"/>
  <c r="L1481" i="244"/>
  <c r="L1482" i="244"/>
  <c r="L1483" i="244"/>
  <c r="L1484" i="244"/>
  <c r="L1485" i="244"/>
  <c r="L1486" i="244"/>
  <c r="L1487" i="244"/>
  <c r="L1488" i="244"/>
  <c r="L1489" i="244"/>
  <c r="L1490" i="244"/>
  <c r="L1491" i="244"/>
  <c r="L1492" i="244"/>
  <c r="L1493" i="244"/>
  <c r="L1494" i="244"/>
  <c r="L1495" i="244"/>
  <c r="L1496" i="244"/>
  <c r="L1497" i="244"/>
  <c r="L1498" i="244"/>
  <c r="L1499" i="244"/>
  <c r="L1500" i="244"/>
  <c r="L1501" i="244"/>
  <c r="L1502" i="244"/>
  <c r="L1503" i="244"/>
  <c r="L1504" i="244"/>
  <c r="L1505" i="244"/>
  <c r="L1506" i="244"/>
  <c r="L1507" i="244"/>
  <c r="L1508" i="244"/>
  <c r="L1509" i="244"/>
  <c r="L1510" i="244"/>
  <c r="L1511" i="244"/>
  <c r="L1512" i="244"/>
  <c r="L1513" i="244"/>
  <c r="L1514" i="244"/>
  <c r="L1515" i="244"/>
  <c r="L1516" i="244"/>
  <c r="L1517" i="244"/>
  <c r="L1518" i="244"/>
  <c r="L1519" i="244"/>
  <c r="L1520" i="244"/>
  <c r="L1521" i="244"/>
  <c r="L1522" i="244"/>
  <c r="L1523" i="244"/>
  <c r="L1524" i="244"/>
  <c r="L1525" i="244"/>
  <c r="L1526" i="244"/>
  <c r="L1527" i="244"/>
  <c r="L1528" i="244"/>
  <c r="L1529" i="244"/>
  <c r="L1530" i="244"/>
  <c r="L1531" i="244"/>
  <c r="L1532" i="244"/>
  <c r="L1533" i="244"/>
  <c r="L1534" i="244"/>
  <c r="L1535" i="244"/>
  <c r="L1536" i="244"/>
  <c r="L1537" i="244"/>
  <c r="L1538" i="244"/>
  <c r="L1539" i="244"/>
  <c r="L1540" i="244"/>
  <c r="L1541" i="244"/>
  <c r="L1542" i="244"/>
  <c r="L1543" i="244"/>
  <c r="L1544" i="244"/>
  <c r="L1545" i="244"/>
  <c r="L1546" i="244"/>
  <c r="L1547" i="244"/>
  <c r="L1548" i="244"/>
  <c r="L1549" i="244"/>
  <c r="L1550" i="244"/>
  <c r="L1551" i="244"/>
  <c r="L1552" i="244"/>
  <c r="L1553" i="244"/>
  <c r="L1554" i="244"/>
  <c r="L1555" i="244"/>
  <c r="L1556" i="244"/>
  <c r="L1557" i="244"/>
  <c r="L1558" i="244"/>
  <c r="L1559" i="244"/>
  <c r="L1560" i="244"/>
  <c r="L1561" i="244"/>
  <c r="L1562" i="244"/>
  <c r="L1563" i="244"/>
  <c r="L1564" i="244"/>
  <c r="L1565" i="244"/>
  <c r="L1566" i="244"/>
  <c r="L1567" i="244"/>
  <c r="L1568" i="244"/>
  <c r="L1569" i="244"/>
  <c r="L1570" i="244"/>
  <c r="L1571" i="244"/>
  <c r="L1572" i="244"/>
  <c r="L1573" i="244"/>
  <c r="L1574" i="244"/>
  <c r="L1575" i="244"/>
  <c r="L1576" i="244"/>
  <c r="L1577" i="244"/>
  <c r="L1578" i="244"/>
  <c r="L1579" i="244"/>
  <c r="L1580" i="244"/>
  <c r="L1581" i="244"/>
  <c r="L1582" i="244"/>
  <c r="L1583" i="244"/>
  <c r="L1584" i="244"/>
  <c r="L1585" i="244"/>
  <c r="L1586" i="244"/>
  <c r="L1587" i="244"/>
  <c r="L1588" i="244"/>
  <c r="L1589" i="244"/>
  <c r="L1590" i="244"/>
  <c r="L1591" i="244"/>
  <c r="L1592" i="244"/>
  <c r="L1593" i="244"/>
  <c r="L1594" i="244"/>
  <c r="L1595" i="244"/>
  <c r="L1596" i="244"/>
  <c r="L1597" i="244"/>
  <c r="L1598" i="244"/>
  <c r="L1599" i="244"/>
  <c r="L1600" i="244"/>
  <c r="L1601" i="244"/>
  <c r="L1602" i="244"/>
  <c r="L1603" i="244"/>
  <c r="L1604" i="244"/>
  <c r="L1605" i="244"/>
  <c r="L1606" i="244"/>
  <c r="L1607" i="244"/>
  <c r="L1608" i="244"/>
  <c r="L1609" i="244"/>
  <c r="L1610" i="244"/>
  <c r="L1611" i="244"/>
  <c r="L1612" i="244"/>
  <c r="L1613" i="244"/>
  <c r="L1614" i="244"/>
  <c r="L1615" i="244"/>
  <c r="L1616" i="244"/>
  <c r="L1617" i="244"/>
  <c r="L1618" i="244"/>
  <c r="L1619" i="244"/>
  <c r="L1620" i="244"/>
  <c r="L1621" i="244"/>
  <c r="L1622" i="244"/>
  <c r="L1623" i="244"/>
  <c r="L1624" i="244"/>
  <c r="L1625" i="244"/>
  <c r="L1626" i="244"/>
  <c r="L1627" i="244"/>
  <c r="L1628" i="244"/>
  <c r="L1629" i="244"/>
  <c r="L1630" i="244"/>
  <c r="L1631" i="244"/>
  <c r="L1632" i="244"/>
  <c r="L1633" i="244"/>
  <c r="L1634" i="244"/>
  <c r="L1635" i="244"/>
  <c r="L1636" i="244"/>
  <c r="L1637" i="244"/>
  <c r="L1638" i="244"/>
  <c r="L1639" i="244"/>
  <c r="L1640" i="244"/>
  <c r="L1641" i="244"/>
  <c r="L1642" i="244"/>
  <c r="L1643" i="244"/>
  <c r="L1644" i="244"/>
  <c r="L1645" i="244"/>
  <c r="L1646" i="244"/>
  <c r="L1647" i="244"/>
  <c r="L1648" i="244"/>
  <c r="L1649" i="244"/>
  <c r="L1650" i="244"/>
  <c r="L1651" i="244"/>
  <c r="L1652" i="244"/>
  <c r="L1653" i="244"/>
  <c r="L1654" i="244"/>
  <c r="L1655" i="244"/>
  <c r="L1656" i="244"/>
  <c r="L1657" i="244"/>
  <c r="L1658" i="244"/>
  <c r="L1659" i="244"/>
  <c r="L1660" i="244"/>
  <c r="L1661" i="244"/>
  <c r="L1662" i="244"/>
  <c r="L1663" i="244"/>
  <c r="L1664" i="244"/>
  <c r="L1665" i="244"/>
  <c r="L1666" i="244"/>
  <c r="L1667" i="244"/>
  <c r="L1668" i="244"/>
  <c r="L1669" i="244"/>
  <c r="L1670" i="244"/>
  <c r="L1671" i="244"/>
  <c r="L1672" i="244"/>
  <c r="L1673" i="244"/>
  <c r="L1674" i="244"/>
  <c r="L1675" i="244"/>
  <c r="L1676" i="244"/>
  <c r="L1677" i="244"/>
  <c r="L1678" i="244"/>
  <c r="L1679" i="244"/>
  <c r="L1680" i="244"/>
  <c r="L1681" i="244"/>
  <c r="L1682" i="244"/>
  <c r="L1683" i="244"/>
  <c r="L1684" i="244"/>
  <c r="L1685" i="244"/>
  <c r="L1686" i="244"/>
  <c r="L1687" i="244"/>
  <c r="L1688" i="244"/>
  <c r="L1689" i="244"/>
  <c r="L1690" i="244"/>
  <c r="L1691" i="244"/>
  <c r="L1692" i="244"/>
  <c r="L1693" i="244"/>
  <c r="L1694" i="244"/>
  <c r="L1695" i="244"/>
  <c r="L1696" i="244"/>
  <c r="L1697" i="244"/>
  <c r="L1698" i="244"/>
  <c r="L1699" i="244"/>
  <c r="L1700" i="244"/>
  <c r="L1701" i="244"/>
  <c r="L1702" i="244"/>
  <c r="L1703" i="244"/>
  <c r="L1704" i="244"/>
  <c r="L1705" i="244"/>
  <c r="L1706" i="244"/>
  <c r="L1707" i="244"/>
  <c r="L1708" i="244"/>
  <c r="L1709" i="244"/>
  <c r="L1710" i="244"/>
  <c r="L1711" i="244"/>
  <c r="L1712" i="244"/>
  <c r="L1713" i="244"/>
  <c r="L1714" i="244"/>
  <c r="L1715" i="244"/>
  <c r="L1716" i="244"/>
  <c r="L1717" i="244"/>
  <c r="L1718" i="244"/>
  <c r="L1719" i="244"/>
  <c r="L1720" i="244"/>
  <c r="L1721" i="244"/>
  <c r="L1722" i="244"/>
  <c r="L1723" i="244"/>
  <c r="L1724" i="244"/>
  <c r="L1725" i="244"/>
  <c r="L1726" i="244"/>
  <c r="L1727" i="244"/>
  <c r="L1728" i="244"/>
  <c r="L1729" i="244"/>
  <c r="L1730" i="244"/>
  <c r="L1731" i="244"/>
  <c r="L1732" i="244"/>
  <c r="L1733" i="244"/>
  <c r="L1734" i="244"/>
  <c r="L1735" i="244"/>
  <c r="L1736" i="244"/>
  <c r="L1737" i="244"/>
  <c r="L1738" i="244"/>
  <c r="L1739" i="244"/>
  <c r="L1740" i="244"/>
  <c r="L1741" i="244"/>
  <c r="L1742" i="244"/>
  <c r="L1743" i="244"/>
  <c r="L1744" i="244"/>
  <c r="L1745" i="244"/>
  <c r="L1746" i="244"/>
  <c r="L1747" i="244"/>
  <c r="L1748" i="244"/>
  <c r="L1749" i="244"/>
  <c r="L1750" i="244"/>
  <c r="L1751" i="244"/>
  <c r="L1752" i="244"/>
  <c r="L1753" i="244"/>
  <c r="L1754" i="244"/>
  <c r="L1755" i="244"/>
  <c r="L1756" i="244"/>
  <c r="L1757" i="244"/>
  <c r="L1758" i="244"/>
  <c r="L1759" i="244"/>
  <c r="L1760" i="244"/>
  <c r="L1761" i="244"/>
  <c r="L1762" i="244"/>
  <c r="L1763" i="244"/>
  <c r="L1764" i="244"/>
  <c r="L1765" i="244"/>
  <c r="L1766" i="244"/>
  <c r="L1767" i="244"/>
  <c r="L1768" i="244"/>
  <c r="L1769" i="244"/>
  <c r="L1770" i="244"/>
  <c r="L1771" i="244"/>
  <c r="L1772" i="244"/>
  <c r="L1773" i="244"/>
  <c r="L1774" i="244"/>
  <c r="L1775" i="244"/>
  <c r="L1776" i="244"/>
  <c r="L1777" i="244"/>
  <c r="L1778" i="244"/>
  <c r="L1779" i="244"/>
  <c r="L1780" i="244"/>
  <c r="L1781" i="244"/>
  <c r="L1782" i="244"/>
  <c r="L1783" i="244"/>
  <c r="L1784" i="244"/>
  <c r="L1785" i="244"/>
  <c r="L1786" i="244"/>
  <c r="L1787" i="244"/>
  <c r="L1788" i="244"/>
  <c r="L1789" i="244"/>
  <c r="L1790" i="244"/>
  <c r="L1791" i="244"/>
  <c r="L1792" i="244"/>
  <c r="L1793" i="244"/>
  <c r="L1794" i="244"/>
  <c r="L1795" i="244"/>
  <c r="L1796" i="244"/>
  <c r="L1797" i="244"/>
  <c r="L1798" i="244"/>
  <c r="L1799" i="244"/>
  <c r="L1800" i="244"/>
  <c r="L1801" i="244"/>
  <c r="L1802" i="244"/>
  <c r="L1803" i="244"/>
  <c r="L1804" i="244"/>
  <c r="L1805" i="244"/>
  <c r="L1806" i="244"/>
  <c r="L1807" i="244"/>
  <c r="L1808" i="244"/>
  <c r="L1809" i="244"/>
  <c r="L1810" i="244"/>
  <c r="L1811" i="244"/>
  <c r="L1812" i="244"/>
  <c r="L1813" i="244"/>
  <c r="L1814" i="244"/>
  <c r="L1815" i="244"/>
  <c r="L1816" i="244"/>
  <c r="L1817" i="244"/>
  <c r="L1818" i="244"/>
  <c r="L1819" i="244"/>
  <c r="L1820" i="244"/>
  <c r="L1821" i="244"/>
  <c r="L1822" i="244"/>
  <c r="L1823" i="244"/>
  <c r="L1824" i="244"/>
  <c r="L1825" i="244"/>
  <c r="L1826" i="244"/>
  <c r="L1827" i="244"/>
  <c r="L1828" i="244"/>
  <c r="L1829" i="244"/>
  <c r="L1830" i="244"/>
  <c r="L1831" i="244"/>
  <c r="L1832" i="244"/>
  <c r="L1833" i="244"/>
  <c r="L1834" i="244"/>
  <c r="L1835" i="244"/>
  <c r="L1836" i="244"/>
  <c r="L1837" i="244"/>
  <c r="L1838" i="244"/>
  <c r="L1839" i="244"/>
  <c r="L1840" i="244"/>
  <c r="L1841" i="244"/>
  <c r="L1842" i="244"/>
  <c r="L1843" i="244"/>
  <c r="L1844" i="244"/>
  <c r="L1845" i="244"/>
  <c r="L1846" i="244"/>
  <c r="L1847" i="244"/>
  <c r="L1848" i="244"/>
  <c r="L1849" i="244"/>
  <c r="L1850" i="244"/>
  <c r="L1851" i="244"/>
  <c r="L1852" i="244"/>
  <c r="L1853" i="244"/>
  <c r="L1854" i="244"/>
  <c r="L1855" i="244"/>
  <c r="L1856" i="244"/>
  <c r="L1857" i="244"/>
  <c r="L1858" i="244"/>
  <c r="L1859" i="244"/>
  <c r="L1860" i="244"/>
  <c r="L1861" i="244"/>
  <c r="L1862" i="244"/>
  <c r="L1863" i="244"/>
  <c r="L1864" i="244"/>
  <c r="L1865" i="244"/>
  <c r="L1866" i="244"/>
  <c r="L1867" i="244"/>
  <c r="L1868" i="244"/>
  <c r="L1869" i="244"/>
  <c r="L1870" i="244"/>
  <c r="L1871" i="244"/>
  <c r="L1872" i="244"/>
  <c r="L1873" i="244"/>
  <c r="L1874" i="244"/>
  <c r="L1875" i="244"/>
  <c r="L1876" i="244"/>
  <c r="L1877" i="244"/>
  <c r="L1878" i="244"/>
  <c r="L1879" i="244"/>
  <c r="L1880" i="244"/>
  <c r="L1881" i="244"/>
  <c r="L1882" i="244"/>
  <c r="L1883" i="244"/>
  <c r="L1884" i="244"/>
  <c r="L1885" i="244"/>
  <c r="L1886" i="244"/>
  <c r="L1887" i="244"/>
  <c r="L1888" i="244"/>
  <c r="L1889" i="244"/>
  <c r="L1890" i="244"/>
  <c r="L1891" i="244"/>
  <c r="L1892" i="244"/>
  <c r="L1893" i="244"/>
  <c r="L1894" i="244"/>
  <c r="L1895" i="244"/>
  <c r="L1896" i="244"/>
  <c r="L1897" i="244"/>
  <c r="L1898" i="244"/>
  <c r="L1899" i="244"/>
  <c r="L1900" i="244"/>
  <c r="L1901" i="244"/>
  <c r="L1902" i="244"/>
  <c r="L1903" i="244"/>
  <c r="L1904" i="244"/>
  <c r="L1905" i="244"/>
  <c r="L1906" i="244"/>
  <c r="L1907" i="244"/>
  <c r="L1908" i="244"/>
  <c r="L1909" i="244"/>
  <c r="L1910" i="244"/>
  <c r="L1911" i="244"/>
  <c r="L1912" i="244"/>
  <c r="L1913" i="244"/>
  <c r="L1914" i="244"/>
  <c r="L1915" i="244"/>
  <c r="L1916" i="244"/>
  <c r="L1917" i="244"/>
  <c r="L1918" i="244"/>
  <c r="L1919" i="244"/>
  <c r="L1920" i="244"/>
  <c r="L1921" i="244"/>
  <c r="L1922" i="244"/>
  <c r="L1923" i="244"/>
  <c r="L1924" i="244"/>
  <c r="L1925" i="244"/>
  <c r="L1926" i="244"/>
  <c r="L1927" i="244"/>
  <c r="L1928" i="244"/>
  <c r="L1929" i="244"/>
  <c r="L1930" i="244"/>
  <c r="L1931" i="244"/>
  <c r="L1932" i="244"/>
  <c r="L1933" i="244"/>
  <c r="L1934" i="244"/>
  <c r="L1935" i="244"/>
  <c r="L1936" i="244"/>
  <c r="L1937" i="244"/>
  <c r="L1938" i="244"/>
  <c r="L1939" i="244"/>
  <c r="L1940" i="244"/>
  <c r="L1941" i="244"/>
  <c r="L1942" i="244"/>
  <c r="L1943" i="244"/>
  <c r="L1944" i="244"/>
  <c r="L1945" i="244"/>
  <c r="L1946" i="244"/>
  <c r="L1947" i="244"/>
  <c r="L1948" i="244"/>
  <c r="L1949" i="244"/>
  <c r="L1950" i="244"/>
  <c r="L1951" i="244"/>
  <c r="L1952" i="244"/>
  <c r="L1953" i="244"/>
  <c r="L1954" i="244"/>
  <c r="L1955" i="244"/>
  <c r="L1956" i="244"/>
  <c r="L1957" i="244"/>
  <c r="L1958" i="244"/>
  <c r="L1959" i="244"/>
  <c r="L1960" i="244"/>
  <c r="L1961" i="244"/>
  <c r="L1962" i="244"/>
  <c r="L1963" i="244"/>
  <c r="L1964" i="244"/>
  <c r="L1965" i="244"/>
  <c r="L1966" i="244"/>
  <c r="L1967" i="244"/>
  <c r="L1968" i="244"/>
  <c r="L1969" i="244"/>
  <c r="L1970" i="244"/>
  <c r="L1971" i="244"/>
  <c r="L1972" i="244"/>
  <c r="L1973" i="244"/>
  <c r="L1974" i="244"/>
  <c r="L1975" i="244"/>
  <c r="L1976" i="244"/>
  <c r="L1977" i="244"/>
  <c r="L1978" i="244"/>
  <c r="L1979" i="244"/>
  <c r="L1980" i="244"/>
  <c r="L1981" i="244"/>
  <c r="L1982" i="244"/>
  <c r="L1983" i="244"/>
  <c r="L1984" i="244"/>
  <c r="L1985" i="244"/>
  <c r="L1986" i="244"/>
  <c r="L1987" i="244"/>
  <c r="L1988" i="244"/>
  <c r="L1989" i="244"/>
  <c r="L1990" i="244"/>
  <c r="L1991" i="244"/>
  <c r="L1992" i="244"/>
  <c r="L1993" i="244"/>
  <c r="L1994" i="244"/>
  <c r="L1995" i="244"/>
  <c r="L1996" i="244"/>
  <c r="L1997" i="244"/>
  <c r="L1998" i="244"/>
  <c r="L1999" i="244"/>
  <c r="L2000" i="244"/>
  <c r="L2001" i="244"/>
  <c r="L2002" i="244"/>
  <c r="L2003" i="244"/>
  <c r="L2004" i="244"/>
  <c r="L2005" i="244"/>
  <c r="L2006" i="244"/>
  <c r="L2007" i="244"/>
  <c r="L2008" i="244"/>
  <c r="L2009" i="244"/>
  <c r="L2010" i="244"/>
  <c r="L2011" i="244"/>
  <c r="L2012" i="244"/>
  <c r="L2013" i="244"/>
  <c r="L2014" i="244"/>
  <c r="L2015" i="244"/>
  <c r="L2016" i="244"/>
  <c r="L2017" i="244"/>
  <c r="L2018" i="244"/>
  <c r="L2019" i="244"/>
  <c r="L2020" i="244"/>
  <c r="L2021" i="244"/>
  <c r="L2022" i="244"/>
  <c r="L2023" i="244"/>
  <c r="L2024" i="244"/>
  <c r="L2025" i="244"/>
  <c r="L2026" i="244"/>
  <c r="L2027" i="244"/>
  <c r="L2028" i="244"/>
  <c r="L2029" i="244"/>
  <c r="L2030" i="244"/>
  <c r="L2031" i="244"/>
  <c r="L2032" i="244"/>
  <c r="L2033" i="244"/>
  <c r="L2034" i="244"/>
  <c r="L2035" i="244"/>
  <c r="L2036" i="244"/>
  <c r="L2037" i="244"/>
  <c r="L2038" i="244"/>
  <c r="L2039" i="244"/>
  <c r="L2040" i="244"/>
  <c r="L2041" i="244"/>
  <c r="L2042" i="244"/>
  <c r="L2043" i="244"/>
  <c r="L2044" i="244"/>
  <c r="L2045" i="244"/>
  <c r="L2046" i="244"/>
  <c r="L2047" i="244"/>
  <c r="L2048" i="244"/>
  <c r="L2049" i="244"/>
  <c r="L2050" i="244"/>
  <c r="L2051" i="244"/>
  <c r="L2052" i="244"/>
  <c r="L2053" i="244"/>
  <c r="L2054" i="244"/>
  <c r="L2055" i="244"/>
  <c r="L2056" i="244"/>
  <c r="L2057" i="244"/>
  <c r="L2058" i="244"/>
  <c r="L2059" i="244"/>
  <c r="L2060" i="244"/>
  <c r="L2061" i="244"/>
  <c r="L2062" i="244"/>
  <c r="L2063" i="244"/>
  <c r="L2064" i="244"/>
  <c r="L2065" i="244"/>
  <c r="L2066" i="244"/>
  <c r="L2067" i="244"/>
  <c r="L2068" i="244"/>
  <c r="L2069" i="244"/>
  <c r="L2070" i="244"/>
  <c r="L2071" i="244"/>
  <c r="L2072" i="244"/>
  <c r="L2073" i="244"/>
  <c r="L2074" i="244"/>
  <c r="L2075" i="244"/>
  <c r="L2076" i="244"/>
  <c r="L2077" i="244"/>
  <c r="L2078" i="244"/>
  <c r="L2079" i="244"/>
  <c r="L2080" i="244"/>
  <c r="L2081" i="244"/>
  <c r="L2082" i="244"/>
  <c r="L2083" i="244"/>
  <c r="L2084" i="244"/>
  <c r="L2085" i="244"/>
  <c r="L2086" i="244"/>
  <c r="L2087" i="244"/>
  <c r="L2088" i="244"/>
  <c r="L2089" i="244"/>
  <c r="L2090" i="244"/>
  <c r="L2091" i="244"/>
  <c r="L2092" i="244"/>
  <c r="L2093" i="244"/>
  <c r="L2094" i="244"/>
  <c r="L2095" i="244"/>
  <c r="L2096" i="244"/>
  <c r="L2097" i="244"/>
  <c r="L2098" i="244"/>
  <c r="L2099" i="244"/>
  <c r="L2100" i="244"/>
  <c r="L2101" i="244"/>
  <c r="L2102" i="244"/>
  <c r="L2103" i="244"/>
  <c r="L2104" i="244"/>
  <c r="L2105" i="244"/>
  <c r="L2106" i="244"/>
  <c r="L2107" i="244"/>
  <c r="L2108" i="244"/>
  <c r="L2109" i="244"/>
  <c r="L2110" i="244"/>
  <c r="L2111" i="244"/>
  <c r="L2112" i="244"/>
  <c r="L2113" i="244"/>
  <c r="L2114" i="244"/>
  <c r="L2115" i="244"/>
  <c r="L2116" i="244"/>
  <c r="L2117" i="244"/>
  <c r="L2118" i="244"/>
  <c r="L2119" i="244"/>
  <c r="L2120" i="244"/>
  <c r="L2121" i="244"/>
  <c r="L2122" i="244"/>
  <c r="L2123" i="244"/>
  <c r="L2124" i="244"/>
  <c r="L2125" i="244"/>
  <c r="L2126" i="244"/>
  <c r="L2127" i="244"/>
  <c r="L2128" i="244"/>
  <c r="L2129" i="244"/>
  <c r="L2130" i="244"/>
  <c r="L2131" i="244"/>
  <c r="L2132" i="244"/>
  <c r="L2133" i="244"/>
  <c r="L2134" i="244"/>
  <c r="L2135" i="244"/>
  <c r="L2136" i="244"/>
  <c r="L2137" i="244"/>
  <c r="L2138" i="244"/>
  <c r="L2139" i="244"/>
  <c r="L2140" i="244"/>
  <c r="L2141" i="244"/>
  <c r="L2142" i="244"/>
  <c r="L2143" i="244"/>
  <c r="L2144" i="244"/>
  <c r="L2145" i="244"/>
  <c r="L2146" i="244"/>
  <c r="L2147" i="244"/>
  <c r="L2148" i="244"/>
  <c r="L2149" i="244"/>
  <c r="L2150" i="244"/>
  <c r="L2151" i="244"/>
  <c r="L2152" i="244"/>
  <c r="L2153" i="244"/>
  <c r="L2154" i="244"/>
  <c r="L2155" i="244"/>
  <c r="L2156" i="244"/>
  <c r="L2157" i="244"/>
  <c r="L2158" i="244"/>
  <c r="L2159" i="244"/>
  <c r="L2160" i="244"/>
  <c r="L2161" i="244"/>
  <c r="L2162" i="244"/>
  <c r="L2163" i="244"/>
  <c r="L2164" i="244"/>
  <c r="L2165" i="244"/>
  <c r="L2166" i="244"/>
  <c r="L2167" i="244"/>
  <c r="L2168" i="244"/>
  <c r="L2169" i="244"/>
  <c r="L2170" i="244"/>
  <c r="L2171" i="244"/>
  <c r="L2172" i="244"/>
  <c r="L2173" i="244"/>
  <c r="L2174" i="244"/>
  <c r="L2175" i="244"/>
  <c r="L2176" i="244"/>
  <c r="L2177" i="244"/>
  <c r="L2178" i="244"/>
  <c r="L2179" i="244"/>
  <c r="L2180" i="244"/>
  <c r="L2181" i="244"/>
  <c r="L2182" i="244"/>
  <c r="L2183" i="244"/>
  <c r="L2184" i="244"/>
  <c r="L2185" i="244"/>
  <c r="L2186" i="244"/>
  <c r="L2187" i="244"/>
  <c r="L2188" i="244"/>
  <c r="L2189" i="244"/>
  <c r="L2190" i="244"/>
  <c r="L2191" i="244"/>
  <c r="L2192" i="244"/>
  <c r="L2193" i="244"/>
  <c r="L2194" i="244"/>
  <c r="L2195" i="244"/>
  <c r="L2196" i="244"/>
  <c r="L2197" i="244"/>
  <c r="L2198" i="244"/>
  <c r="L2199" i="244"/>
  <c r="L2200" i="244"/>
  <c r="L2201" i="244"/>
  <c r="L2202" i="244"/>
  <c r="L2203" i="244"/>
  <c r="L2204" i="244"/>
  <c r="L2205" i="244"/>
  <c r="L2206" i="244"/>
  <c r="L2207" i="244"/>
  <c r="L2208" i="244"/>
  <c r="L2209" i="244"/>
  <c r="L2210" i="244"/>
  <c r="L2211" i="244"/>
  <c r="L2212" i="244"/>
  <c r="L2213" i="244"/>
  <c r="L2214" i="244"/>
  <c r="L2215" i="244"/>
  <c r="L2216" i="244"/>
  <c r="L2217" i="244"/>
  <c r="L2218" i="244"/>
  <c r="L2219" i="244"/>
  <c r="L2220" i="244"/>
  <c r="L2221" i="244"/>
  <c r="L2222" i="244"/>
  <c r="L2223" i="244"/>
  <c r="L2224" i="244"/>
  <c r="L2225" i="244"/>
  <c r="L2226" i="244"/>
  <c r="L2227" i="244"/>
  <c r="L2228" i="244"/>
  <c r="L2229" i="244"/>
  <c r="L2230" i="244"/>
  <c r="L2231" i="244"/>
  <c r="L2232" i="244"/>
  <c r="L2233" i="244"/>
  <c r="L2234" i="244"/>
  <c r="L2235" i="244"/>
  <c r="L2236" i="244"/>
  <c r="L2237" i="244"/>
  <c r="L2238" i="244"/>
  <c r="L2239" i="244"/>
  <c r="L2240" i="244"/>
  <c r="L2241" i="244"/>
  <c r="L2242" i="244"/>
  <c r="L2243" i="244"/>
  <c r="L2244" i="244"/>
  <c r="L2245" i="244"/>
  <c r="L2246" i="244"/>
  <c r="L2247" i="244"/>
  <c r="L2248" i="244"/>
  <c r="L2249" i="244"/>
  <c r="L2250" i="244"/>
  <c r="L2251" i="244"/>
  <c r="L2252" i="244"/>
  <c r="L2253" i="244"/>
  <c r="L2254" i="244"/>
  <c r="L2255" i="244"/>
  <c r="L2256" i="244"/>
  <c r="L2257" i="244"/>
  <c r="L2258" i="244"/>
  <c r="L2259" i="244"/>
  <c r="L2260" i="244"/>
  <c r="L2261" i="244"/>
  <c r="L2262" i="244"/>
  <c r="L2263" i="244"/>
  <c r="L2264" i="244"/>
  <c r="L2265" i="244"/>
  <c r="L2266" i="244"/>
  <c r="L2267" i="244"/>
  <c r="L2268" i="244"/>
  <c r="L2269" i="244"/>
  <c r="L2270" i="244"/>
  <c r="L2271" i="244"/>
  <c r="L2272" i="244"/>
  <c r="L2273" i="244"/>
  <c r="L2274" i="244"/>
  <c r="L2275" i="244"/>
  <c r="L2276" i="244"/>
  <c r="L2277" i="244"/>
  <c r="L2278" i="244"/>
  <c r="L2279" i="244"/>
  <c r="L2280" i="244"/>
  <c r="L2281" i="244"/>
  <c r="L2282" i="244"/>
  <c r="L2283" i="244"/>
  <c r="L2284" i="244"/>
  <c r="L2285" i="244"/>
  <c r="L2286" i="244"/>
  <c r="L2287" i="244"/>
  <c r="L2288" i="244"/>
  <c r="L2289" i="244"/>
  <c r="L2290" i="244"/>
  <c r="L2291" i="244"/>
  <c r="L2292" i="244"/>
  <c r="L2293" i="244"/>
  <c r="L2294" i="244"/>
  <c r="L2295" i="244"/>
  <c r="L2296" i="244"/>
  <c r="L2297" i="244"/>
  <c r="L2298" i="244"/>
  <c r="L2299" i="244"/>
  <c r="L2300" i="244"/>
  <c r="L2301" i="244"/>
  <c r="L2302" i="244"/>
  <c r="L2303" i="244"/>
  <c r="L2304" i="244"/>
  <c r="L2305" i="244"/>
  <c r="L2306" i="244"/>
  <c r="L2307" i="244"/>
  <c r="L2308" i="244"/>
  <c r="L2309" i="244"/>
  <c r="L2310" i="244"/>
  <c r="L2311" i="244"/>
  <c r="L2312" i="244"/>
  <c r="L2313" i="244"/>
  <c r="L2314" i="244"/>
  <c r="L2315" i="244"/>
  <c r="L2316" i="244"/>
  <c r="L2317" i="244"/>
  <c r="L2318" i="244"/>
  <c r="L2319" i="244"/>
  <c r="L2320" i="244"/>
  <c r="L2321" i="244"/>
  <c r="L2322" i="244"/>
  <c r="L2323" i="244"/>
  <c r="L2352" i="244"/>
  <c r="L2353" i="244"/>
  <c r="L2354" i="244"/>
  <c r="L2355" i="244"/>
  <c r="L2356" i="244"/>
  <c r="L2357" i="244"/>
  <c r="L2358" i="244"/>
  <c r="L2359" i="244"/>
  <c r="L2360" i="244"/>
  <c r="L2361" i="244"/>
  <c r="L2362" i="244"/>
  <c r="L2363" i="244"/>
  <c r="L2364" i="244"/>
  <c r="L2365" i="244"/>
  <c r="L2366" i="244"/>
  <c r="L2367" i="244"/>
  <c r="L2368" i="244"/>
  <c r="L2369" i="244"/>
  <c r="L2370" i="244"/>
  <c r="L2371" i="244"/>
  <c r="L2372" i="244"/>
  <c r="L2373" i="244"/>
  <c r="L2374" i="244"/>
  <c r="L2375" i="244"/>
  <c r="L2376" i="244"/>
  <c r="L2377" i="244"/>
  <c r="L2378" i="244"/>
  <c r="L2379" i="244"/>
  <c r="L2380" i="244"/>
  <c r="L2381" i="244"/>
  <c r="L2382" i="244"/>
  <c r="L2383" i="244"/>
  <c r="L2384" i="244"/>
  <c r="L2385" i="244"/>
  <c r="L2386" i="244"/>
  <c r="L2387" i="244"/>
  <c r="L2388" i="244"/>
  <c r="L2389" i="244"/>
  <c r="L2390" i="244"/>
  <c r="L2391" i="244"/>
  <c r="L2392" i="244"/>
  <c r="L2393" i="244"/>
  <c r="L2394" i="244"/>
  <c r="L2395" i="244"/>
  <c r="L2396" i="244"/>
  <c r="L2397" i="244"/>
  <c r="L2398" i="244"/>
  <c r="L2399" i="244"/>
  <c r="L2400" i="244"/>
  <c r="L2401" i="244"/>
  <c r="L2402" i="244"/>
  <c r="L2403" i="244"/>
  <c r="L2404" i="244"/>
  <c r="L2405" i="244"/>
  <c r="L2406" i="244"/>
  <c r="L2407" i="244"/>
  <c r="L2408" i="244"/>
  <c r="L2409" i="244"/>
  <c r="L2410" i="244"/>
  <c r="L2411" i="244"/>
  <c r="L2412" i="244"/>
  <c r="L2413" i="244"/>
  <c r="L2414" i="244"/>
  <c r="L2415" i="244"/>
  <c r="L2416" i="244"/>
  <c r="L2417" i="244"/>
  <c r="L2418" i="244"/>
  <c r="L2419" i="244"/>
  <c r="L2420" i="244"/>
  <c r="L2421" i="244"/>
  <c r="L2422" i="244"/>
  <c r="L2423" i="244"/>
  <c r="L2424" i="244"/>
  <c r="L2425" i="244"/>
  <c r="L2426" i="244"/>
  <c r="L2427" i="244"/>
  <c r="L2428" i="244"/>
  <c r="L2429" i="244"/>
  <c r="L2430" i="244"/>
  <c r="L2431" i="244"/>
  <c r="L2432" i="244"/>
  <c r="L2433" i="244"/>
  <c r="L2434" i="244"/>
  <c r="L2435" i="244"/>
  <c r="L2436" i="244"/>
  <c r="L2437" i="244"/>
  <c r="L2438" i="244"/>
  <c r="L2439" i="244"/>
  <c r="L2440" i="244"/>
  <c r="L2441" i="244"/>
  <c r="L2442" i="244"/>
  <c r="L2443" i="244"/>
  <c r="L2444" i="244"/>
  <c r="L2445" i="244"/>
  <c r="L2446" i="244"/>
  <c r="L2447" i="244"/>
  <c r="L2448" i="244"/>
  <c r="L2449" i="244"/>
  <c r="L2450" i="244"/>
  <c r="L2451" i="244"/>
  <c r="L2452" i="244"/>
  <c r="L2453" i="244"/>
  <c r="L2454" i="244"/>
  <c r="L2455" i="244"/>
  <c r="L2456" i="244"/>
  <c r="L2457" i="244"/>
  <c r="L2458" i="244"/>
  <c r="L2459" i="244"/>
  <c r="L2460" i="244"/>
  <c r="L2461" i="244"/>
  <c r="L2462" i="244"/>
  <c r="L2463" i="244"/>
  <c r="L2464" i="244"/>
  <c r="L2465" i="244"/>
  <c r="L2466" i="244"/>
  <c r="L2467" i="244"/>
  <c r="L2468" i="244"/>
  <c r="L2469" i="244"/>
  <c r="L2470" i="244"/>
  <c r="L2471" i="244"/>
  <c r="L2472" i="244"/>
  <c r="L2473" i="244"/>
  <c r="L2474" i="244"/>
  <c r="L2475" i="244"/>
  <c r="L2476" i="244"/>
  <c r="L2477" i="244"/>
  <c r="L2478" i="244"/>
  <c r="L2479" i="244"/>
  <c r="L2480" i="244"/>
  <c r="L2481" i="244"/>
  <c r="L2482" i="244"/>
  <c r="L2483" i="244"/>
  <c r="L2484" i="244"/>
  <c r="L2485" i="244"/>
  <c r="L2486" i="244"/>
  <c r="L2487" i="244"/>
  <c r="L2488" i="244"/>
  <c r="L2489" i="244"/>
  <c r="L2490" i="244"/>
  <c r="L2491" i="244"/>
  <c r="L2492" i="244"/>
  <c r="L2493" i="244"/>
  <c r="L2494" i="244"/>
  <c r="L2495" i="244"/>
  <c r="L2496" i="244"/>
  <c r="L2497" i="244"/>
  <c r="L2498" i="244"/>
  <c r="L2499" i="244"/>
  <c r="L2500" i="244"/>
  <c r="L2501" i="244"/>
  <c r="L2502" i="244"/>
  <c r="L2503" i="244"/>
  <c r="L2504" i="244"/>
  <c r="L2505" i="244"/>
  <c r="L2506" i="244"/>
  <c r="L2507" i="244"/>
  <c r="L2508" i="244"/>
  <c r="L2509" i="244"/>
  <c r="L2510" i="244"/>
  <c r="L2511" i="244"/>
  <c r="L2512" i="244"/>
  <c r="L2513" i="244"/>
  <c r="L2514" i="244"/>
  <c r="L2515" i="244"/>
  <c r="L2516" i="244"/>
  <c r="L2517" i="244"/>
  <c r="L2518" i="244"/>
  <c r="L2519" i="244"/>
  <c r="L2520" i="244"/>
  <c r="L2521" i="244"/>
  <c r="L2522" i="244"/>
  <c r="L2523" i="244"/>
  <c r="L2524" i="244"/>
  <c r="L2525" i="244"/>
  <c r="L2526" i="244"/>
  <c r="L2527" i="244"/>
  <c r="L2528" i="244"/>
  <c r="L2529" i="244"/>
  <c r="L2530" i="244"/>
  <c r="L2531" i="244"/>
  <c r="L2532" i="244"/>
  <c r="L2533" i="244"/>
  <c r="L2534" i="244"/>
  <c r="L2535" i="244"/>
  <c r="L2536" i="244"/>
  <c r="L2537" i="244"/>
  <c r="L2538" i="244"/>
  <c r="L2539" i="244"/>
  <c r="L2540" i="244"/>
  <c r="L2541" i="244"/>
  <c r="L2542" i="244"/>
  <c r="L2543" i="244"/>
  <c r="L2544" i="244"/>
  <c r="L2545" i="244"/>
  <c r="L2546" i="244"/>
  <c r="L2547" i="244"/>
  <c r="L2548" i="244"/>
  <c r="L2549" i="244"/>
  <c r="L2550" i="244"/>
  <c r="L2551" i="244"/>
  <c r="L2552" i="244"/>
  <c r="L2553" i="244"/>
  <c r="L2554" i="244"/>
  <c r="L2555" i="244"/>
  <c r="L2556" i="244"/>
  <c r="L2557" i="244"/>
  <c r="L2558" i="244"/>
  <c r="L2559" i="244"/>
  <c r="L2560" i="244"/>
  <c r="L2561" i="244"/>
  <c r="L2562" i="244"/>
  <c r="L2563" i="244"/>
  <c r="L2564" i="244"/>
  <c r="L2565" i="244"/>
  <c r="L2566" i="244"/>
  <c r="L2567" i="244"/>
  <c r="L2568" i="244"/>
  <c r="L2569" i="244"/>
  <c r="L2570" i="244"/>
  <c r="L2571" i="244"/>
  <c r="L2572" i="244"/>
  <c r="L2573" i="244"/>
  <c r="L2574" i="244"/>
  <c r="L2575" i="244"/>
  <c r="L2576" i="244"/>
  <c r="L2577" i="244"/>
  <c r="L2578" i="244"/>
  <c r="L2579" i="244"/>
  <c r="L2580" i="244"/>
  <c r="L2581" i="244"/>
  <c r="L2582" i="244"/>
  <c r="L2583" i="244"/>
  <c r="L2584" i="244"/>
  <c r="L2585" i="244"/>
  <c r="L2586" i="244"/>
  <c r="L2587" i="244"/>
  <c r="L2588" i="244"/>
  <c r="L2589" i="244"/>
  <c r="L2590" i="244"/>
  <c r="L2591" i="244"/>
  <c r="L2592" i="244"/>
  <c r="L2593" i="244"/>
  <c r="L2594" i="244"/>
  <c r="L2595" i="244"/>
  <c r="L2596" i="244"/>
  <c r="L2597" i="244"/>
  <c r="L2598" i="244"/>
  <c r="L2599" i="244"/>
  <c r="L2600" i="244"/>
  <c r="L2601" i="244"/>
  <c r="L2602" i="244"/>
  <c r="L2603" i="244"/>
  <c r="L2604" i="244"/>
  <c r="L2605" i="244"/>
  <c r="L2606" i="244"/>
  <c r="L2607" i="244"/>
  <c r="L2608" i="244"/>
  <c r="L2609" i="244"/>
  <c r="L2610" i="244"/>
  <c r="L2611" i="244"/>
  <c r="L2612" i="244"/>
  <c r="L2613" i="244"/>
  <c r="L2614" i="244"/>
  <c r="L2615" i="244"/>
  <c r="L2616" i="244"/>
  <c r="L2617" i="244"/>
  <c r="L2618" i="244"/>
  <c r="L2619" i="244"/>
  <c r="L2620" i="244"/>
  <c r="L2621" i="244"/>
  <c r="L2622" i="244"/>
  <c r="L2623" i="244"/>
  <c r="L2624" i="244"/>
  <c r="L2625" i="244"/>
  <c r="L2626" i="244"/>
  <c r="L2627" i="244"/>
  <c r="L2628" i="244"/>
  <c r="L2629" i="244"/>
  <c r="L2630" i="244"/>
  <c r="L2631" i="244"/>
  <c r="L2632" i="244"/>
  <c r="L2633" i="244"/>
  <c r="L2634" i="244"/>
  <c r="L2635" i="244"/>
  <c r="L2636" i="244"/>
  <c r="L2637" i="244"/>
  <c r="L2638" i="244"/>
  <c r="L2639" i="244"/>
  <c r="L2640" i="244"/>
  <c r="L2641" i="244"/>
  <c r="L2642" i="244"/>
  <c r="L2643" i="244"/>
  <c r="L2644" i="244"/>
  <c r="L2645" i="244"/>
  <c r="L2646" i="244"/>
  <c r="L2647" i="244"/>
  <c r="L2648" i="244"/>
  <c r="L2649" i="244"/>
  <c r="L2650" i="244"/>
  <c r="L2651" i="244"/>
  <c r="L2652" i="244"/>
  <c r="L2653" i="244"/>
  <c r="L2654" i="244"/>
  <c r="L2655" i="244"/>
  <c r="L2656" i="244"/>
  <c r="L2657" i="244"/>
  <c r="L2658" i="244"/>
  <c r="L2659" i="244"/>
  <c r="L2660" i="244"/>
  <c r="L2661" i="244"/>
  <c r="L2662" i="244"/>
  <c r="L2663" i="244"/>
  <c r="L2664" i="244"/>
  <c r="L2665" i="244"/>
  <c r="L2666" i="244"/>
  <c r="L2667" i="244"/>
  <c r="L2668" i="244"/>
  <c r="L2669" i="244"/>
  <c r="L2670" i="244"/>
  <c r="L2671" i="244"/>
  <c r="L2672" i="244"/>
  <c r="L2673" i="244"/>
  <c r="L2674" i="244"/>
  <c r="L2675" i="244"/>
  <c r="L2676" i="244"/>
  <c r="L2677" i="244"/>
  <c r="L2678" i="244"/>
  <c r="L2679" i="244"/>
  <c r="L2680" i="244"/>
  <c r="L2681" i="244"/>
  <c r="L2682" i="244"/>
  <c r="L2683" i="244"/>
  <c r="L2684" i="244"/>
  <c r="L2685" i="244"/>
  <c r="L2686" i="244"/>
  <c r="L2687" i="244"/>
  <c r="L2688" i="244"/>
  <c r="L2689" i="244"/>
  <c r="L2690" i="244"/>
  <c r="L2691" i="244"/>
  <c r="L2692" i="244"/>
  <c r="L2693" i="244"/>
  <c r="L2694" i="244"/>
  <c r="L2695" i="244"/>
  <c r="L2696" i="244"/>
  <c r="L2697" i="244"/>
  <c r="L2698" i="244"/>
  <c r="L2699" i="244"/>
  <c r="L2700" i="244"/>
  <c r="L2701" i="244"/>
  <c r="L2702" i="244"/>
  <c r="L2703" i="244"/>
  <c r="L2704" i="244"/>
  <c r="L2705" i="244"/>
  <c r="L2706" i="244"/>
  <c r="L2707" i="244"/>
  <c r="L2708" i="244"/>
  <c r="L2709" i="244"/>
  <c r="L2710" i="244"/>
  <c r="L2711" i="244"/>
  <c r="L2712" i="244"/>
  <c r="L2713" i="244"/>
  <c r="L2714" i="244"/>
  <c r="L2715" i="244"/>
  <c r="L2716" i="244"/>
  <c r="L2717" i="244"/>
  <c r="L2718" i="244"/>
  <c r="L2719" i="244"/>
  <c r="L2720" i="244"/>
  <c r="L2721" i="244"/>
  <c r="L2722" i="244"/>
  <c r="L2723" i="244"/>
  <c r="L2724" i="244"/>
  <c r="L2725" i="244"/>
  <c r="L2726" i="244"/>
  <c r="L2727" i="244"/>
  <c r="L2728" i="244"/>
  <c r="L2729" i="244"/>
  <c r="L2730" i="244"/>
  <c r="L2731" i="244"/>
  <c r="L2732" i="244"/>
  <c r="L2733" i="244"/>
  <c r="L2734" i="244"/>
  <c r="L2735" i="244"/>
  <c r="L2736" i="244"/>
  <c r="L2737" i="244"/>
  <c r="L2738" i="244"/>
  <c r="L2739" i="244"/>
  <c r="L2740" i="244"/>
  <c r="L2741" i="244"/>
  <c r="L2742" i="244"/>
  <c r="L2743" i="244"/>
  <c r="L2744" i="244"/>
  <c r="L2745" i="244"/>
  <c r="L2746" i="244"/>
  <c r="L2747" i="244"/>
  <c r="L2748" i="244"/>
  <c r="L2749" i="244"/>
  <c r="L2750" i="244"/>
  <c r="L2751" i="244"/>
  <c r="L2752" i="244"/>
  <c r="L2753" i="244"/>
  <c r="L2754" i="244"/>
  <c r="L2755" i="244"/>
  <c r="L2756" i="244"/>
  <c r="L2757" i="244"/>
  <c r="L2758" i="244"/>
  <c r="L2759" i="244"/>
  <c r="L2760" i="244"/>
  <c r="L2761" i="244"/>
  <c r="L2762" i="244"/>
  <c r="L2763" i="244"/>
  <c r="L2764" i="244"/>
  <c r="L2765" i="244"/>
  <c r="L2766" i="244"/>
  <c r="L2767" i="244"/>
  <c r="L2768" i="244"/>
  <c r="L2769" i="244"/>
  <c r="L2770" i="244"/>
  <c r="L2771" i="244"/>
  <c r="L2772" i="244"/>
  <c r="L2773" i="244"/>
  <c r="L2774" i="244"/>
  <c r="L2775" i="244"/>
  <c r="L2776" i="244"/>
  <c r="L2777" i="244"/>
  <c r="L2778" i="244"/>
  <c r="L2779" i="244"/>
  <c r="L2780" i="244"/>
  <c r="L2781" i="244"/>
  <c r="L2782" i="244"/>
  <c r="L2783" i="244"/>
  <c r="L2784" i="244"/>
  <c r="L2785" i="244"/>
  <c r="L2786" i="244"/>
  <c r="L2787" i="244"/>
  <c r="L2788" i="244"/>
  <c r="L2789" i="244"/>
  <c r="L2790" i="244"/>
  <c r="L2791" i="244"/>
  <c r="L2792" i="244"/>
  <c r="L2793" i="244"/>
  <c r="L2794" i="244"/>
  <c r="L2795" i="244"/>
  <c r="L2796" i="244"/>
  <c r="L2797" i="244"/>
  <c r="L2798" i="244"/>
  <c r="L2799" i="244"/>
  <c r="L2800" i="244"/>
  <c r="L2801" i="244"/>
  <c r="L2802" i="244"/>
  <c r="L2803" i="244"/>
  <c r="L2804" i="244"/>
  <c r="L2805" i="244"/>
  <c r="L2806" i="244"/>
  <c r="L2807" i="244"/>
  <c r="L2808" i="244"/>
  <c r="L2809" i="244"/>
  <c r="L2810" i="244"/>
  <c r="L2811" i="244"/>
  <c r="L2812" i="244"/>
  <c r="L2813" i="244"/>
  <c r="L2814" i="244"/>
  <c r="L2815" i="244"/>
  <c r="L2816" i="244"/>
  <c r="L2817" i="244"/>
  <c r="L2818" i="244"/>
  <c r="L2819" i="244"/>
  <c r="L2820" i="244"/>
  <c r="L2821" i="244"/>
  <c r="L2822" i="244"/>
  <c r="L2823" i="244"/>
  <c r="L2824" i="244"/>
  <c r="L2825" i="244"/>
  <c r="L2826" i="244"/>
  <c r="L2827" i="244"/>
  <c r="L2828" i="244"/>
  <c r="L2829" i="244"/>
  <c r="L2830" i="244"/>
  <c r="L2831" i="244"/>
  <c r="L2832" i="244"/>
  <c r="L2833" i="244"/>
  <c r="L2834" i="244"/>
  <c r="L2835" i="244"/>
  <c r="L2836" i="244"/>
  <c r="L2837" i="244"/>
  <c r="L2838" i="244"/>
  <c r="L2839" i="244"/>
  <c r="L2840" i="244"/>
  <c r="L2841" i="244"/>
  <c r="L2842" i="244"/>
  <c r="L2843" i="244"/>
  <c r="L2844" i="244"/>
  <c r="L2845" i="244"/>
  <c r="L2846" i="244"/>
  <c r="L2847" i="244"/>
  <c r="L2848" i="244"/>
  <c r="L2849" i="244"/>
  <c r="L2850" i="244"/>
  <c r="L2851" i="244"/>
  <c r="L2852" i="244"/>
  <c r="L2853" i="244"/>
  <c r="L2854" i="244"/>
  <c r="L2855" i="244"/>
  <c r="L2856" i="244"/>
  <c r="L2857" i="244"/>
  <c r="L2858" i="244"/>
  <c r="L2859" i="244"/>
  <c r="L2860" i="244"/>
  <c r="L2861" i="244"/>
  <c r="L2862" i="244"/>
  <c r="L2863" i="244"/>
  <c r="L2864" i="244"/>
  <c r="L2865" i="244"/>
  <c r="L2866" i="244"/>
  <c r="L2867" i="244"/>
  <c r="L2868" i="244"/>
  <c r="L2869" i="244"/>
  <c r="L2870" i="244"/>
  <c r="L2871" i="244"/>
  <c r="L2872" i="244"/>
  <c r="L2873" i="244"/>
  <c r="L2874" i="244"/>
  <c r="L2875" i="244"/>
  <c r="L2876" i="244"/>
  <c r="L2877" i="244"/>
  <c r="L2878" i="244"/>
  <c r="L2879" i="244"/>
  <c r="L2880" i="244"/>
  <c r="L2881" i="244"/>
  <c r="L2882" i="244"/>
  <c r="L2883" i="244"/>
  <c r="L2884" i="244"/>
  <c r="L2885" i="244"/>
  <c r="L2886" i="244"/>
  <c r="L2887" i="244"/>
  <c r="L2888" i="244"/>
  <c r="L2889" i="244"/>
  <c r="L2890" i="244"/>
  <c r="L2891" i="244"/>
  <c r="L2892" i="244"/>
  <c r="L2893" i="244"/>
  <c r="L2894" i="244"/>
  <c r="L2895" i="244"/>
  <c r="L2896" i="244"/>
  <c r="L2897" i="244"/>
  <c r="L2898" i="244"/>
  <c r="L2899" i="244"/>
  <c r="L2900" i="244"/>
  <c r="L2901" i="244"/>
  <c r="L2902" i="244"/>
  <c r="L2903" i="244"/>
  <c r="L2904" i="244"/>
  <c r="L2905" i="244"/>
  <c r="L2906" i="244"/>
  <c r="L2907" i="244"/>
  <c r="L2908" i="244"/>
  <c r="L2909" i="244"/>
  <c r="L2910" i="244"/>
  <c r="L2911" i="244"/>
  <c r="L2912" i="244"/>
  <c r="L2913" i="244"/>
  <c r="L2914" i="244"/>
  <c r="L2915" i="244"/>
  <c r="L2916" i="244"/>
  <c r="L2917" i="244"/>
  <c r="L2918" i="244"/>
  <c r="L17" i="244"/>
  <c r="L6" i="244"/>
  <c r="L7" i="244"/>
  <c r="L8" i="244"/>
  <c r="L9" i="244"/>
  <c r="L10" i="244"/>
  <c r="L11" i="244"/>
  <c r="L12" i="244"/>
  <c r="L13" i="244"/>
  <c r="L14" i="244"/>
  <c r="L15" i="244"/>
  <c r="L16" i="244"/>
  <c r="L4" i="244"/>
  <c r="L5" i="244"/>
  <c r="J2918" i="244"/>
  <c r="I2918" i="244"/>
  <c r="H2918" i="244"/>
  <c r="G2918" i="244"/>
  <c r="F2918" i="244"/>
  <c r="E2918" i="244"/>
  <c r="J2863" i="244"/>
  <c r="I2863" i="244"/>
  <c r="H2863" i="244"/>
  <c r="G2863" i="244"/>
  <c r="F2863" i="244"/>
  <c r="E2863" i="244"/>
  <c r="J2808" i="244"/>
  <c r="I2808" i="244"/>
  <c r="H2808" i="244"/>
  <c r="G2808" i="244"/>
  <c r="F2808" i="244"/>
  <c r="E2808" i="244"/>
  <c r="J2753" i="244"/>
  <c r="I2753" i="244"/>
  <c r="H2753" i="244"/>
  <c r="G2753" i="244"/>
  <c r="F2753" i="244"/>
  <c r="E2753" i="244"/>
  <c r="J2698" i="244"/>
  <c r="I2698" i="244"/>
  <c r="H2698" i="244"/>
  <c r="G2698" i="244"/>
  <c r="F2698" i="244"/>
  <c r="E2698" i="244"/>
  <c r="J2643" i="244"/>
  <c r="I2643" i="244"/>
  <c r="H2643" i="244"/>
  <c r="G2643" i="244"/>
  <c r="F2643" i="244"/>
  <c r="E2643" i="244"/>
  <c r="J2588" i="244"/>
  <c r="I2588" i="244"/>
  <c r="H2588" i="244"/>
  <c r="G2588" i="244"/>
  <c r="F2588" i="244"/>
  <c r="E2588" i="244"/>
  <c r="J2533" i="244"/>
  <c r="I2533" i="244"/>
  <c r="H2533" i="244"/>
  <c r="G2533" i="244"/>
  <c r="F2533" i="244"/>
  <c r="E2533" i="244"/>
  <c r="J2478" i="244"/>
  <c r="I2478" i="244"/>
  <c r="H2478" i="244"/>
  <c r="G2478" i="244"/>
  <c r="F2478" i="244"/>
  <c r="E2478" i="244"/>
  <c r="J2423" i="244"/>
  <c r="I2423" i="244"/>
  <c r="H2423" i="244"/>
  <c r="G2423" i="244"/>
  <c r="F2423" i="244"/>
  <c r="E2423" i="244"/>
  <c r="J2368" i="244"/>
  <c r="I2368" i="244"/>
  <c r="H2368" i="244"/>
  <c r="G2368" i="244"/>
  <c r="F2368" i="244"/>
  <c r="E2368" i="244"/>
  <c r="J2313" i="244"/>
  <c r="I2313" i="244"/>
  <c r="H2313" i="244"/>
  <c r="G2313" i="244"/>
  <c r="F2313" i="244"/>
  <c r="E2313" i="244"/>
  <c r="J2258" i="244"/>
  <c r="I2258" i="244"/>
  <c r="H2258" i="244"/>
  <c r="G2258" i="244"/>
  <c r="F2258" i="244"/>
  <c r="E2258" i="244"/>
  <c r="J2203" i="244"/>
  <c r="I2203" i="244"/>
  <c r="H2203" i="244"/>
  <c r="G2203" i="244"/>
  <c r="F2203" i="244"/>
  <c r="E2203" i="244"/>
  <c r="J2148" i="244"/>
  <c r="I2148" i="244"/>
  <c r="H2148" i="244"/>
  <c r="G2148" i="244"/>
  <c r="F2148" i="244"/>
  <c r="E2148" i="244"/>
  <c r="J2093" i="244"/>
  <c r="I2093" i="244"/>
  <c r="H2093" i="244"/>
  <c r="G2093" i="244"/>
  <c r="F2093" i="244"/>
  <c r="E2093" i="244"/>
  <c r="J2038" i="244"/>
  <c r="I2038" i="244"/>
  <c r="H2038" i="244"/>
  <c r="G2038" i="244"/>
  <c r="F2038" i="244"/>
  <c r="E2038" i="244"/>
  <c r="J1983" i="244"/>
  <c r="I1983" i="244"/>
  <c r="H1983" i="244"/>
  <c r="G1983" i="244"/>
  <c r="F1983" i="244"/>
  <c r="E1983" i="244"/>
  <c r="J1928" i="244"/>
  <c r="I1928" i="244"/>
  <c r="H1928" i="244"/>
  <c r="G1928" i="244"/>
  <c r="F1928" i="244"/>
  <c r="E1928" i="244"/>
  <c r="J1873" i="244"/>
  <c r="I1873" i="244"/>
  <c r="H1873" i="244"/>
  <c r="G1873" i="244"/>
  <c r="F1873" i="244"/>
  <c r="E1873" i="244"/>
  <c r="J1818" i="244"/>
  <c r="I1818" i="244"/>
  <c r="H1818" i="244"/>
  <c r="G1818" i="244"/>
  <c r="F1818" i="244"/>
  <c r="E1818" i="244"/>
  <c r="J1763" i="244"/>
  <c r="I1763" i="244"/>
  <c r="H1763" i="244"/>
  <c r="G1763" i="244"/>
  <c r="F1763" i="244"/>
  <c r="E1763" i="244"/>
  <c r="J1708" i="244"/>
  <c r="I1708" i="244"/>
  <c r="H1708" i="244"/>
  <c r="G1708" i="244"/>
  <c r="F1708" i="244"/>
  <c r="E1708" i="244"/>
  <c r="J1653" i="244"/>
  <c r="I1653" i="244"/>
  <c r="H1653" i="244"/>
  <c r="G1653" i="244"/>
  <c r="F1653" i="244"/>
  <c r="E1653" i="244"/>
  <c r="J1598" i="244"/>
  <c r="I1598" i="244"/>
  <c r="H1598" i="244"/>
  <c r="G1598" i="244"/>
  <c r="F1598" i="244"/>
  <c r="E1598" i="244"/>
  <c r="J1543" i="244"/>
  <c r="I1543" i="244"/>
  <c r="H1543" i="244"/>
  <c r="G1543" i="244"/>
  <c r="F1543" i="244"/>
  <c r="E1543" i="244"/>
  <c r="J1488" i="244"/>
  <c r="I1488" i="244"/>
  <c r="H1488" i="244"/>
  <c r="G1488" i="244"/>
  <c r="F1488" i="244"/>
  <c r="E1488" i="244"/>
  <c r="J1433" i="244"/>
  <c r="I1433" i="244"/>
  <c r="H1433" i="244"/>
  <c r="G1433" i="244"/>
  <c r="F1433" i="244"/>
  <c r="E1433" i="244"/>
  <c r="J1378" i="244"/>
  <c r="I1378" i="244"/>
  <c r="H1378" i="244"/>
  <c r="G1378" i="244"/>
  <c r="F1378" i="244"/>
  <c r="E1378" i="244"/>
  <c r="J1323" i="244"/>
  <c r="I1323" i="244"/>
  <c r="H1323" i="244"/>
  <c r="G1323" i="244"/>
  <c r="F1323" i="244"/>
  <c r="E1323" i="244"/>
  <c r="J1268" i="244"/>
  <c r="I1268" i="244"/>
  <c r="H1268" i="244"/>
  <c r="G1268" i="244"/>
  <c r="F1268" i="244"/>
  <c r="E1268" i="244"/>
  <c r="J1213" i="244"/>
  <c r="I1213" i="244"/>
  <c r="H1213" i="244"/>
  <c r="G1213" i="244"/>
  <c r="F1213" i="244"/>
  <c r="E1213" i="244"/>
  <c r="J1158" i="244"/>
  <c r="I1158" i="244"/>
  <c r="H1158" i="244"/>
  <c r="G1158" i="244"/>
  <c r="F1158" i="244"/>
  <c r="E1158" i="244"/>
  <c r="J1103" i="244"/>
  <c r="I1103" i="244"/>
  <c r="H1103" i="244"/>
  <c r="G1103" i="244"/>
  <c r="F1103" i="244"/>
  <c r="E1103" i="244"/>
  <c r="J1048" i="244"/>
  <c r="I1048" i="244"/>
  <c r="H1048" i="244"/>
  <c r="G1048" i="244"/>
  <c r="F1048" i="244"/>
  <c r="E1048" i="244"/>
  <c r="J993" i="244"/>
  <c r="I993" i="244"/>
  <c r="H993" i="244"/>
  <c r="G993" i="244"/>
  <c r="F993" i="244"/>
  <c r="E993" i="244"/>
  <c r="J938" i="244"/>
  <c r="I938" i="244"/>
  <c r="H938" i="244"/>
  <c r="G938" i="244"/>
  <c r="F938" i="244"/>
  <c r="E938" i="244"/>
  <c r="J883" i="244"/>
  <c r="I883" i="244"/>
  <c r="H883" i="244"/>
  <c r="G883" i="244"/>
  <c r="F883" i="244"/>
  <c r="E883" i="244"/>
  <c r="J828" i="244"/>
  <c r="I828" i="244"/>
  <c r="H828" i="244"/>
  <c r="G828" i="244"/>
  <c r="F828" i="244"/>
  <c r="E828" i="244"/>
  <c r="J773" i="244"/>
  <c r="I773" i="244"/>
  <c r="H773" i="244"/>
  <c r="G773" i="244"/>
  <c r="F773" i="244"/>
  <c r="E773" i="244"/>
  <c r="J718" i="244"/>
  <c r="I718" i="244"/>
  <c r="H718" i="244"/>
  <c r="G718" i="244"/>
  <c r="F718" i="244"/>
  <c r="E718" i="244"/>
  <c r="J663" i="244"/>
  <c r="I663" i="244"/>
  <c r="H663" i="244"/>
  <c r="G663" i="244"/>
  <c r="F663" i="244"/>
  <c r="E663" i="244"/>
  <c r="J608" i="244"/>
  <c r="I608" i="244"/>
  <c r="H608" i="244"/>
  <c r="G608" i="244"/>
  <c r="F608" i="244"/>
  <c r="E608" i="244"/>
  <c r="J553" i="244"/>
  <c r="I553" i="244"/>
  <c r="H553" i="244"/>
  <c r="G553" i="244"/>
  <c r="F553" i="244"/>
  <c r="E553" i="244"/>
  <c r="J498" i="244"/>
  <c r="I498" i="244"/>
  <c r="H498" i="244"/>
  <c r="G498" i="244"/>
  <c r="F498" i="244"/>
  <c r="E498" i="244"/>
  <c r="J443" i="244"/>
  <c r="I443" i="244"/>
  <c r="H443" i="244"/>
  <c r="G443" i="244"/>
  <c r="F443" i="244"/>
  <c r="E443" i="244"/>
  <c r="J388" i="244"/>
  <c r="I388" i="244"/>
  <c r="H388" i="244"/>
  <c r="G388" i="244"/>
  <c r="F388" i="244"/>
  <c r="E388" i="244"/>
  <c r="J333" i="244"/>
  <c r="I333" i="244"/>
  <c r="H333" i="244"/>
  <c r="G333" i="244"/>
  <c r="F333" i="244"/>
  <c r="E333" i="244"/>
  <c r="J278" i="244"/>
  <c r="I278" i="244"/>
  <c r="H278" i="244"/>
  <c r="G278" i="244"/>
  <c r="F278" i="244"/>
  <c r="E278" i="244"/>
  <c r="J223" i="244"/>
  <c r="I223" i="244"/>
  <c r="H223" i="244"/>
  <c r="G223" i="244"/>
  <c r="F223" i="244"/>
  <c r="E223" i="244"/>
  <c r="J168" i="244"/>
  <c r="I168" i="244"/>
  <c r="H168" i="244"/>
  <c r="G168" i="244"/>
  <c r="F168" i="244"/>
  <c r="E168" i="244"/>
  <c r="J113" i="244"/>
  <c r="I113" i="244"/>
  <c r="H113" i="244"/>
  <c r="G113" i="244"/>
  <c r="F113" i="244"/>
  <c r="E113" i="244"/>
  <c r="J58" i="244"/>
  <c r="I58" i="244"/>
  <c r="H58" i="244"/>
  <c r="G58" i="244"/>
  <c r="F58" i="244"/>
  <c r="E58" i="244"/>
  <c r="J3" i="244"/>
  <c r="I3" i="244"/>
  <c r="H3" i="244"/>
  <c r="G3" i="244"/>
  <c r="F3" i="244"/>
  <c r="E3" i="244"/>
  <c r="D26" i="231"/>
</calcChain>
</file>

<file path=xl/sharedStrings.xml><?xml version="1.0" encoding="utf-8"?>
<sst xmlns="http://schemas.openxmlformats.org/spreadsheetml/2006/main" count="19044" uniqueCount="7301">
  <si>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</si>
  <si>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</si>
  <si>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</si>
  <si>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</si>
  <si>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</si>
  <si>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</si>
  <si>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</si>
  <si>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</si>
  <si>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</si>
  <si>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</si>
  <si>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</si>
  <si>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</si>
  <si>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</si>
  <si>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</si>
  <si>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</si>
  <si>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</si>
  <si>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</si>
  <si>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</si>
  <si>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</si>
  <si>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</si>
  <si>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</si>
  <si>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</si>
  <si>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Number of depots</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</si>
  <si>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</si>
  <si>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</si>
  <si>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</si>
  <si>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</si>
  <si>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</si>
  <si>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</si>
  <si>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</si>
  <si>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</si>
  <si>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</si>
  <si>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</si>
  <si>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</si>
  <si>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</si>
  <si>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</si>
  <si>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</si>
  <si>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</si>
  <si>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</si>
  <si>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</si>
  <si>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</si>
  <si>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</si>
  <si>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</si>
  <si>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</si>
  <si>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</si>
  <si>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</si>
  <si>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</si>
  <si>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</si>
  <si>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</si>
  <si>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</si>
  <si>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</si>
  <si>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</si>
  <si>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</si>
  <si>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</si>
  <si>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</si>
  <si>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</si>
  <si>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</si>
  <si>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</si>
  <si>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</si>
  <si>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</si>
  <si>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</si>
  <si>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</si>
  <si>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</si>
  <si>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</si>
  <si>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</si>
  <si>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</si>
  <si>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</si>
  <si>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</si>
  <si>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</si>
  <si>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</si>
  <si>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</si>
  <si>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</si>
  <si>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</si>
  <si>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</si>
  <si>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</si>
  <si>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</si>
  <si>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</si>
  <si>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</si>
  <si>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</si>
  <si>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</si>
  <si>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</si>
  <si>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</si>
  <si>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</si>
  <si>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</si>
  <si>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</si>
  <si>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</si>
  <si>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</si>
  <si>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</si>
  <si>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</si>
  <si>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</si>
  <si>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</si>
  <si>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</si>
  <si>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</si>
  <si>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</si>
  <si>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</si>
  <si>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</si>
  <si>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</si>
  <si>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</si>
  <si>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</si>
  <si>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</si>
  <si>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</si>
  <si>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</si>
  <si>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</si>
  <si>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</si>
  <si>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</si>
  <si>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</si>
  <si>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</si>
  <si>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</si>
  <si>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</si>
  <si>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</si>
  <si>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</si>
  <si>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</si>
  <si>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</si>
  <si>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</si>
  <si>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</si>
  <si>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</si>
  <si>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</si>
  <si>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</si>
  <si>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</si>
  <si>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</si>
  <si>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</si>
  <si>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</si>
  <si>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</si>
  <si>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</si>
  <si>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</si>
  <si>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</si>
  <si>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</si>
  <si>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</si>
  <si>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</si>
  <si>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</si>
  <si>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</si>
  <si>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</si>
  <si>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</si>
  <si>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</si>
  <si>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</si>
  <si>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</si>
  <si>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</si>
  <si>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</si>
  <si>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</si>
  <si>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</si>
  <si>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</si>
  <si>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</si>
  <si>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</si>
  <si>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</si>
  <si>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</si>
  <si>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</si>
  <si>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</si>
  <si>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</si>
  <si>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</si>
  <si>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</si>
  <si>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</si>
  <si>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</si>
  <si>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</si>
  <si>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</si>
  <si>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</si>
  <si>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</si>
  <si>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</si>
  <si>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</si>
  <si>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</si>
  <si>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</si>
  <si>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</si>
  <si>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</si>
  <si>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</si>
  <si>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</si>
  <si>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</si>
  <si>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</si>
  <si>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</si>
  <si>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</si>
  <si>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</si>
  <si>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</si>
  <si>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</si>
  <si>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</si>
  <si>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</si>
  <si>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</si>
  <si>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</si>
  <si>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</si>
  <si>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</si>
  <si>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</si>
  <si>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</si>
  <si>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</si>
  <si>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</si>
  <si>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</si>
  <si>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</si>
  <si>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</si>
  <si>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</si>
  <si>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</si>
  <si>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</si>
  <si>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</si>
  <si>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</si>
  <si>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</si>
  <si>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</si>
  <si>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</si>
  <si>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</si>
  <si>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</si>
  <si>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</si>
  <si>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</si>
  <si>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</si>
  <si>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</si>
  <si>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</si>
  <si>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</si>
  <si>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</si>
  <si>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</si>
  <si>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</si>
  <si>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</si>
  <si>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</si>
  <si>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</si>
  <si>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</si>
  <si>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</si>
  <si>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</si>
  <si>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</si>
  <si>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</si>
  <si>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</si>
  <si>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</si>
  <si>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</si>
  <si>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</si>
  <si>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</si>
  <si>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</si>
  <si>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</si>
  <si>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</si>
  <si>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</si>
  <si>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</si>
  <si>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</si>
  <si>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</si>
  <si>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</si>
  <si>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</si>
  <si>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</si>
  <si>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</si>
  <si>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</si>
  <si>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</si>
  <si>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</si>
  <si>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</si>
  <si>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</si>
  <si>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</si>
  <si>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</si>
  <si>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</si>
  <si>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</si>
  <si>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</si>
  <si>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</si>
  <si>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</si>
  <si>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</si>
  <si>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</si>
  <si>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</si>
  <si>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</si>
  <si>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</si>
  <si>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</si>
  <si>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</si>
  <si>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</si>
  <si>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</si>
  <si>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</si>
  <si>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</si>
  <si>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</si>
  <si>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</si>
  <si>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</si>
  <si>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</si>
  <si>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</si>
  <si>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</si>
  <si>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</si>
  <si>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</si>
  <si>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</si>
  <si>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</si>
  <si>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</si>
  <si>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</si>
  <si>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</si>
  <si>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</si>
  <si>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</si>
  <si>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</si>
  <si>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</si>
  <si>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</si>
  <si>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</si>
  <si>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</si>
  <si>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</si>
  <si>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</si>
  <si>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</si>
  <si>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</si>
  <si>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</si>
  <si>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</si>
  <si>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</si>
  <si>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</si>
  <si>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</si>
  <si>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</si>
  <si>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</si>
  <si>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</si>
  <si>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</si>
  <si>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</si>
  <si>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</si>
  <si>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</si>
  <si>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</si>
  <si>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</si>
  <si>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</si>
  <si>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</si>
  <si>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</si>
  <si>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</si>
  <si>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</si>
  <si>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</si>
  <si>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</si>
  <si>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</si>
  <si>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</si>
  <si>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</si>
  <si>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</si>
  <si>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</si>
  <si>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</si>
  <si>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</si>
  <si>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</si>
  <si>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</si>
  <si>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</si>
  <si>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</si>
  <si>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</si>
  <si>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</si>
  <si>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</si>
  <si>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</si>
  <si>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</si>
  <si>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</si>
  <si>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</si>
  <si>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</si>
  <si>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</si>
  <si>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</si>
  <si>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</si>
  <si>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</si>
  <si>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</si>
  <si>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</si>
  <si>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</si>
  <si>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</si>
  <si>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</si>
  <si>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</si>
  <si>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</si>
  <si>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</si>
  <si>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</si>
  <si>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</si>
  <si>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</si>
  <si>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</si>
  <si>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</si>
  <si>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</si>
  <si>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</si>
  <si>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</si>
  <si>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</si>
  <si>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</si>
  <si>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</si>
  <si>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</si>
  <si>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</si>
  <si>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</si>
  <si>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</si>
  <si>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</si>
  <si>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</si>
  <si>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</si>
  <si>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</si>
  <si>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</si>
  <si>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</si>
  <si>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</si>
  <si>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</si>
  <si>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</si>
  <si>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</si>
  <si>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</si>
  <si>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</si>
  <si>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</si>
  <si>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</si>
  <si>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</si>
  <si>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</si>
  <si>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</si>
  <si>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</si>
  <si>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</si>
  <si>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</si>
  <si>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</si>
  <si>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</si>
  <si>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</si>
  <si>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</si>
  <si>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</si>
  <si>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</si>
  <si>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</si>
  <si>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</si>
  <si>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</si>
  <si>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</si>
  <si>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</si>
  <si>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</si>
  <si>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</si>
  <si>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</si>
  <si>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</si>
  <si>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</si>
  <si>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</si>
  <si>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</si>
  <si>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</si>
  <si>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</si>
  <si>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</si>
  <si>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</si>
  <si>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</si>
  <si>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</si>
  <si>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</si>
  <si>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</si>
  <si>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</si>
  <si>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</si>
  <si>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</si>
  <si>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</si>
  <si>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</si>
  <si>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</si>
  <si>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</si>
  <si>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</si>
  <si>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</si>
  <si>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</si>
  <si>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</si>
  <si>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</si>
  <si>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</si>
  <si>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</si>
  <si>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</si>
  <si>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</si>
  <si>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</si>
  <si>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</si>
  <si>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</si>
  <si>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</si>
  <si>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</si>
  <si>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</si>
  <si>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</si>
  <si>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</si>
  <si>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</si>
  <si>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</si>
  <si>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</si>
  <si>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</si>
  <si>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</si>
  <si>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</si>
  <si>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</si>
  <si>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</si>
  <si>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</si>
  <si>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</si>
  <si>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</si>
  <si>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</si>
  <si>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</si>
  <si>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</si>
  <si>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</si>
  <si>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</si>
  <si>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</si>
  <si>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</si>
  <si>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</si>
  <si>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</si>
  <si>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</si>
  <si>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</si>
  <si>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</si>
  <si>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</si>
  <si>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</si>
  <si>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</si>
  <si>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</si>
  <si>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</si>
  <si>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</si>
  <si>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</si>
  <si>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</si>
  <si>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</si>
  <si>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</si>
  <si>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</si>
  <si>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</si>
  <si>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</si>
  <si>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</si>
  <si>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</si>
  <si>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</si>
  <si>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</si>
  <si>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</si>
  <si>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</si>
  <si>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</si>
  <si>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</si>
  <si>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</si>
  <si>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</si>
  <si>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</si>
  <si>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</si>
  <si>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</si>
  <si>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</si>
  <si>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</si>
  <si>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</si>
  <si>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</si>
  <si>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</si>
  <si>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</si>
  <si>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</si>
  <si>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</si>
  <si>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</si>
  <si>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</si>
  <si>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</si>
  <si>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</si>
  <si>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</si>
  <si>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</si>
  <si>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</si>
  <si>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</si>
  <si>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</si>
  <si>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</si>
  <si>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</si>
  <si>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</si>
  <si>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</si>
  <si>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</si>
  <si>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</si>
  <si>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</si>
  <si>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</si>
  <si>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</si>
  <si>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</si>
  <si>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</si>
  <si>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</si>
  <si>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</si>
  <si>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</si>
  <si>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</si>
  <si>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</si>
  <si>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</si>
  <si>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</si>
  <si>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</si>
  <si>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</si>
  <si>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</si>
  <si>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</si>
  <si>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</si>
  <si>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</si>
  <si>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</si>
  <si>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</si>
  <si>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</si>
  <si>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</si>
  <si>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</si>
  <si>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</si>
  <si>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</si>
  <si>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</si>
  <si>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</si>
  <si>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</si>
  <si>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</si>
  <si>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</si>
  <si>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</si>
  <si>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</si>
  <si>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</si>
  <si>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</si>
  <si>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</si>
  <si>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</si>
  <si>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</si>
  <si>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</si>
  <si>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</si>
  <si>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</si>
  <si>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</si>
  <si>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</si>
  <si>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</si>
  <si>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</si>
  <si>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</si>
  <si>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</si>
  <si>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</si>
  <si>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</si>
  <si>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</si>
  <si>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</si>
  <si>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</si>
  <si>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</si>
  <si>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</si>
  <si>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</si>
  <si>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</si>
  <si>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</si>
  <si>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</si>
  <si>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</si>
  <si>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</si>
  <si>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</si>
  <si>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</si>
  <si>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</si>
  <si>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</si>
  <si>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</si>
  <si>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</si>
  <si>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</si>
  <si>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</si>
  <si>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</si>
  <si>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</si>
  <si>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</si>
  <si>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</si>
  <si>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</si>
  <si>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</si>
  <si>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</si>
  <si>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</si>
  <si>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</si>
  <si>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</si>
  <si>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</si>
  <si>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</si>
  <si>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</si>
  <si>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</si>
  <si>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</si>
  <si>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</si>
  <si>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</si>
  <si>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</si>
  <si>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</si>
  <si>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</si>
  <si>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</si>
  <si>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</si>
  <si>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</si>
  <si>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</si>
  <si>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</si>
  <si>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</si>
  <si>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</si>
  <si>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</si>
  <si>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</si>
  <si>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</si>
  <si>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</si>
  <si>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</si>
  <si>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</si>
  <si>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</si>
  <si>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</si>
  <si>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</si>
  <si>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</si>
  <si>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</si>
  <si>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</si>
  <si>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</si>
  <si>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</si>
  <si>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</si>
  <si>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</si>
  <si>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</si>
  <si>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</si>
  <si>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</si>
  <si>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</si>
  <si>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</si>
  <si>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</si>
  <si>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</si>
  <si>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</si>
  <si>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</si>
  <si>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</si>
  <si>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</si>
  <si>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</si>
  <si>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</si>
  <si>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</si>
  <si>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</si>
  <si>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</si>
  <si>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</si>
  <si>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</si>
  <si>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</si>
  <si>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</si>
  <si>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</si>
  <si>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</si>
  <si>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</si>
  <si>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</si>
  <si>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</si>
  <si>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</si>
  <si>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</si>
  <si>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</si>
  <si>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</si>
  <si>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</si>
  <si>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</si>
  <si>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</si>
  <si>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</si>
  <si>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</si>
  <si>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</si>
  <si>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</si>
  <si>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</si>
  <si>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</si>
  <si>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</si>
  <si>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</si>
  <si>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</si>
  <si>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</si>
  <si>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</si>
  <si>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</si>
  <si>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</si>
  <si>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</si>
  <si>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</si>
  <si>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</si>
  <si>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</si>
  <si>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</si>
  <si>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</si>
  <si>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</si>
  <si>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</si>
  <si>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</si>
  <si>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</si>
  <si>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</si>
  <si>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</si>
  <si>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</si>
  <si>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</si>
  <si>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</si>
  <si>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</si>
  <si>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</si>
  <si>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</si>
  <si>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</si>
  <si>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</si>
  <si>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</si>
  <si>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</si>
  <si>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</si>
  <si>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</si>
  <si>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</si>
  <si>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</si>
  <si>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</si>
  <si>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</si>
  <si>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</si>
  <si>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</si>
  <si>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</si>
  <si>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</si>
  <si>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</si>
  <si>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</si>
  <si>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</si>
  <si>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</si>
  <si>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</si>
  <si>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</si>
  <si>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</si>
  <si>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</si>
  <si>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</si>
  <si>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</si>
  <si>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</si>
  <si>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</si>
  <si>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</si>
  <si>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</si>
  <si>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</si>
  <si>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</si>
  <si>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</si>
  <si>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</si>
  <si>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</si>
  <si>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</si>
  <si>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</si>
  <si>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</si>
  <si>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</si>
  <si>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</si>
  <si>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</si>
  <si>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</si>
  <si>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</si>
  <si>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</si>
  <si>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</si>
  <si>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</si>
  <si>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</si>
  <si>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</si>
  <si>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</si>
  <si>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</si>
  <si>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</si>
  <si>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</si>
  <si>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</si>
  <si>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</si>
  <si>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</si>
  <si>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</si>
  <si>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</si>
  <si>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</si>
  <si>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</si>
  <si>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</si>
  <si>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</si>
  <si>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</si>
  <si>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</si>
  <si>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</si>
  <si>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</si>
  <si>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</si>
  <si>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</si>
  <si>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</si>
  <si>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</si>
  <si>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</si>
  <si>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</si>
  <si>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</si>
  <si>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</si>
  <si>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</si>
  <si>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</si>
  <si>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</si>
  <si>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</si>
  <si>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</si>
  <si>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</si>
  <si>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</si>
  <si>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</si>
  <si>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</si>
  <si>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</si>
  <si>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</si>
  <si>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</si>
  <si>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</si>
  <si>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</si>
  <si>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</si>
  <si>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</si>
  <si>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</si>
  <si>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</si>
  <si>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</si>
  <si>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</si>
  <si>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</si>
  <si>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</si>
  <si>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</si>
  <si>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</si>
  <si>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</si>
  <si>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</si>
  <si>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</si>
  <si>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</si>
  <si>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</si>
  <si>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</si>
  <si>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</si>
  <si>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</si>
  <si>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</si>
  <si>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</si>
  <si>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</si>
  <si>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</si>
  <si>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</si>
  <si>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</si>
  <si>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</si>
  <si>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</si>
  <si>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</si>
  <si>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</si>
  <si>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</si>
  <si>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</si>
  <si>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</si>
  <si>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</si>
  <si>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</si>
  <si>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</si>
  <si>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</si>
  <si>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</si>
  <si>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</si>
  <si>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</si>
  <si>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</si>
  <si>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</si>
  <si>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</si>
  <si>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</si>
  <si>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</si>
  <si>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</si>
  <si>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</si>
  <si>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</si>
  <si>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</si>
  <si>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</si>
  <si>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</si>
  <si>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</si>
  <si>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</si>
  <si>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</si>
  <si>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</si>
  <si>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</si>
  <si>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</si>
  <si>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</si>
  <si>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</si>
  <si>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</si>
  <si>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</si>
  <si>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</si>
  <si>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</si>
  <si>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</si>
  <si>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</si>
  <si>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</si>
  <si>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</si>
  <si>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</si>
  <si>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</si>
  <si>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</si>
  <si>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</si>
  <si>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</si>
  <si>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</si>
  <si>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</si>
  <si>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</si>
  <si>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</si>
  <si>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</si>
  <si>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</si>
  <si>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</si>
  <si>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</si>
  <si>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</si>
  <si>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</si>
  <si>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</si>
  <si>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</si>
  <si>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</si>
  <si>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</si>
  <si>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</si>
  <si>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</si>
  <si>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</si>
  <si>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</si>
  <si>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</si>
  <si>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</si>
  <si>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</si>
  <si>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</si>
  <si>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</si>
  <si>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</si>
  <si>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</si>
  <si>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</si>
  <si>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</si>
  <si>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</si>
  <si>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</si>
  <si>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</si>
  <si>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</si>
  <si>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</si>
  <si>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</si>
  <si>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</si>
  <si>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</si>
  <si>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</si>
  <si>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</si>
  <si>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</si>
  <si>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</si>
  <si>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</si>
  <si>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</si>
  <si>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</si>
  <si>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</si>
  <si>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</si>
  <si>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</si>
  <si>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</si>
  <si>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</si>
  <si>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</si>
  <si>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</si>
  <si>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</si>
  <si>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</si>
  <si>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</si>
  <si>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</si>
  <si>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</si>
  <si>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</si>
  <si>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</si>
  <si>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</si>
  <si>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</si>
  <si>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</si>
  <si>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</si>
  <si>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</si>
  <si>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</si>
  <si>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</si>
  <si>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</si>
  <si>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</si>
  <si>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</si>
  <si>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</si>
  <si>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</si>
  <si>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</si>
  <si>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</si>
  <si>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</si>
  <si>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</si>
  <si>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</si>
  <si>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</si>
  <si>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</si>
  <si>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</si>
  <si>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</si>
  <si>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</si>
  <si>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</si>
  <si>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</si>
  <si>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</si>
  <si>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</si>
  <si>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</si>
  <si>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</si>
  <si>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</si>
  <si>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</si>
  <si>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</si>
  <si>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</si>
  <si>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</si>
  <si>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</si>
  <si>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</si>
  <si>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</si>
  <si>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</si>
  <si>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</si>
  <si>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</si>
  <si>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</si>
  <si>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</si>
  <si>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</si>
  <si>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</si>
  <si>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</si>
  <si>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</si>
  <si>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</si>
  <si>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</si>
  <si>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</si>
  <si>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</si>
  <si>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</si>
  <si>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</si>
  <si>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</si>
  <si>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</si>
  <si>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</si>
  <si>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</si>
  <si>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</si>
  <si>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</si>
  <si>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</si>
  <si>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</si>
  <si>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</si>
  <si>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</si>
  <si>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</si>
  <si>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</si>
  <si>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</si>
  <si>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</si>
  <si>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</si>
  <si>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</si>
  <si>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</si>
  <si>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</si>
  <si>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</si>
  <si>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</si>
  <si>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</si>
  <si>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</si>
  <si>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</si>
  <si>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</si>
  <si>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</si>
  <si>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</si>
  <si>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</si>
  <si>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</si>
  <si>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</si>
  <si>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</si>
  <si>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</si>
  <si>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</si>
  <si>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</si>
  <si>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</si>
  <si>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</si>
  <si>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</si>
  <si>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</si>
  <si>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</si>
  <si>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</si>
  <si>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</si>
  <si>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</si>
  <si>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</si>
  <si>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</si>
  <si>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</si>
  <si>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</si>
  <si>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</si>
  <si>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</si>
  <si>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</si>
  <si>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</si>
  <si>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</si>
  <si>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</si>
  <si>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</si>
  <si>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</si>
  <si>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</si>
  <si>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</si>
  <si>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</si>
  <si>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</si>
  <si>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</si>
  <si>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</si>
  <si>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</si>
  <si>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</si>
  <si>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</si>
  <si>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</si>
  <si>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</si>
  <si>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</si>
  <si>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</si>
  <si>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</si>
  <si>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</si>
  <si>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</si>
  <si>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</si>
  <si>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</si>
  <si>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</si>
  <si>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</si>
  <si>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</si>
  <si>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</si>
  <si>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</si>
  <si>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</si>
  <si>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</si>
  <si>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</si>
  <si>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</si>
  <si>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</si>
  <si>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</si>
  <si>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</si>
  <si>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</si>
  <si>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</si>
  <si>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</si>
  <si>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</si>
  <si>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</si>
  <si>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</si>
  <si>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</si>
  <si>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</si>
  <si>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</si>
  <si>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</si>
  <si>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</si>
  <si>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</si>
  <si>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</si>
  <si>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</si>
  <si>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</si>
  <si>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</si>
  <si>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</si>
  <si>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</si>
  <si>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</si>
  <si>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</si>
  <si>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</si>
  <si>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</si>
  <si>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</si>
  <si>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</si>
  <si>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</si>
  <si>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</si>
  <si>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</si>
  <si>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</si>
  <si>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</si>
  <si>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</si>
  <si>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</si>
  <si>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</si>
  <si>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</si>
  <si>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</si>
  <si>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</si>
  <si>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</si>
  <si>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</si>
  <si>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</si>
  <si>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</si>
  <si>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</si>
  <si>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</si>
  <si>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</si>
  <si>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</si>
  <si>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</si>
  <si>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</si>
  <si>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</si>
  <si>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</si>
  <si>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</si>
  <si>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</si>
  <si>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</si>
  <si>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</si>
  <si>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</si>
  <si>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</si>
  <si>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</si>
  <si>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</si>
  <si>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</si>
  <si>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</si>
  <si>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</si>
  <si>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</si>
  <si>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</si>
  <si>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</si>
  <si>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</si>
  <si>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</si>
  <si>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</si>
  <si>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</si>
  <si>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</si>
  <si>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</si>
  <si>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</si>
  <si>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</si>
  <si>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</si>
  <si>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</si>
  <si>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</si>
  <si>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</si>
  <si>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</si>
  <si>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</si>
  <si>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</si>
  <si>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</si>
  <si>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</si>
  <si>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</si>
  <si>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</si>
  <si>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</si>
  <si>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</si>
  <si>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</si>
  <si>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</si>
  <si>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</si>
  <si>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</si>
  <si>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</si>
  <si>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</si>
  <si>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</si>
  <si>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</si>
  <si>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</si>
  <si>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</si>
  <si>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</si>
  <si>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</si>
  <si>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</si>
  <si>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</si>
  <si>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</si>
  <si>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</si>
  <si>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</si>
  <si>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</si>
  <si>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</si>
  <si>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</si>
  <si>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</si>
  <si>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</si>
  <si>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</si>
  <si>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</si>
  <si>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</si>
  <si>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</si>
  <si>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</si>
  <si>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</si>
  <si>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</si>
  <si>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</si>
  <si>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</si>
  <si>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</si>
  <si>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</si>
  <si>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</si>
  <si>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</si>
  <si>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</si>
  <si>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</si>
  <si>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</si>
  <si>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</si>
  <si>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</si>
  <si>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</si>
  <si>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</si>
  <si>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</si>
  <si>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</si>
  <si>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</si>
  <si>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</si>
  <si>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</si>
  <si>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</si>
  <si>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</si>
  <si>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</si>
  <si>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</si>
  <si>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</si>
  <si>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</si>
  <si>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</si>
  <si>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</si>
  <si>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</si>
  <si>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</si>
  <si>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</si>
  <si>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</si>
  <si>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</si>
  <si>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</si>
  <si>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</si>
  <si>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</si>
  <si>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</si>
  <si>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</si>
  <si>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</si>
  <si>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</si>
  <si>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</si>
  <si>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</si>
  <si>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</si>
  <si>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</si>
  <si>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</si>
  <si>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</si>
  <si>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</si>
  <si>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</si>
  <si>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</si>
  <si>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</si>
  <si>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</si>
  <si>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</si>
  <si>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</si>
  <si>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</si>
  <si>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</si>
  <si>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</si>
  <si>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</si>
  <si>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</si>
  <si>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</si>
  <si>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</si>
  <si>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</si>
  <si>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</si>
  <si>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</si>
  <si>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</si>
  <si>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</si>
  <si>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</si>
  <si>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</si>
  <si>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</si>
  <si>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</si>
  <si>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</si>
  <si>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</si>
  <si>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</si>
  <si>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</si>
  <si>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</si>
  <si>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</si>
  <si>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</si>
  <si>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</si>
  <si>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</si>
  <si>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</si>
  <si>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</si>
  <si>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</si>
  <si>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</si>
  <si>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</si>
  <si>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</si>
  <si>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</si>
  <si>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</si>
  <si>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</si>
  <si>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</si>
  <si>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</si>
  <si>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</si>
  <si>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</si>
  <si>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</si>
  <si>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</si>
  <si>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</si>
  <si>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</si>
  <si>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</si>
  <si>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</si>
  <si>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</si>
  <si>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</si>
  <si>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</si>
  <si>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</si>
  <si>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</si>
  <si>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</si>
  <si>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</si>
  <si>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</si>
  <si>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</si>
  <si>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</si>
  <si>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</si>
  <si>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</si>
  <si>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</si>
  <si>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</si>
  <si>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</si>
  <si>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</si>
  <si>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</si>
  <si>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</si>
  <si>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</si>
  <si>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</si>
  <si>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</si>
  <si>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</si>
  <si>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</si>
  <si>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</si>
  <si>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</si>
  <si>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</si>
  <si>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</si>
  <si>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</si>
  <si>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</si>
  <si>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</si>
  <si>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</si>
  <si>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</si>
  <si>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</si>
  <si>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</si>
  <si>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</si>
  <si>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</si>
  <si>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</si>
  <si>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</si>
  <si>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</si>
  <si>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</si>
  <si>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</si>
  <si>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</si>
  <si>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</si>
  <si>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</si>
  <si>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</si>
  <si>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</si>
  <si>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</si>
  <si>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</si>
  <si>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</si>
  <si>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</si>
  <si>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</si>
  <si>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</si>
  <si>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</si>
  <si>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</si>
  <si>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</si>
  <si>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</si>
  <si>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</si>
  <si>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</si>
  <si>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</si>
  <si>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</si>
  <si>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</si>
  <si>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</si>
  <si>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</si>
  <si>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</si>
  <si>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</si>
  <si>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</si>
  <si>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</si>
  <si>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</si>
  <si>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</si>
  <si>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</si>
  <si>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</si>
  <si>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</si>
  <si>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</si>
  <si>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</si>
  <si>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</si>
  <si>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</si>
  <si>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</si>
  <si>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</si>
  <si>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</si>
  <si>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</si>
  <si>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</si>
  <si>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</si>
  <si>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</si>
  <si>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</si>
  <si>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</si>
  <si>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</si>
  <si>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</si>
  <si>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</si>
  <si>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</si>
  <si>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</si>
  <si>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</si>
  <si>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</si>
  <si>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</si>
  <si>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</si>
  <si>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</si>
  <si>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</si>
  <si>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</si>
  <si>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</si>
  <si>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</si>
  <si>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</si>
  <si>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</si>
  <si>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</si>
  <si>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</si>
  <si>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</si>
  <si>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</si>
  <si>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</si>
  <si>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</si>
  <si>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</si>
  <si>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</si>
  <si>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</si>
  <si>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</si>
  <si>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</si>
  <si>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</si>
  <si>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</si>
  <si>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</si>
  <si>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</si>
  <si>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</si>
  <si>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</si>
  <si>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</si>
  <si>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</si>
  <si>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</si>
  <si>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</si>
  <si>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</si>
  <si>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</si>
  <si>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</si>
  <si>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</si>
  <si>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</si>
  <si>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</si>
  <si>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</si>
  <si>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</si>
  <si>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</si>
  <si>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</si>
  <si>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</si>
  <si>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</si>
  <si>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</si>
  <si>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</si>
  <si>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</si>
  <si>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</si>
  <si>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</si>
  <si>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</si>
  <si>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</si>
  <si>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</si>
  <si>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</si>
  <si>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</si>
  <si>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</si>
  <si>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</si>
  <si>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</si>
  <si>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</si>
  <si>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</si>
  <si>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</si>
  <si>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</si>
  <si>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</si>
  <si>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</si>
  <si>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</si>
  <si>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</si>
  <si>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</si>
  <si>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</si>
  <si>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</si>
  <si>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</si>
  <si>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</si>
  <si>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</si>
  <si>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</si>
  <si>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</si>
  <si>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</si>
  <si>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</si>
  <si>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</si>
  <si>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</si>
  <si>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</si>
  <si>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</si>
  <si>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</si>
  <si>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</si>
  <si>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</si>
  <si>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</si>
  <si>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</si>
  <si>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</si>
  <si>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</si>
  <si>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</si>
  <si>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</si>
  <si>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</si>
  <si>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</si>
  <si>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</si>
  <si>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</si>
  <si>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</si>
  <si>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</si>
  <si>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</si>
  <si>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</si>
  <si>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</si>
  <si>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</si>
  <si>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</si>
  <si>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</si>
  <si>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</si>
  <si>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</si>
  <si>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</si>
  <si>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</si>
  <si>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</si>
  <si>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</si>
  <si>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</si>
  <si>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</si>
  <si>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</si>
  <si>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</si>
  <si>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</si>
  <si>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</si>
  <si>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</si>
  <si>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</si>
  <si>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</si>
  <si>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</si>
  <si>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</si>
  <si>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</si>
  <si>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</si>
  <si>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</si>
  <si>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</si>
  <si>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</si>
  <si>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</si>
  <si>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</si>
  <si>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</si>
  <si>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</si>
  <si>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</si>
  <si>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</si>
  <si>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</si>
  <si>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</si>
  <si>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</si>
  <si>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</si>
  <si>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</si>
  <si>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</si>
  <si>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</si>
  <si>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</si>
  <si>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</si>
  <si>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</si>
  <si>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</si>
  <si>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</si>
  <si>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</si>
  <si>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</si>
  <si>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</si>
  <si>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</si>
  <si>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</si>
  <si>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</si>
  <si>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</si>
  <si>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</si>
  <si>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</si>
  <si>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</si>
  <si>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</si>
  <si>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</si>
  <si>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</si>
  <si>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</si>
  <si>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</si>
  <si>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</si>
  <si>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</si>
  <si>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</si>
  <si>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</si>
  <si>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</si>
  <si>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</si>
  <si>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</si>
  <si>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</si>
  <si>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</si>
  <si>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</si>
  <si>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</si>
  <si>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</si>
  <si>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</si>
  <si>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</si>
  <si>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</si>
  <si>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</si>
  <si>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</si>
  <si>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</si>
  <si>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</si>
  <si>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</si>
  <si>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</si>
  <si>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</si>
  <si>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</si>
  <si>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</si>
  <si>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</si>
  <si>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</si>
  <si>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</si>
  <si>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</si>
  <si>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</si>
  <si>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</si>
  <si>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</si>
  <si>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</si>
  <si>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</si>
  <si>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</si>
  <si>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</si>
  <si>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</si>
  <si>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</si>
  <si>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</si>
  <si>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</si>
  <si>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</si>
  <si>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</si>
  <si>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</si>
  <si>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</si>
  <si>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</si>
  <si>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</si>
  <si>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</si>
  <si>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</si>
  <si>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</si>
  <si>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</si>
  <si>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</si>
  <si>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</si>
  <si>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</si>
  <si>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</si>
  <si>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</si>
  <si>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</si>
  <si>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</si>
  <si>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</si>
  <si>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</si>
  <si>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</si>
  <si>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</si>
  <si>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</si>
  <si>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</si>
  <si>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</si>
  <si>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</si>
  <si>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</si>
  <si>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</si>
  <si>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</si>
  <si>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</si>
  <si>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</si>
  <si>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</si>
  <si>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</si>
  <si>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</si>
  <si>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</si>
  <si>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</si>
  <si>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</si>
  <si>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</si>
  <si>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</si>
  <si>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</si>
  <si>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</si>
  <si>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</si>
  <si>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</si>
  <si>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</si>
  <si>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</si>
  <si>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</si>
  <si>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</si>
  <si>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</si>
  <si>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</si>
  <si>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</si>
  <si>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</si>
  <si>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</si>
  <si>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</si>
  <si>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</si>
  <si>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</si>
  <si>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</si>
  <si>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</si>
  <si>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</si>
  <si>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</si>
  <si>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</si>
  <si>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</si>
  <si>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</si>
  <si>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</si>
  <si>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</si>
  <si>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</si>
  <si>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</si>
  <si>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</si>
  <si>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</si>
  <si>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</si>
  <si>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</si>
  <si>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</si>
  <si>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</si>
  <si>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</si>
  <si>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</si>
  <si>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</si>
  <si>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</si>
  <si>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</si>
  <si>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</si>
  <si>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</si>
  <si>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</si>
  <si>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</si>
  <si>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</si>
  <si>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</si>
  <si>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</si>
  <si>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</si>
  <si>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</si>
  <si>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</si>
  <si>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</si>
  <si>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</si>
  <si>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</si>
  <si>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</si>
  <si>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</si>
  <si>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</si>
  <si>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</si>
  <si>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</si>
  <si>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</si>
  <si>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</si>
  <si>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</si>
  <si>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</si>
  <si>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</si>
  <si>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</si>
  <si>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</si>
  <si>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</si>
  <si>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</si>
  <si>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</si>
  <si>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</si>
  <si>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</si>
  <si>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</si>
  <si>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</si>
  <si>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</si>
  <si>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</si>
  <si>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</si>
  <si>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</si>
  <si>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</si>
  <si>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</si>
  <si>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</si>
  <si>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</si>
  <si>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</si>
  <si>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</si>
  <si>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</si>
  <si>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</si>
  <si>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</si>
  <si>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</si>
  <si>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</si>
  <si>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</si>
  <si>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</si>
  <si>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</si>
  <si>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</si>
  <si>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</si>
  <si>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</si>
  <si>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</si>
  <si>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</si>
  <si>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</si>
  <si>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</si>
  <si>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</si>
  <si>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</si>
  <si>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</si>
  <si>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</si>
  <si>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</si>
  <si>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</si>
  <si>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</si>
  <si>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</si>
  <si>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</si>
  <si>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</si>
  <si>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</si>
  <si>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</si>
  <si>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</si>
  <si>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</si>
  <si>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</si>
  <si>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</si>
  <si>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</si>
  <si>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</si>
  <si>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</si>
  <si>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</si>
  <si>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</si>
  <si>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</si>
  <si>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</si>
  <si>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</si>
  <si>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</si>
  <si>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</si>
  <si>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</si>
  <si>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</si>
  <si>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</si>
  <si>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</si>
  <si>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</si>
  <si>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</si>
  <si>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</si>
  <si>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</si>
  <si>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</si>
  <si>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</si>
  <si>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</si>
  <si>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</si>
  <si>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</si>
  <si>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</si>
  <si>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</si>
  <si>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</si>
  <si>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</si>
  <si>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</si>
  <si>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</si>
  <si>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</si>
  <si>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</si>
  <si>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</si>
  <si>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</si>
  <si>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</si>
  <si>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</si>
  <si>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</si>
  <si>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</si>
  <si>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</si>
  <si>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</si>
  <si>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</si>
  <si>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</si>
  <si>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</si>
  <si>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</si>
  <si>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</si>
  <si>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</si>
  <si>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</si>
  <si>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</si>
  <si>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</si>
  <si>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</si>
  <si>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</si>
  <si>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</si>
  <si>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</si>
  <si>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</si>
  <si>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</si>
  <si>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</si>
  <si>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</si>
  <si>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</si>
  <si>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</si>
  <si>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</si>
  <si>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</si>
  <si>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</si>
  <si>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</si>
  <si>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</si>
  <si>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</si>
  <si>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</si>
  <si>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</si>
  <si>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</si>
  <si>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</si>
  <si>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</si>
  <si>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</si>
  <si>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</si>
  <si>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</si>
  <si>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</si>
  <si>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</si>
  <si>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</si>
  <si>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</si>
  <si>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</si>
  <si>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</si>
  <si>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</si>
  <si>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</si>
  <si>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</si>
  <si>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</si>
  <si>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</si>
  <si>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</si>
  <si>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</si>
  <si>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</si>
  <si>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</si>
  <si>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</si>
  <si>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</si>
  <si>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</si>
  <si>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</si>
  <si>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</si>
  <si>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</si>
  <si>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</si>
  <si>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</si>
  <si>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</si>
  <si>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</si>
  <si>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</si>
  <si>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</si>
  <si>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</si>
  <si>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</si>
  <si>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</si>
  <si>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</si>
  <si>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</si>
  <si>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</si>
  <si>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</si>
  <si>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</si>
  <si>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</si>
  <si>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</si>
  <si>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</si>
  <si>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</si>
  <si>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</si>
  <si>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</si>
  <si>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</si>
  <si>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</si>
  <si>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</si>
  <si>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</si>
  <si>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</si>
  <si>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</si>
  <si>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</si>
  <si>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</si>
  <si>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</si>
  <si>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</si>
  <si>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</si>
  <si>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</si>
  <si>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</si>
  <si>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</si>
  <si>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</si>
  <si>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</si>
  <si>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</si>
  <si>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</si>
  <si>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</si>
  <si>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</si>
  <si>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</si>
  <si>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</si>
  <si>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</si>
  <si>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</si>
  <si>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</si>
  <si>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</si>
  <si>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</si>
  <si>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</si>
  <si>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</si>
  <si>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</si>
  <si>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</si>
  <si>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</si>
  <si>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</si>
  <si>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</si>
  <si>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</si>
  <si>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</si>
  <si>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</si>
  <si>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</si>
  <si>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</si>
  <si>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</si>
  <si>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</si>
  <si>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</si>
  <si>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</si>
  <si>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</si>
  <si>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</si>
  <si>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</si>
  <si>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</si>
  <si>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</si>
  <si>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</si>
  <si>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</si>
  <si>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</si>
  <si>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</si>
  <si>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</si>
  <si>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</si>
  <si>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</si>
  <si>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</si>
  <si>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</si>
  <si>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</si>
  <si>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</si>
  <si>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</si>
  <si>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</si>
  <si>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</si>
  <si>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</si>
  <si>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</si>
  <si>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</si>
  <si>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</si>
  <si>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</si>
  <si>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</si>
  <si>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</si>
  <si>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</si>
  <si>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</si>
  <si>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</si>
  <si>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</si>
  <si>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</si>
  <si>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</si>
  <si>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</si>
  <si>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</si>
  <si>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</si>
  <si>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</si>
  <si>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</si>
  <si>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</si>
  <si>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</si>
  <si>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</si>
  <si>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</si>
  <si>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</si>
  <si>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</si>
  <si>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</si>
  <si>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</si>
  <si>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</si>
  <si>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</si>
  <si>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</si>
  <si>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</si>
  <si>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</si>
  <si>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</si>
  <si>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</si>
  <si>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</si>
  <si>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</si>
  <si>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</si>
  <si>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</si>
  <si>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</si>
  <si>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</si>
  <si>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</si>
  <si>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</si>
  <si>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</si>
  <si>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</si>
  <si>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</si>
  <si>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</si>
  <si>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</si>
  <si>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</si>
  <si>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</si>
  <si>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</si>
  <si>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</si>
  <si>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</si>
  <si>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</si>
  <si>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</si>
  <si>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</si>
  <si>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</si>
  <si>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</si>
  <si>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</si>
  <si>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</si>
  <si>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</si>
  <si>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</si>
  <si>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</si>
  <si>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</si>
  <si>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</si>
  <si>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</si>
  <si>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</si>
  <si>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</si>
  <si>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</si>
  <si>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</si>
  <si>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</si>
  <si>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</si>
  <si>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</si>
  <si>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</si>
  <si>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</si>
  <si>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</si>
  <si>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</si>
  <si>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</si>
  <si>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</si>
  <si>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</si>
  <si>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</si>
  <si>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</si>
  <si>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</si>
  <si>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</si>
  <si>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</si>
  <si>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</si>
  <si>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</si>
  <si>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</si>
  <si>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</si>
  <si>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</si>
  <si>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</si>
  <si>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</si>
  <si>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</si>
  <si>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</si>
  <si>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</si>
  <si>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</si>
  <si>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</si>
  <si>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</si>
  <si>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</si>
  <si>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</si>
  <si>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</si>
  <si>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</si>
  <si>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</si>
  <si>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</si>
  <si>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</si>
  <si>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</si>
  <si>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</si>
  <si>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</si>
  <si>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</si>
  <si>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</si>
  <si>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</si>
  <si>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</si>
  <si>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</si>
  <si>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</si>
  <si>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</si>
  <si>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</si>
  <si>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</si>
  <si>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</si>
  <si>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</si>
  <si>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</si>
  <si>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</si>
  <si>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</si>
  <si>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</si>
  <si>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</si>
  <si>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</si>
  <si>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</si>
  <si>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</si>
  <si>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</si>
  <si>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</si>
  <si>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</si>
  <si>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</si>
  <si>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</si>
  <si>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</si>
  <si>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</si>
  <si>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</si>
  <si>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</si>
  <si>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</si>
  <si>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</si>
  <si>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</si>
  <si>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</si>
  <si>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</si>
  <si>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</si>
  <si>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</si>
  <si>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</si>
  <si>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</si>
  <si>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</si>
  <si>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</si>
  <si>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</si>
  <si>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</si>
  <si>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</si>
  <si>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</si>
  <si>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</si>
  <si>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</si>
  <si>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</si>
  <si>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</si>
  <si>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</si>
  <si>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</si>
  <si>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</si>
  <si>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</si>
  <si>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</si>
  <si>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</si>
  <si>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</si>
  <si>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</si>
  <si>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</si>
  <si>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</si>
  <si>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</si>
  <si>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</si>
  <si>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</si>
  <si>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</si>
  <si>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</si>
  <si>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</si>
  <si>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</si>
  <si>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</si>
  <si>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</si>
  <si>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</si>
  <si>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</si>
  <si>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</si>
  <si>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</si>
  <si>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</si>
  <si>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</si>
  <si>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</si>
  <si>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</si>
  <si>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</si>
  <si>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</si>
  <si>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</si>
  <si>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</si>
  <si>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</si>
  <si>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</si>
  <si>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</si>
  <si>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</si>
  <si>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</si>
  <si>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</si>
  <si>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</si>
  <si>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</si>
  <si>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</si>
  <si>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</si>
  <si>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</si>
  <si>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</si>
  <si>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</si>
  <si>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</si>
  <si>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</si>
  <si>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</si>
  <si>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</si>
  <si>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</si>
  <si>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</si>
  <si>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</si>
  <si>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</si>
  <si>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</si>
  <si>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</si>
  <si>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</si>
  <si>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</si>
  <si>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</si>
  <si>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</si>
  <si>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</si>
  <si>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</si>
  <si>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</si>
  <si>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</si>
  <si>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</si>
  <si>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</si>
  <si>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</si>
  <si>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</si>
  <si>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</si>
  <si>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</si>
  <si>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</si>
  <si>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</si>
  <si>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</si>
  <si>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</si>
  <si>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</si>
  <si>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</si>
  <si>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</si>
  <si>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</si>
  <si>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</si>
  <si>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</si>
  <si>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</si>
  <si>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</si>
  <si>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</si>
  <si>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</si>
  <si>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</si>
  <si>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</si>
  <si>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</si>
  <si>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</si>
  <si>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</si>
  <si>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</si>
  <si>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</si>
  <si>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</si>
  <si>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</si>
  <si>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</si>
  <si>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</si>
  <si>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</si>
  <si>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</si>
  <si>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</si>
  <si>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</si>
  <si>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</si>
  <si>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</si>
  <si>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</si>
  <si>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</si>
  <si>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</si>
  <si>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</si>
  <si>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</si>
  <si>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</si>
  <si>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</si>
  <si>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</si>
  <si>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</si>
  <si>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</si>
  <si>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</si>
  <si>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</si>
  <si>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</si>
  <si>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</si>
  <si>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</si>
  <si>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</si>
  <si>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</si>
  <si>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</si>
  <si>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</si>
  <si>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</si>
  <si>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</si>
  <si>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</si>
  <si>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</si>
  <si>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</si>
  <si>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</si>
  <si>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</si>
  <si>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</si>
  <si>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</si>
  <si>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</si>
  <si>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</si>
  <si>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</si>
  <si>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</si>
  <si>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</si>
  <si>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</si>
  <si>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</si>
  <si>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</si>
  <si>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</si>
  <si>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</si>
  <si>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</si>
  <si>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</si>
  <si>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</si>
  <si>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</si>
  <si>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</si>
  <si>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</si>
  <si>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</si>
  <si>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</si>
  <si>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</si>
  <si>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</si>
  <si>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</si>
  <si>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</si>
  <si>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</si>
  <si>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</si>
  <si>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</si>
  <si>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</si>
  <si>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</si>
  <si>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</si>
  <si>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</si>
  <si>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</si>
  <si>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</si>
  <si>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</si>
  <si>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</si>
  <si>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</si>
  <si>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</si>
  <si>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</si>
  <si>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</si>
  <si>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</si>
  <si>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</si>
  <si>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</si>
  <si>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</si>
  <si>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</si>
  <si>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</si>
  <si>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</si>
  <si>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</si>
  <si>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</si>
  <si>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</si>
  <si>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</si>
  <si>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</si>
  <si>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</si>
  <si>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</si>
  <si>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</si>
  <si>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</si>
  <si>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</si>
  <si>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</si>
  <si>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</si>
  <si>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</si>
  <si>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</si>
  <si>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</si>
  <si>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</si>
  <si>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</si>
  <si>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</si>
  <si>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</si>
  <si>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</si>
  <si>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</si>
  <si>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</si>
  <si>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</si>
  <si>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</si>
  <si>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</si>
  <si>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</si>
  <si>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</si>
  <si>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</si>
  <si>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</si>
  <si>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</si>
  <si>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</si>
  <si>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</si>
  <si>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</si>
  <si>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</si>
  <si>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</si>
  <si>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</si>
  <si>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</si>
  <si>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</si>
  <si>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</si>
  <si>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</si>
  <si>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</si>
  <si>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</si>
  <si>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</si>
  <si>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</si>
  <si>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</si>
  <si>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</si>
  <si>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</si>
  <si>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</si>
  <si>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</si>
  <si>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</si>
  <si>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</si>
  <si>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</si>
  <si>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</si>
  <si>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</si>
  <si>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</si>
  <si>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</si>
  <si>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</si>
  <si>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</si>
  <si>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</si>
  <si>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</si>
  <si>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</si>
  <si>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</si>
  <si>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</si>
  <si>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</si>
  <si>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</si>
  <si>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</si>
  <si>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</si>
  <si>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</si>
  <si>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</si>
  <si>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</si>
  <si>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</si>
  <si>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</si>
  <si>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</si>
  <si>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</si>
  <si>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</si>
  <si>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</si>
  <si>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</si>
  <si>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</si>
  <si>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</si>
  <si>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</si>
  <si>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</si>
  <si>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</si>
  <si>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</si>
  <si>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</si>
  <si>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</si>
  <si>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</si>
  <si>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</si>
  <si>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</si>
  <si>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</si>
  <si>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</si>
  <si>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</si>
  <si>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</si>
  <si>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</si>
  <si>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</si>
  <si>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</si>
  <si>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</si>
  <si>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</si>
  <si>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</si>
  <si>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</si>
  <si>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</si>
  <si>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</si>
  <si>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</si>
  <si>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</si>
  <si>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</si>
  <si>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</si>
  <si>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</si>
  <si>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</si>
  <si>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</si>
  <si>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</si>
  <si>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</si>
  <si>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</si>
  <si>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</si>
  <si>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</si>
  <si>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</si>
  <si>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</si>
  <si>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</si>
  <si>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</si>
  <si>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</si>
  <si>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</si>
  <si>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</si>
  <si>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</si>
  <si>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</si>
  <si>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</si>
  <si>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</si>
  <si>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</si>
  <si>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</si>
  <si>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</si>
  <si>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</si>
  <si>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</si>
  <si>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</si>
  <si>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</si>
  <si>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</si>
  <si>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</si>
  <si>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</si>
  <si>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</si>
  <si>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</si>
  <si>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</si>
  <si>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</si>
  <si>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</si>
  <si>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</si>
  <si>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</si>
  <si>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</si>
  <si>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</si>
  <si>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</si>
  <si>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</si>
  <si>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</si>
  <si>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</si>
  <si>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</si>
  <si>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</si>
  <si>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</si>
  <si>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</si>
  <si>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</si>
  <si>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</si>
  <si>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</si>
  <si>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</si>
  <si>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</si>
  <si>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</si>
  <si>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</si>
  <si>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</si>
  <si>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</si>
  <si>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</si>
  <si>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</si>
  <si>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</si>
  <si>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</si>
  <si>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</si>
  <si>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</si>
  <si>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</si>
  <si>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</si>
  <si>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</si>
  <si>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</si>
  <si>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</si>
  <si>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</si>
  <si>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</si>
  <si>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</si>
  <si>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</si>
  <si>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</si>
  <si>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</si>
  <si>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</si>
  <si>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</si>
  <si>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</si>
  <si>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</si>
  <si>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</si>
  <si>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</si>
  <si>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</si>
  <si>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</si>
  <si>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</si>
  <si>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</si>
  <si>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</si>
  <si>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</si>
  <si>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</si>
  <si>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</si>
  <si>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</si>
  <si>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</si>
  <si>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</si>
  <si>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</si>
  <si>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</si>
  <si>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</si>
  <si>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</si>
  <si>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</si>
  <si>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</si>
  <si>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</si>
  <si>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</si>
  <si>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</si>
  <si>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</si>
  <si>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</si>
  <si>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</si>
  <si>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</si>
  <si>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</si>
  <si>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</si>
  <si>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</si>
  <si>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</si>
  <si>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</si>
  <si>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</si>
  <si>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</si>
  <si>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</si>
  <si>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</si>
  <si>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</si>
  <si>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</si>
  <si>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</si>
  <si>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</si>
  <si>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</si>
  <si>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</si>
  <si>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</si>
  <si>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</si>
  <si>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</si>
  <si>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</si>
  <si>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</si>
  <si>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</si>
  <si>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</si>
  <si>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</si>
  <si>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</si>
  <si>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</si>
  <si>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</si>
  <si>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</si>
  <si>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</si>
  <si>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</si>
  <si>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</si>
  <si>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</si>
  <si>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</si>
  <si>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</si>
  <si>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</si>
  <si>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</si>
  <si>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</si>
  <si>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</si>
  <si>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</si>
  <si>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</si>
  <si>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</si>
  <si>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</si>
  <si>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</si>
  <si>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</si>
  <si>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</si>
  <si>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</si>
  <si>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</si>
  <si>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</si>
  <si>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</si>
  <si>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</si>
  <si>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</si>
  <si>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</si>
  <si>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</si>
  <si>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</si>
  <si>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</si>
  <si>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</si>
  <si>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</si>
  <si>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</si>
  <si>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</si>
  <si>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</si>
  <si>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</si>
  <si>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</si>
  <si>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</si>
  <si>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</si>
  <si>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</si>
  <si>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</si>
  <si>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</si>
  <si>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</si>
  <si>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</si>
  <si>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</si>
  <si>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</si>
  <si>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</si>
  <si>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</si>
  <si>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</si>
  <si>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</si>
  <si>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</si>
  <si>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</si>
  <si>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</si>
  <si>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</si>
  <si>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</si>
  <si>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</si>
  <si>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</si>
  <si>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</si>
  <si>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</si>
  <si>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</si>
  <si>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</si>
  <si>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</si>
  <si>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</si>
  <si>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</si>
  <si>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</si>
  <si>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</si>
  <si>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</si>
  <si>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</si>
  <si>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</si>
  <si>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</si>
  <si>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</si>
  <si>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</si>
  <si>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</si>
  <si>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</si>
  <si>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</si>
  <si>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</si>
  <si>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</si>
  <si>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</si>
  <si>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</si>
  <si>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</si>
  <si>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</si>
  <si>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</si>
  <si>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</si>
  <si>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</si>
  <si>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</si>
  <si>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</si>
  <si>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</si>
  <si>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</si>
  <si>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</si>
  <si>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</si>
  <si>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</si>
  <si>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</si>
  <si>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</si>
  <si>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</si>
  <si>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</si>
  <si>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</si>
  <si>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</si>
  <si>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</si>
  <si>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</si>
  <si>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</si>
  <si>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</si>
  <si>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</si>
  <si>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</si>
  <si>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</si>
  <si>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</si>
  <si>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</si>
  <si>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</si>
  <si>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</si>
  <si>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</si>
  <si>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</si>
  <si>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</si>
  <si>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</si>
  <si>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</si>
  <si>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</si>
  <si>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</si>
  <si>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</si>
  <si>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</si>
  <si>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</si>
  <si>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</si>
  <si>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</si>
  <si>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</si>
  <si>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</si>
  <si>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</si>
  <si>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</si>
  <si>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</si>
  <si>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</si>
  <si>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</si>
  <si>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</si>
  <si>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</si>
  <si>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</si>
  <si>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</si>
  <si>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</si>
  <si>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</si>
  <si>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</si>
  <si>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</si>
  <si>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</si>
  <si>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</si>
  <si>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</si>
  <si>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</si>
  <si>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</si>
  <si>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</si>
  <si>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</si>
  <si>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</si>
  <si>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</si>
  <si>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</si>
  <si>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</si>
  <si>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</si>
  <si>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</si>
  <si>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</si>
  <si>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</si>
  <si>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</si>
  <si>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</si>
  <si>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</si>
  <si>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</si>
  <si>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</si>
  <si>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</si>
  <si>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</si>
  <si>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</si>
  <si>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</si>
  <si>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</si>
  <si>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</si>
  <si>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</si>
  <si>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</si>
  <si>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</si>
  <si>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</si>
  <si>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</si>
  <si>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</si>
  <si>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</si>
  <si>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</si>
  <si>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</si>
  <si>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</si>
  <si>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</si>
  <si>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</si>
  <si>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</si>
  <si>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</si>
  <si>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</si>
  <si>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</si>
  <si>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</si>
  <si>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</si>
  <si>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</si>
  <si>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</si>
  <si>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</si>
  <si>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</si>
  <si>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</si>
  <si>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</si>
  <si>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</si>
  <si>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</si>
  <si>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</si>
  <si>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</si>
  <si>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</si>
  <si>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</si>
  <si>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</si>
  <si>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</si>
  <si>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</si>
  <si>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</si>
  <si>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</si>
  <si>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</si>
  <si>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</si>
  <si>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</si>
  <si>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</si>
  <si>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</si>
  <si>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</si>
  <si>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</si>
  <si>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</si>
  <si>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</si>
  <si>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</si>
  <si>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</si>
  <si>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</si>
  <si>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</si>
  <si>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</si>
  <si>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</si>
  <si>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</si>
  <si>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</si>
  <si>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</si>
  <si>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</si>
  <si>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</si>
  <si>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</si>
  <si>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</si>
  <si>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</si>
  <si>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</si>
  <si>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</si>
  <si>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</si>
  <si>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</si>
  <si>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</si>
  <si>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</si>
  <si>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</si>
  <si>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</si>
  <si>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</si>
  <si>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</si>
  <si>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</si>
  <si>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</si>
  <si>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</si>
  <si>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</si>
  <si>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</si>
  <si>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</si>
  <si>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</si>
  <si>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</si>
  <si>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</si>
  <si>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</si>
  <si>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</si>
  <si>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</si>
  <si>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</si>
  <si>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</si>
  <si>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</si>
  <si>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</si>
  <si>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</si>
  <si>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</si>
  <si>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</si>
  <si>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</si>
  <si>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</si>
  <si>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</si>
  <si>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</si>
  <si>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</si>
  <si>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</si>
  <si>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</si>
  <si>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</si>
  <si>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</si>
  <si>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</si>
  <si>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</si>
  <si>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</si>
  <si>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</si>
  <si>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</si>
  <si>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</si>
  <si>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</si>
  <si>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</si>
  <si>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</si>
  <si>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</si>
  <si>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</si>
  <si>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</si>
  <si>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</si>
  <si>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</si>
  <si>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</si>
  <si>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</si>
  <si>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</si>
  <si>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</si>
  <si>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</si>
  <si>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</si>
  <si>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</si>
  <si>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</si>
  <si>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</si>
  <si>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</si>
  <si>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</si>
  <si>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</si>
  <si>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</si>
  <si>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</si>
  <si>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</si>
  <si>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</si>
  <si>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</si>
  <si>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</si>
  <si>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</si>
  <si>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</si>
  <si>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</si>
  <si>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</si>
  <si>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</si>
  <si>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</si>
  <si>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</si>
  <si>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</si>
  <si>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</si>
  <si>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</si>
  <si>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</si>
  <si>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</si>
  <si>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</si>
  <si>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</si>
  <si>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</si>
  <si>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</si>
  <si>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</si>
  <si>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</si>
  <si>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</si>
  <si>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</si>
  <si>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</si>
  <si>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</si>
  <si>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</si>
  <si>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</si>
  <si>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</si>
  <si>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</si>
  <si>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</si>
  <si>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</si>
  <si>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</si>
  <si>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</si>
  <si>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</si>
  <si>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</si>
  <si>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</si>
  <si>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</si>
  <si>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</si>
  <si>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</si>
  <si>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</si>
  <si>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</si>
  <si>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</si>
  <si>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</si>
  <si>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</si>
  <si>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</si>
  <si>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</si>
  <si>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</si>
  <si>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</si>
  <si>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</si>
  <si>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</si>
  <si>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</si>
  <si>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</si>
  <si>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</si>
  <si>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</si>
  <si>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</si>
  <si>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</si>
  <si>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</si>
  <si>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</si>
  <si>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</si>
  <si>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</si>
  <si>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</si>
  <si>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</si>
  <si>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</si>
  <si>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</si>
  <si>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</si>
  <si>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</si>
  <si>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</si>
  <si>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</si>
  <si>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</si>
  <si>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</si>
  <si>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</si>
  <si>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</si>
  <si>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</si>
  <si>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</si>
  <si>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</si>
  <si>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</si>
  <si>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</si>
  <si>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</si>
  <si>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</si>
  <si>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</si>
  <si>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</si>
  <si>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</si>
  <si>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</si>
  <si>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</si>
  <si>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</si>
  <si>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</si>
  <si>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</si>
  <si>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</si>
  <si>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</si>
  <si>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</si>
  <si>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</si>
  <si>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</si>
  <si>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</si>
  <si>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</si>
  <si>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</si>
  <si>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</si>
  <si>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</si>
  <si>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</si>
  <si>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</si>
  <si>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</si>
  <si>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</si>
  <si>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</si>
  <si>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</si>
  <si>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</si>
  <si>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</si>
  <si>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</si>
  <si>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</si>
  <si>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</si>
  <si>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</si>
  <si>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</si>
  <si>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</si>
  <si>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</si>
  <si>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</si>
  <si>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</si>
  <si>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</si>
  <si>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</si>
  <si>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</si>
  <si>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</si>
  <si>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</si>
  <si>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</si>
  <si>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</si>
  <si>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</si>
  <si>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</si>
  <si>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</si>
  <si>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</si>
  <si>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</si>
  <si>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</si>
  <si>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</si>
  <si>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</si>
  <si>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</si>
  <si>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</si>
  <si>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</si>
  <si>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</si>
  <si>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</si>
  <si>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</si>
  <si>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</si>
  <si>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</si>
  <si>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</si>
  <si>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</si>
  <si>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</si>
  <si>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</si>
  <si>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</si>
  <si>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</si>
  <si>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</si>
  <si>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</si>
  <si>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</si>
  <si>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</si>
  <si>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</si>
  <si>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</si>
  <si>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</si>
  <si>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</si>
  <si>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</si>
  <si>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</si>
  <si>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</si>
  <si>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</si>
  <si>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</si>
  <si>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</si>
  <si>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</si>
  <si>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</si>
  <si>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</si>
  <si>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</si>
  <si>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</si>
  <si>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</si>
  <si>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</si>
  <si>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</si>
  <si>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</si>
  <si>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</si>
  <si>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</si>
  <si>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</si>
  <si>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</si>
  <si>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</si>
  <si>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</si>
  <si>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</si>
  <si>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</si>
  <si>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</si>
  <si>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</si>
  <si>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</si>
  <si>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</si>
  <si>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</si>
  <si>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</si>
  <si>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</si>
  <si>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</si>
  <si>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</si>
  <si>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</si>
  <si>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</si>
  <si>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</si>
  <si>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</si>
  <si>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</si>
  <si>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</si>
  <si>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</si>
  <si>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</si>
  <si>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</si>
  <si>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</si>
  <si>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</si>
  <si>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</si>
  <si>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</si>
  <si>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</si>
  <si>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</si>
  <si>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</si>
  <si>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</si>
  <si>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</si>
  <si>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</si>
  <si>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</si>
  <si>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</si>
  <si>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</si>
  <si>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</si>
  <si>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</si>
  <si>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</si>
  <si>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</si>
  <si>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</si>
  <si>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</si>
  <si>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</si>
  <si>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</si>
  <si>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</si>
  <si>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</si>
  <si>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</si>
  <si>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</si>
  <si>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</si>
  <si>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</si>
  <si>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</si>
  <si>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</si>
  <si>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</si>
  <si>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</si>
  <si>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</si>
  <si>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</si>
  <si>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</si>
  <si>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</si>
  <si>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</si>
  <si>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</si>
  <si>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</si>
  <si>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</si>
  <si>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</si>
  <si>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</si>
  <si>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</si>
  <si>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</si>
  <si>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</si>
  <si>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</si>
  <si>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</si>
  <si>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</si>
  <si>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</si>
  <si>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</si>
  <si>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</si>
  <si>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</si>
  <si>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</si>
  <si>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</si>
  <si>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</si>
  <si>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</si>
  <si>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</si>
  <si>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</si>
  <si>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</si>
  <si>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</si>
  <si>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</si>
  <si>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</si>
  <si>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</si>
  <si>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</si>
  <si>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</si>
  <si>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</si>
  <si>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</si>
  <si>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</si>
  <si>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</si>
  <si>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</si>
  <si>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</si>
  <si>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</si>
  <si>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</si>
  <si>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</si>
  <si>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</si>
  <si>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</si>
  <si>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</si>
  <si>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</si>
  <si>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</si>
  <si>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</si>
  <si>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</si>
  <si>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</si>
  <si>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</si>
  <si>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</si>
  <si>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</si>
  <si>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</si>
  <si>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</si>
  <si>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</si>
  <si>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</si>
  <si>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</si>
  <si>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</si>
  <si>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</si>
  <si>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</si>
  <si>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</si>
  <si>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</si>
  <si>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</si>
  <si>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</si>
  <si>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</si>
  <si>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</si>
  <si>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</si>
  <si>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</si>
  <si>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</si>
  <si>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</si>
  <si>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</si>
  <si>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</si>
  <si>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</si>
  <si>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</si>
  <si>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</si>
  <si>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</si>
  <si>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</si>
  <si>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</si>
  <si>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</si>
  <si>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</si>
  <si>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</si>
  <si>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</si>
  <si>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</si>
  <si>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</si>
  <si>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</si>
  <si>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</si>
  <si>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</si>
  <si>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</si>
  <si>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</si>
  <si>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</si>
  <si>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</si>
  <si>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</si>
  <si>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</si>
  <si>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</si>
  <si>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</si>
  <si>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</si>
  <si>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</si>
  <si>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</si>
  <si>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</si>
  <si>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</si>
  <si>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</si>
  <si>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</si>
  <si>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</si>
  <si>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</si>
  <si>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</si>
  <si>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</si>
  <si>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</si>
  <si>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</si>
  <si>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</si>
  <si>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</si>
  <si>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</si>
  <si>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</si>
  <si>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</si>
  <si>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</si>
  <si>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</si>
  <si>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</si>
  <si>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</si>
  <si>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</si>
  <si>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</si>
  <si>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</si>
  <si>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</si>
  <si>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</si>
  <si>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</si>
  <si>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</si>
  <si>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</si>
  <si>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</si>
  <si>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</si>
  <si>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</si>
  <si>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</si>
  <si>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</si>
  <si>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</si>
  <si>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</si>
  <si>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</si>
  <si>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</si>
  <si>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</si>
  <si>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</si>
  <si>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</si>
  <si>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</si>
  <si>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</si>
  <si>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</si>
  <si>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</si>
  <si>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</si>
  <si>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</si>
  <si>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</si>
  <si>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</si>
  <si>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</si>
  <si>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</si>
  <si>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</si>
  <si>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</si>
  <si>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</si>
  <si>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</si>
  <si>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</si>
  <si>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</si>
  <si>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</si>
  <si>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</si>
  <si>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</si>
  <si>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</si>
  <si>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</si>
  <si>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</si>
  <si>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</si>
  <si>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</si>
  <si>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</si>
  <si>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</si>
  <si>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</si>
  <si>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</si>
  <si>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</si>
  <si>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</si>
  <si>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</si>
  <si>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</si>
  <si>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</si>
  <si>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</si>
  <si>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</si>
  <si>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</si>
  <si>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</si>
  <si>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</si>
  <si>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</si>
  <si>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</si>
  <si>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</si>
  <si>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</si>
  <si>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</si>
  <si>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</si>
  <si>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</si>
  <si>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</si>
  <si>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</si>
  <si>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</si>
  <si>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</si>
  <si>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</si>
  <si>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</si>
  <si>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</si>
  <si>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</si>
  <si>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</si>
  <si>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</si>
  <si>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</si>
  <si>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</si>
  <si>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</si>
  <si>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</si>
  <si>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</si>
  <si>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</si>
  <si>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</si>
  <si>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</si>
  <si>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</si>
  <si>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</si>
  <si>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</si>
  <si>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</si>
  <si>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</si>
  <si>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</si>
  <si>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</si>
  <si>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</si>
  <si>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</si>
  <si>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</si>
  <si>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</si>
  <si>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</si>
  <si>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</si>
  <si>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</si>
  <si>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</si>
  <si>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</si>
  <si>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</si>
  <si>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</si>
  <si>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</si>
  <si>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</si>
  <si>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</si>
  <si>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</si>
  <si>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</si>
  <si>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</si>
  <si>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</si>
  <si>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</si>
  <si>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</si>
  <si>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</si>
  <si>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</si>
  <si>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</si>
  <si>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</si>
  <si>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</si>
  <si>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</si>
  <si>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</si>
  <si>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</si>
  <si>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</si>
  <si>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</si>
  <si>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</si>
  <si>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</si>
  <si>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</si>
  <si>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</si>
  <si>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</si>
  <si>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</si>
  <si>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</si>
  <si>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</si>
  <si>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</si>
  <si>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</si>
  <si>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</si>
  <si>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</si>
  <si>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</si>
  <si>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</si>
  <si>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</si>
  <si>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</si>
  <si>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</si>
  <si>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</si>
  <si>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</si>
  <si>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</si>
  <si>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</si>
  <si>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</si>
  <si>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</si>
  <si>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</si>
  <si>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</si>
  <si>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</si>
  <si>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</si>
  <si>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</si>
  <si>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</si>
  <si>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</si>
  <si>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</si>
  <si>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</si>
  <si>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</si>
  <si>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</si>
  <si>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</si>
  <si>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</si>
  <si>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</si>
  <si>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</si>
  <si>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</si>
  <si>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</si>
  <si>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</si>
  <si>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</si>
  <si>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</si>
  <si>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</si>
  <si>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</si>
  <si>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</si>
  <si>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</si>
  <si>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</si>
  <si>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</si>
  <si>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</si>
  <si>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</si>
  <si>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</si>
  <si>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</si>
  <si>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</si>
  <si>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</si>
  <si>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</si>
  <si>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</si>
  <si>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</si>
  <si>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</si>
  <si>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</si>
  <si>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</si>
  <si>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</si>
  <si>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</si>
  <si>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</si>
  <si>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</si>
  <si>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</si>
  <si>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</si>
  <si>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</si>
  <si>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</si>
  <si>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</si>
  <si>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</si>
  <si>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</si>
  <si>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</si>
  <si>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</si>
  <si>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</si>
  <si>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</si>
  <si>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</si>
  <si>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</si>
  <si>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</si>
  <si>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</si>
  <si>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</si>
  <si>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</si>
  <si>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</si>
  <si>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</si>
  <si>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</si>
  <si>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</si>
  <si>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</si>
  <si>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</si>
  <si>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</si>
  <si>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</si>
  <si>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</si>
  <si>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</si>
  <si>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</si>
  <si>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</si>
  <si>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</si>
  <si>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</si>
  <si>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</si>
  <si>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</si>
  <si>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</si>
  <si>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</si>
  <si>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</si>
  <si>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</si>
  <si>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</si>
  <si>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</si>
  <si>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</si>
  <si>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</si>
  <si>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</si>
  <si>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</si>
  <si>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</si>
  <si>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</si>
  <si>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</si>
  <si>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</si>
  <si>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</si>
  <si>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</si>
  <si>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</si>
  <si>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</si>
  <si>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</si>
  <si>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</si>
  <si>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</si>
  <si>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</si>
  <si>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</si>
  <si>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</si>
  <si>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</si>
  <si>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</si>
  <si>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</si>
  <si>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</si>
  <si>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</si>
  <si>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</si>
  <si>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</si>
  <si>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</si>
  <si>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</si>
  <si>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</si>
  <si>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</si>
  <si>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</si>
  <si>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</si>
  <si>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</si>
  <si>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</si>
  <si>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</si>
  <si>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</si>
  <si>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</si>
  <si>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</si>
  <si>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</si>
  <si>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</si>
  <si>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</si>
  <si>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</si>
  <si>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</si>
  <si>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</si>
  <si>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</si>
  <si>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</si>
  <si>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</si>
  <si>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</si>
  <si>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</si>
  <si>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</si>
  <si>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</si>
  <si>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</si>
  <si>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</si>
  <si>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</si>
  <si>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</si>
  <si>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</si>
  <si>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</si>
  <si>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</si>
  <si>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</si>
  <si>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</si>
  <si>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</si>
  <si>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</si>
  <si>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</si>
  <si>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</si>
  <si>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</si>
  <si>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</si>
  <si>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</si>
  <si>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</si>
  <si>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</si>
  <si>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</si>
  <si>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</si>
  <si>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</si>
  <si>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</si>
  <si>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</si>
  <si>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</si>
  <si>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</si>
  <si>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</si>
  <si>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</si>
  <si>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</si>
  <si>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</si>
  <si>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</si>
  <si>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</si>
  <si>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</si>
  <si>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</si>
  <si>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</si>
  <si>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</si>
  <si>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</si>
  <si>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</si>
  <si>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</si>
  <si>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</si>
  <si>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</si>
  <si>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</si>
  <si>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</si>
  <si>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</si>
  <si>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</si>
  <si>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</si>
  <si>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</si>
  <si>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</si>
  <si>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</si>
  <si>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</si>
  <si>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</si>
  <si>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</si>
  <si>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</si>
  <si>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</si>
  <si>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</si>
  <si>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</si>
  <si>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</si>
  <si>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</si>
  <si>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</si>
  <si>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</si>
  <si>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</si>
  <si>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</si>
  <si>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</si>
  <si>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</si>
  <si>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</si>
  <si>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</si>
  <si>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</si>
  <si>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</si>
  <si>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</si>
  <si>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</si>
  <si>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</si>
  <si>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</si>
  <si>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</si>
  <si>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</si>
  <si>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</si>
  <si>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</si>
  <si>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</si>
  <si>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</si>
  <si>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</si>
  <si>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</si>
  <si>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</si>
  <si>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</si>
  <si>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</si>
  <si>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</si>
  <si>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</si>
  <si>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</si>
  <si>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</si>
  <si>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</si>
  <si>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</si>
  <si>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</si>
  <si>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</si>
  <si>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</si>
  <si>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</si>
  <si>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</si>
  <si>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</si>
  <si>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</si>
  <si>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</si>
  <si>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</si>
  <si>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</si>
  <si>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</si>
  <si>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</si>
  <si>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</si>
  <si>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</si>
  <si>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</si>
  <si>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</si>
  <si>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</si>
  <si>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</si>
  <si>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</si>
  <si>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</si>
  <si>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</si>
  <si>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</si>
  <si>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</si>
  <si>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</si>
  <si>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</si>
  <si>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</si>
  <si>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</si>
  <si>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</si>
  <si>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</si>
  <si>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</si>
  <si>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</si>
  <si>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</si>
  <si>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</si>
  <si>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</si>
  <si>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</si>
  <si>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</si>
  <si>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</si>
  <si>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</si>
  <si>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</si>
  <si>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</si>
  <si>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</si>
  <si>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</si>
  <si>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</si>
  <si>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</si>
  <si>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</si>
  <si>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</si>
  <si>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</si>
  <si>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</si>
  <si>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</si>
  <si>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</si>
  <si>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</si>
  <si>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</si>
  <si>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</si>
  <si>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</si>
  <si>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</si>
  <si>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</si>
  <si>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</si>
  <si>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</si>
  <si>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</si>
  <si>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</si>
  <si>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</si>
  <si>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</si>
  <si>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</si>
  <si>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</si>
  <si>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</si>
  <si>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</si>
  <si>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</si>
  <si>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</si>
  <si>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</si>
  <si>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</si>
  <si>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</si>
  <si>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</si>
  <si>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</si>
  <si>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</si>
  <si>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</si>
  <si>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</si>
  <si>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</si>
  <si>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</si>
  <si>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</si>
  <si>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</si>
  <si>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</si>
  <si>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</si>
  <si>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</si>
  <si>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</si>
  <si>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</si>
  <si>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</si>
  <si>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</si>
  <si>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</si>
  <si>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</si>
  <si>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</si>
  <si>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</si>
  <si>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</si>
  <si>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</si>
  <si>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</si>
  <si>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</si>
  <si>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</si>
  <si>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</si>
  <si>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</si>
  <si>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</si>
  <si>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</si>
  <si>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</si>
  <si>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</si>
  <si>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</si>
  <si>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</si>
  <si>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</si>
  <si>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</si>
  <si>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</si>
  <si>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</si>
  <si>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</si>
  <si>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</si>
  <si>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</si>
  <si>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</si>
  <si>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</si>
  <si>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</si>
  <si>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</si>
  <si>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</si>
  <si>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</si>
  <si>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</si>
  <si>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</si>
  <si>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</si>
  <si>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</si>
  <si>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</si>
  <si>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</si>
  <si>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</si>
  <si>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</si>
  <si>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</si>
  <si>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</si>
  <si>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</si>
  <si>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</si>
  <si>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</si>
  <si>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</si>
  <si>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</si>
  <si>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</si>
  <si>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</si>
  <si>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</si>
  <si>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</si>
  <si>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</si>
  <si>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</si>
  <si>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</si>
  <si>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</si>
  <si>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</si>
  <si>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</si>
  <si>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</si>
  <si>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</si>
  <si>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</si>
  <si>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</si>
  <si>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</si>
  <si>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</si>
  <si>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</si>
  <si>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</si>
  <si>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</si>
  <si>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</si>
  <si>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</si>
  <si>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</si>
  <si>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</si>
  <si>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</si>
  <si>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</si>
  <si>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</si>
  <si>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</si>
  <si>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</si>
  <si>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</si>
  <si>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</si>
  <si>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</si>
  <si>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</si>
  <si>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</si>
  <si>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</si>
  <si>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</si>
  <si>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</si>
  <si>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</si>
  <si>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</si>
  <si>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</si>
  <si>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</si>
  <si>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</si>
  <si>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</si>
  <si>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</si>
  <si>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</si>
  <si>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</si>
  <si>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</si>
  <si>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</si>
  <si>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</si>
  <si>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</si>
  <si>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</si>
  <si>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</si>
  <si>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</si>
  <si>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</si>
  <si>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</si>
  <si>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</si>
  <si>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</si>
  <si>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</si>
  <si>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</si>
  <si>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</si>
  <si>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</si>
  <si>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</si>
  <si>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</si>
  <si>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</si>
  <si>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</si>
  <si>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</si>
  <si>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</si>
  <si>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</si>
  <si>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</si>
  <si>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</si>
  <si>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</si>
  <si>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</si>
  <si>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</si>
  <si>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</si>
  <si>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</si>
  <si>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</si>
  <si>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</si>
  <si>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</si>
  <si>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</si>
  <si>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</si>
  <si>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</si>
  <si>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</si>
  <si>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</si>
  <si>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</si>
  <si>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</si>
  <si>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</si>
  <si>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</si>
  <si>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</si>
  <si>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</si>
  <si>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</si>
  <si>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</si>
  <si>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</si>
  <si>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</si>
  <si>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</si>
  <si>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</si>
  <si>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</si>
  <si>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</si>
  <si>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</si>
  <si>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</si>
  <si>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</si>
  <si>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</si>
  <si>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</si>
  <si>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</si>
  <si>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</si>
  <si>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</si>
  <si>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</si>
  <si>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</si>
  <si>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</si>
  <si>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</si>
  <si>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</si>
  <si>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</si>
  <si>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</si>
  <si>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</si>
  <si>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</si>
  <si>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</si>
  <si>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</si>
  <si>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</si>
  <si>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</si>
  <si>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</si>
  <si>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</si>
  <si>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</si>
  <si>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</si>
  <si>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</si>
  <si>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</si>
  <si>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</si>
  <si>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</si>
  <si>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</si>
  <si>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</si>
  <si>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</si>
  <si>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</si>
  <si>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</si>
  <si>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</si>
  <si>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</si>
  <si>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</si>
  <si>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</si>
  <si>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</si>
  <si>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</si>
  <si>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</si>
  <si>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</si>
  <si>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</si>
  <si>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</si>
  <si>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</si>
  <si>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</si>
  <si>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</si>
  <si>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</si>
  <si>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</si>
  <si>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</si>
  <si>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</si>
  <si>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</si>
  <si>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</si>
  <si>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</si>
  <si>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</si>
  <si>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</si>
  <si>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</si>
  <si>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</si>
  <si>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</si>
  <si>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</si>
  <si>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</si>
  <si>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</si>
  <si>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</si>
  <si>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</si>
  <si>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</si>
  <si>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</si>
  <si>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</si>
  <si>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</si>
  <si>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</si>
  <si>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</si>
  <si>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</si>
  <si>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</si>
  <si>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</si>
  <si>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</si>
  <si>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</si>
  <si>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</si>
  <si>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</si>
  <si>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</si>
  <si>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</si>
  <si>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</si>
  <si>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</si>
  <si>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</si>
  <si>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</si>
  <si>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</si>
  <si>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</si>
  <si>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</si>
  <si>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</si>
  <si>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</si>
  <si>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</si>
  <si>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</si>
  <si>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</si>
  <si>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</si>
  <si>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</si>
  <si>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</si>
  <si>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</si>
  <si>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</si>
  <si>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</si>
  <si>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</si>
  <si>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</si>
  <si>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</si>
  <si>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</si>
  <si>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</si>
  <si>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</si>
  <si>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</si>
  <si>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</si>
  <si>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</si>
  <si>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</si>
  <si>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</si>
  <si>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</si>
  <si>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</si>
  <si>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</si>
  <si>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</si>
  <si>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</si>
  <si>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</si>
  <si>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</si>
  <si>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</si>
  <si>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</si>
  <si>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</si>
  <si>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</si>
  <si>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</si>
  <si>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</si>
  <si>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</si>
  <si>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</si>
  <si>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</si>
  <si>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</si>
  <si>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</si>
  <si>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</si>
  <si>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</si>
  <si>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</si>
  <si>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</si>
  <si>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</si>
  <si>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</si>
  <si>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</si>
  <si>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</si>
  <si>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</si>
  <si>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</si>
  <si>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</si>
  <si>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</si>
  <si>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</si>
  <si>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</si>
  <si>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</si>
  <si>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</si>
  <si>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</si>
  <si>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</si>
  <si>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</si>
  <si>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</si>
  <si>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</si>
  <si>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</si>
  <si>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</si>
  <si>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</si>
  <si>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</si>
  <si>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</si>
  <si>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</si>
  <si>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</si>
  <si>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</si>
  <si>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</si>
  <si>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</si>
  <si>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</si>
  <si>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</si>
  <si>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</si>
  <si>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</si>
  <si>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</si>
  <si>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</si>
  <si>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</si>
  <si>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</si>
  <si>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</si>
  <si>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</si>
  <si>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</si>
  <si>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</si>
  <si>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</si>
  <si>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</si>
  <si>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</si>
  <si>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</si>
  <si>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</si>
  <si>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</si>
  <si>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</si>
  <si>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</si>
  <si>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</si>
  <si>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</si>
  <si>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</si>
  <si>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</si>
  <si>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</si>
  <si>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</si>
  <si>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</si>
  <si>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</si>
  <si>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</si>
  <si>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</si>
  <si>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</si>
  <si>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</si>
  <si>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</si>
  <si>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</si>
  <si>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</si>
  <si>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</si>
  <si>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</si>
  <si>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</si>
  <si>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</si>
  <si>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</si>
  <si>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</si>
  <si>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</si>
  <si>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</si>
  <si>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</si>
  <si>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</si>
  <si>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</si>
  <si>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</si>
  <si>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</si>
  <si>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</si>
  <si>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</si>
  <si>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</si>
  <si>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</si>
  <si>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</si>
  <si>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</si>
  <si>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</si>
  <si>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</si>
  <si>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</si>
  <si>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</si>
  <si>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</si>
  <si>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</si>
  <si>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</si>
  <si>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</si>
  <si>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</si>
  <si>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</si>
  <si>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</si>
  <si>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</si>
  <si>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</si>
  <si>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</si>
  <si>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</si>
  <si>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</si>
  <si>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</si>
  <si>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</si>
  <si>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</si>
  <si>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</si>
  <si>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</si>
  <si>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</si>
  <si>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</si>
  <si>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</si>
  <si>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</si>
  <si>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</si>
  <si>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</si>
  <si>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</si>
  <si>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</si>
  <si>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</si>
  <si>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</si>
  <si>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</si>
  <si>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</si>
  <si>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</si>
  <si>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</si>
  <si>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</si>
  <si>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</si>
  <si>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</si>
  <si>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</si>
  <si>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</si>
  <si>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</si>
  <si>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</si>
  <si>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</si>
  <si>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</si>
  <si>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</si>
  <si>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</si>
  <si>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</si>
  <si>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</si>
  <si>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</si>
  <si>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</si>
  <si>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</si>
  <si>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</si>
  <si>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</si>
  <si>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</si>
  <si>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</si>
  <si>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</si>
  <si>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</si>
  <si>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</si>
  <si>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</si>
  <si>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</si>
  <si>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</si>
  <si>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</si>
  <si>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</si>
  <si>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</si>
  <si>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</si>
  <si>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</si>
  <si>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</si>
  <si>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</si>
  <si>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</si>
  <si>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</si>
  <si>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</si>
  <si>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</si>
  <si>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</si>
  <si>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</si>
  <si>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</si>
  <si>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</si>
  <si>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</si>
  <si>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</si>
  <si>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</si>
  <si>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</si>
  <si>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</si>
  <si>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</si>
  <si>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</si>
  <si>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</si>
  <si>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</si>
  <si>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</si>
  <si>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</si>
  <si>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</si>
  <si>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</si>
  <si>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</si>
  <si>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</si>
  <si>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</si>
  <si>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</si>
  <si>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</si>
  <si>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</si>
  <si>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</si>
  <si>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</si>
  <si>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</si>
  <si>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</si>
  <si>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</si>
  <si>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</si>
  <si>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</si>
  <si>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</si>
  <si>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</si>
  <si>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</si>
  <si>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</si>
  <si>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</si>
  <si>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</si>
  <si>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</si>
  <si>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</si>
  <si>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</si>
  <si>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</si>
  <si>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</si>
  <si>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</si>
  <si>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</si>
  <si>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</si>
  <si>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</si>
  <si>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</si>
  <si>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</si>
  <si>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</si>
  <si>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</si>
  <si>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</si>
  <si>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</si>
  <si>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</si>
  <si>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</si>
  <si>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</si>
  <si>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</si>
  <si>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</si>
  <si>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</si>
  <si>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</si>
  <si>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</si>
  <si>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</si>
  <si>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</si>
  <si>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</si>
  <si>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</si>
  <si>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</si>
  <si>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</si>
  <si>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</si>
  <si>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</si>
  <si>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</si>
  <si>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</si>
  <si>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</si>
  <si>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</si>
  <si>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</si>
  <si>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</si>
  <si>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</si>
  <si>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</si>
  <si>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</si>
  <si>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</si>
  <si>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</si>
  <si>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</si>
  <si>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</si>
  <si>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</si>
  <si>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</si>
  <si>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</si>
  <si>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</si>
  <si>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</si>
  <si>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</si>
  <si>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</si>
  <si>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</si>
  <si>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</si>
  <si>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</si>
  <si>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</si>
  <si>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</si>
  <si>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</si>
  <si>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</si>
  <si>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</si>
  <si>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</si>
  <si>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</si>
  <si>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</si>
  <si>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</si>
  <si>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</si>
  <si>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</si>
  <si>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</si>
  <si>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</si>
  <si>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</si>
  <si>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</si>
  <si>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</si>
  <si>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</si>
  <si>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</si>
  <si>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</si>
  <si>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</si>
  <si>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</si>
  <si>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</si>
  <si>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</si>
  <si>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</si>
  <si>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</si>
  <si>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</si>
  <si>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</si>
  <si>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</si>
  <si>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</si>
  <si>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</si>
  <si>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</si>
  <si>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</si>
  <si>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</si>
  <si>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</si>
  <si>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</si>
  <si>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</si>
  <si>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</si>
  <si>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</si>
  <si>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 xml:space="preserve">Polyline break </t>
  </si>
  <si>
    <t>Bing Maps route detail level</t>
  </si>
  <si>
    <t>[1, 20]</t>
  </si>
  <si>
    <t>[5, 200]</t>
  </si>
  <si>
    <t>[0, 10]</t>
  </si>
  <si>
    <t>Please enter an integer from 0 to 10</t>
  </si>
  <si>
    <t>Lütfen 0 ile 10 arasında bir tam sayı girin</t>
  </si>
  <si>
    <t>Bing Haritalar rota ayrıntı düzeyi</t>
  </si>
  <si>
    <t xml:space="preserve">Çoklu çizgi sonu </t>
  </si>
  <si>
    <t>Bitte geben Sie eine ganze Zahl von 0 bis 10 ein</t>
  </si>
  <si>
    <t>Polylinienbruch</t>
  </si>
  <si>
    <t>Detailebene der Bing Maps-Route</t>
  </si>
  <si>
    <t>Ingrese un número entero de 0 a 10</t>
  </si>
  <si>
    <t>Rotura de polilínea</t>
  </si>
  <si>
    <t>Nivel de detalle de la ruta de Bing Maps</t>
  </si>
  <si>
    <t>Veuillez saisir un nombre entier de 0 à 10</t>
  </si>
  <si>
    <t>Rupture de polyligne</t>
  </si>
  <si>
    <t>Niveau de détail de l'itinéraire Bing Maps</t>
  </si>
  <si>
    <t>Per favore inserisci un numero intero da 0 a 10</t>
  </si>
  <si>
    <t>Interruzione polilinea</t>
  </si>
  <si>
    <t>Livello di dettaglio del percorso di Bing Maps</t>
  </si>
  <si>
    <t>Sì</t>
  </si>
  <si>
    <t>Insira um número inteiro de 0 a 10</t>
  </si>
  <si>
    <t>Quebra de polilinha</t>
  </si>
  <si>
    <t>Nível de detalhe da rota do Bing Maps</t>
  </si>
  <si>
    <t>الرجاء إدخال عدد صحيح من 0 إلى 10</t>
  </si>
  <si>
    <t>كسر متعدد الخطوط</t>
  </si>
  <si>
    <t>مستوى تفاصيل مسار خرائط Bing</t>
  </si>
  <si>
    <t>Harap masukkan bilangan bulat dari 0 hingga 10</t>
  </si>
  <si>
    <t>istirahat polyline</t>
  </si>
  <si>
    <t>Tingkat detail rute Bing Maps</t>
  </si>
  <si>
    <t>براہ کرم 0 سے 10 تک ایک عددی درج کریں</t>
  </si>
  <si>
    <t>پولی لائن کا توڑ</t>
  </si>
  <si>
    <t>بنگ میپس کے راستے کی تفصیل کی سطح</t>
  </si>
  <si>
    <t>দয়া করে 0 থেকে 10 পর্যন্ত পূর্ণসংখ্যা প্রবেশ করান</t>
  </si>
  <si>
    <t>পললাইন বিরতি</t>
  </si>
  <si>
    <t>বিং মানচিত্রের রুটের বিশদ স্তর</t>
  </si>
  <si>
    <t>Tafadhali ingiza nambari kamili kutoka 0 hadi 10</t>
  </si>
  <si>
    <t>Polyline kuvunja</t>
  </si>
  <si>
    <t>Kiwango cha maelezo ya njia ya Ramani za Bing</t>
  </si>
  <si>
    <t>لطفاً یک عدد صحیح از 0 تا 10 وارد کنید</t>
  </si>
  <si>
    <t>استراحت پلی لاین</t>
  </si>
  <si>
    <t>سطح جزئیات مسیر Bing Maps</t>
  </si>
  <si>
    <t>Sila masukkan bilangan bulat dari 0 hingga 10</t>
  </si>
  <si>
    <t>Pecahan polyline</t>
  </si>
  <si>
    <t>Tahap perincian laluan Peta Bing</t>
  </si>
  <si>
    <t>All</t>
  </si>
  <si>
    <t>Semua</t>
  </si>
  <si>
    <t>همه</t>
  </si>
  <si>
    <t>Wote</t>
  </si>
  <si>
    <t>সব</t>
  </si>
  <si>
    <t>سب</t>
  </si>
  <si>
    <t>الجميع</t>
  </si>
  <si>
    <t>Tudo</t>
  </si>
  <si>
    <t>Tutto</t>
  </si>
  <si>
    <t>Toute</t>
  </si>
  <si>
    <t>Todos</t>
  </si>
  <si>
    <t>Alle</t>
  </si>
  <si>
    <t>Tümü</t>
  </si>
  <si>
    <t>Display</t>
  </si>
  <si>
    <t>Paparan</t>
  </si>
  <si>
    <t>نمایش دادن</t>
  </si>
  <si>
    <t>Onyesha</t>
  </si>
  <si>
    <t>প্রদর্শন</t>
  </si>
  <si>
    <t>ڈسپلے</t>
  </si>
  <si>
    <t>Menampilkan</t>
  </si>
  <si>
    <t>عرض</t>
  </si>
  <si>
    <t>Mostrar</t>
  </si>
  <si>
    <t>Schermo</t>
  </si>
  <si>
    <t>Afficher</t>
  </si>
  <si>
    <t>Anzeige</t>
  </si>
  <si>
    <t>Görüntüle</t>
  </si>
  <si>
    <t>Developed by Dr Güneş Erdoğan, 2020.</t>
  </si>
  <si>
    <t>School of Management, University of Bath.</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</si>
  <si>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</si>
  <si>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 exceeds its capacity.</t>
  </si>
  <si>
    <t xml:space="preserve"> überschreitet seine Kapazität.</t>
  </si>
  <si>
    <t xml:space="preserve"> kapasitesini aşıyor.</t>
  </si>
  <si>
    <t xml:space="preserve"> excede su capacidad.</t>
  </si>
  <si>
    <t xml:space="preserve"> dépasse sa capacité.</t>
  </si>
  <si>
    <t xml:space="preserve"> supera la sua capacità.</t>
  </si>
  <si>
    <t xml:space="preserve"> excede sua capacidade.</t>
  </si>
  <si>
    <t>يفوق قدرتها.</t>
  </si>
  <si>
    <t>melebihi kapasitasnya.</t>
  </si>
  <si>
    <t>اپنی صلاحیت سے زیادہ</t>
  </si>
  <si>
    <t>তার ধারণক্ষমতা অতিক্রম করে।</t>
  </si>
  <si>
    <t xml:space="preserve"> huzidi uwezo wake.</t>
  </si>
  <si>
    <t>بیش از ظرفیت خود است</t>
  </si>
  <si>
    <t xml:space="preserve"> melebihi kemampuannya.</t>
  </si>
  <si>
    <t>5.2. Animate Visualization Worksheet</t>
  </si>
  <si>
    <t>customButton17</t>
  </si>
  <si>
    <t>5.2. Görselleştirme Çalışma Sayfasını Canlandır</t>
  </si>
  <si>
    <t>5.2. Arbeitsblatt zur Visualisierung animieren</t>
  </si>
  <si>
    <t>5.2. Hoja de trabajo de visualización animada</t>
  </si>
  <si>
    <t>5.2. Feuille de travail de visualisation animée</t>
  </si>
  <si>
    <t>5.2. Foglio di lavoro per la visualizzazione animata</t>
  </si>
  <si>
    <t>5.2. Planilha de visualização do Animate</t>
  </si>
  <si>
    <t>5.2 تحريك ورقة عمل التصور</t>
  </si>
  <si>
    <t>5.2. Lembar Kerja Visualisasi Animasi</t>
  </si>
  <si>
    <t>5.2۔ اینیمیٹ ویزولائزیشن ورک شیٹ۔</t>
  </si>
  <si>
    <t>5.2। অ্যানিমেট ভিজুয়ালাইজেশন ওয়ার্কশীট</t>
  </si>
  <si>
    <t>5.2. Kuhuisha Karatasi ya Utaftaji</t>
  </si>
  <si>
    <t>5.2 کاربرگ تجسم سازی متحرک</t>
  </si>
  <si>
    <t>5.2. Lembaran Kerja Visualisasi Animasi</t>
  </si>
  <si>
    <t>Visualization worksheet setup complete.</t>
  </si>
  <si>
    <t>Animation complete.</t>
  </si>
  <si>
    <t xml:space="preserve">, step </t>
  </si>
  <si>
    <t xml:space="preserve">, vehicle </t>
  </si>
  <si>
    <t xml:space="preserve">, vehicle type </t>
  </si>
  <si>
    <t xml:space="preserve">This will take up to </t>
  </si>
  <si>
    <t xml:space="preserve"> seconds. You can speed up the animation by pressing (or holding down) the &lt;Esc&gt; key. Do you want to continue?</t>
  </si>
  <si>
    <t>Worksheet 5.Visualization must exist for the solution worksheet to be created.</t>
  </si>
  <si>
    <t>Penyediaan lembaran kerja visualisasi selesai.</t>
  </si>
  <si>
    <t>Animasi selesai.</t>
  </si>
  <si>
    <t>, langkah</t>
  </si>
  <si>
    <t>, kenderaan</t>
  </si>
  <si>
    <t>, jenis kenderaan</t>
  </si>
  <si>
    <t>Ini akan memakan masa sehingga</t>
  </si>
  <si>
    <t xml:space="preserve">  saat. Anda boleh mempercepat animasi dengan menekan (atau menahan) kekunci &lt;Esc&gt;. Adakah anda mahu meneruskan?</t>
  </si>
  <si>
    <t>Lembaran Kerja 5. Visualisasi mesti ada agar lembaran kerja penyelesaian dibuat.</t>
  </si>
  <si>
    <t>تنظیم کاربرگ تجسم کامل شد.</t>
  </si>
  <si>
    <t>انیمیشن کامل شد.</t>
  </si>
  <si>
    <t>، گام</t>
  </si>
  <si>
    <t>، وسیله نقلیه</t>
  </si>
  <si>
    <t>، نوع وسیله نقلیه</t>
  </si>
  <si>
    <t>این کار تا</t>
  </si>
  <si>
    <t xml:space="preserve">  ثانیه می توانید با فشار دادن (یا نگه داشتن) کلید &lt;Esc&gt; سرعت حرکت را افزایش دهید. می خواهید ادامه دهید؟</t>
  </si>
  <si>
    <t>کاربرگ 5. برای ایجاد کاربرگ راه حل باید تجسم وجود داشته باشد.</t>
  </si>
  <si>
    <t>Usanidi wa karatasi ya taswira umekamilika.</t>
  </si>
  <si>
    <t>Uhuishaji umekamilika.</t>
  </si>
  <si>
    <t>, hatua</t>
  </si>
  <si>
    <t>, gari</t>
  </si>
  <si>
    <t>, gari aina</t>
  </si>
  <si>
    <t>Hii itachukua hadi</t>
  </si>
  <si>
    <t xml:space="preserve">  sekunde. Unaweza kuharakisha uhuishaji kwa kubonyeza (au kushikilia) kitufe cha &lt;Esc&gt;. Je! Unataka kuendelea?</t>
  </si>
  <si>
    <t>Karatasi ya kazi 5. Uhakiki lazima uwepo ili karatasi ya suluhisho iundwe.</t>
  </si>
  <si>
    <t>ভিজ্যুয়ালাইজেশন ওয়ার্কশীট সেটআপ সম্পূর্ণ।</t>
  </si>
  <si>
    <t>অ্যানিমেশন সম্পূর্ণ।</t>
  </si>
  <si>
    <t>, ধাপ</t>
  </si>
  <si>
    <t>, যানবাহন</t>
  </si>
  <si>
    <t>, গাড়ির ধরন</t>
  </si>
  <si>
    <t>এই পর্যন্ত লাগবে</t>
  </si>
  <si>
    <t xml:space="preserve">  সেকেন্ড আপনি &lt;Esc&gt; কী টিপে (বা চেপে ধরে) অ্যানিমেশনের গতি বাড়িয়ে দিতে পারেন। আপনি কি অবিরত করতে চান?</t>
  </si>
  <si>
    <t>ওয়ার্কশীট 5. সমাধান কার্যপত্রক তৈরির জন্য ভিজ্যুয়ালাইজেশন থাকতে হবে।</t>
  </si>
  <si>
    <t>ویژولائزیشن ورک شیٹ سیٹ اپ مکمل۔</t>
  </si>
  <si>
    <t>حرکت پذیری مکمل</t>
  </si>
  <si>
    <t>، قدم</t>
  </si>
  <si>
    <t>، گاڑی</t>
  </si>
  <si>
    <t>، گاڑی کی قسم</t>
  </si>
  <si>
    <t>یہ تک لے جائے گا</t>
  </si>
  <si>
    <t xml:space="preserve">  سیکنڈ آپ &lt;Esc&gt; کی کو دباکر (یا دبائے رکھ کر) حرکت پذیری کو تیز کرسکتے ہیں۔ کیا آپ جاری رکھنا چاہتے ہیں؟</t>
  </si>
  <si>
    <t>ورک شیٹ 5. حل ورک شیٹ بنانے کے لیے ویزولائزیشن کا ہونا ضروری ہے۔</t>
  </si>
  <si>
    <t>Penyiapan lembar kerja visualisasi selesai.</t>
  </si>
  <si>
    <t>, melangkah</t>
  </si>
  <si>
    <t>, kendaraan</t>
  </si>
  <si>
    <t>, jenis kendaraan</t>
  </si>
  <si>
    <t>Ini akan memakan waktu hingga</t>
  </si>
  <si>
    <t xml:space="preserve">  detik. Anda dapat mempercepat animasi dengan menekan (atau menahan) tombol &lt;Esc&gt;. Apakah Anda ingin melanjutkan?</t>
  </si>
  <si>
    <t>Lembar Kerja 5.Visualisasi harus ada untuk lembar kerja solusi yang akan dibuat.</t>
  </si>
  <si>
    <t>اكتمل إعداد ورقة عمل التصور.</t>
  </si>
  <si>
    <t>اكتملت الرسوم المتحركة.</t>
  </si>
  <si>
    <t>، خطوة</t>
  </si>
  <si>
    <t>، مركبة</t>
  </si>
  <si>
    <t>، نوع السيارة</t>
  </si>
  <si>
    <t>هذا سوف يستغرق ما يصل إلى</t>
  </si>
  <si>
    <t xml:space="preserve">  ثواني. يمكنك تسريع الرسم المتحرك بالضغط (أو الضغط باستمرار) على مفتاح &lt;Esc&gt;. هل تريد الاستمرار؟</t>
  </si>
  <si>
    <t>ورقة العمل 5.يجب أن يكون التصور موجودًا حتى يتم إنشاء ورقة عمل الحل.</t>
  </si>
  <si>
    <t>Configuração da planilha de visualização concluída.</t>
  </si>
  <si>
    <t>Animação concluída.</t>
  </si>
  <si>
    <t>, Passo</t>
  </si>
  <si>
    <t>, veículo</t>
  </si>
  <si>
    <t>, Tipo de Veículo</t>
  </si>
  <si>
    <t>Isso vai demorar até</t>
  </si>
  <si>
    <t xml:space="preserve">  segundos. Você pode acelerar a animação pressionando (ou mantendo pressionada) a tecla &lt;Esc&gt;. Você quer continuar?</t>
  </si>
  <si>
    <t>Planilha 5. A visualização deve existir para que a planilha de solução seja criada.</t>
  </si>
  <si>
    <t>Configurazione del foglio di lavoro di visualizzazione completata.</t>
  </si>
  <si>
    <t>Animazione completata.</t>
  </si>
  <si>
    <t>, fare un passo</t>
  </si>
  <si>
    <t>, veicolo</t>
  </si>
  <si>
    <t>, tipo di veicolo</t>
  </si>
  <si>
    <t>Questo richiederà fino a</t>
  </si>
  <si>
    <t xml:space="preserve">  secondi. È possibile velocizzare l'animazione premendo (o tenendo premuto) il tasto &lt;Esc&gt;. Vuoi continuare?</t>
  </si>
  <si>
    <t>Foglio di lavoro 5.La visualizzazione deve esistere per creare il foglio di lavoro della soluzione.</t>
  </si>
  <si>
    <t>Configuration de la feuille de calcul de visualisation terminée.</t>
  </si>
  <si>
    <t>Animation terminée.</t>
  </si>
  <si>
    <t>, étape</t>
  </si>
  <si>
    <t>, véhicule</t>
  </si>
  <si>
    <t>, Type de véhicule</t>
  </si>
  <si>
    <t>Cela prendra jusqu'à</t>
  </si>
  <si>
    <t xml:space="preserve">  secondes. Vous pouvez accélérer l'animation en appuyant (ou en maintenant enfoncée) la touche &lt;Esc&gt;. Voulez-vous continuer?</t>
  </si>
  <si>
    <t>Feuille de calcul 5.La visualisation doit exister pour que la feuille de calcul de la solution soit créée.</t>
  </si>
  <si>
    <t>Se completó la configuración de la hoja de trabajo de visualización.</t>
  </si>
  <si>
    <t>Animación completa.</t>
  </si>
  <si>
    <t>, paso</t>
  </si>
  <si>
    <t>, vehículo</t>
  </si>
  <si>
    <t>, tipo de vehiculo</t>
  </si>
  <si>
    <t>Esto tomará hasta</t>
  </si>
  <si>
    <t xml:space="preserve">  segundos. Puede acelerar la animación presionando (o manteniendo presionada) la tecla &lt;Esc&gt;. ¿Quieres continuar?</t>
  </si>
  <si>
    <t>Hoja de trabajo 5. Debe existir visualización para que se cree la hoja de trabajo de la solución.</t>
  </si>
  <si>
    <t>Einrichtung des Visualisierungsarbeitsblatts abgeschlossen.</t>
  </si>
  <si>
    <t>Animation abgeschlossen.</t>
  </si>
  <si>
    <t>, Schritt</t>
  </si>
  <si>
    <t>, Fahrzeug</t>
  </si>
  <si>
    <t>, Fahrzeugtyp</t>
  </si>
  <si>
    <t>Dies dauert bis zu</t>
  </si>
  <si>
    <t xml:space="preserve">  Sekunden. Sie können die Animation beschleunigen, indem Sie die &lt;Esc&gt;-Taste drücken (oder gedrückt halten). Wollen Sie fortfahren?</t>
  </si>
  <si>
    <t>Arbeitsblatt 5. Die Visualisierung muss vorhanden sein, damit das Lösungsarbeitsblatt erstellt werden kann.</t>
  </si>
  <si>
    <t>Görselleştirme çalışma sayfası kurulumu tamamlandı.</t>
  </si>
  <si>
    <t>Animasyon tamamlandı.</t>
  </si>
  <si>
    <t>, adım</t>
  </si>
  <si>
    <t>, araç</t>
  </si>
  <si>
    <t>, araç tipi</t>
  </si>
  <si>
    <t>Bu kadar sürecek</t>
  </si>
  <si>
    <t xml:space="preserve">  saniye. &lt;Esc&gt; tuşuna basarak (veya basılı tutarak) animasyonu hızlandırabilirsiniz. Devam etmek istiyor musun?</t>
  </si>
  <si>
    <t>Çalışma Sayfası 5. Oluşturulacak çözüm çalışma sayfası için görselleştirme bulunmalıdır.</t>
  </si>
  <si>
    <t>Driving</t>
  </si>
  <si>
    <t>Truck</t>
  </si>
  <si>
    <t>Walking</t>
  </si>
  <si>
    <t>Bing Maps travel mode</t>
  </si>
  <si>
    <t>Yürüme</t>
  </si>
  <si>
    <t>Bing Haritalar seyahat modu</t>
  </si>
  <si>
    <t>Binek araç</t>
  </si>
  <si>
    <t>Kamyon</t>
  </si>
  <si>
    <t>Fahren</t>
  </si>
  <si>
    <t>Lastwagen</t>
  </si>
  <si>
    <t>Gehen</t>
  </si>
  <si>
    <t>Bing Maps-Reisemodus</t>
  </si>
  <si>
    <t>Conduciendo</t>
  </si>
  <si>
    <t>Camión</t>
  </si>
  <si>
    <t>Caminando</t>
  </si>
  <si>
    <t>Modo de viaje de Bing Maps</t>
  </si>
  <si>
    <t>Conduite</t>
  </si>
  <si>
    <t>Camion</t>
  </si>
  <si>
    <t>Marche à pied</t>
  </si>
  <si>
    <t>Mode de voyage Bing Maps</t>
  </si>
  <si>
    <t>Guida</t>
  </si>
  <si>
    <t>A piedi</t>
  </si>
  <si>
    <t>Modalità viaggio Bing Maps</t>
  </si>
  <si>
    <t>Dirigindo</t>
  </si>
  <si>
    <t>Caminhão</t>
  </si>
  <si>
    <t>Andando</t>
  </si>
  <si>
    <t>Modo de viagem Bing Maps</t>
  </si>
  <si>
    <t>القيادة</t>
  </si>
  <si>
    <t>شاحنة</t>
  </si>
  <si>
    <t>المشي</t>
  </si>
  <si>
    <t>وضع السفر في خرائط Bing</t>
  </si>
  <si>
    <t>Menyetir</t>
  </si>
  <si>
    <t>Truk</t>
  </si>
  <si>
    <t>Sedang berjalan</t>
  </si>
  <si>
    <t>Mode perjalanan Bing Maps</t>
  </si>
  <si>
    <t>ڈرائیونگ</t>
  </si>
  <si>
    <t>ٹرک</t>
  </si>
  <si>
    <t>چلنا</t>
  </si>
  <si>
    <t>بنگ میپس ٹریول موڈ</t>
  </si>
  <si>
    <t>পরিচালনা</t>
  </si>
  <si>
    <t>ট্রাক</t>
  </si>
  <si>
    <t>হাঁটা</t>
  </si>
  <si>
    <t>Bing মানচিত্র ভ্রমণ মোড</t>
  </si>
  <si>
    <t>Kuendesha gari</t>
  </si>
  <si>
    <t>Lori</t>
  </si>
  <si>
    <t>Kutembea</t>
  </si>
  <si>
    <t>Hali ya usafiri ya Ramani za Bing</t>
  </si>
  <si>
    <t>رانندگی</t>
  </si>
  <si>
    <t>کامیون</t>
  </si>
  <si>
    <t>پیاده روی</t>
  </si>
  <si>
    <t>حالت سفر نقشه های بینگ</t>
  </si>
  <si>
    <t>Memandu</t>
  </si>
  <si>
    <t>berjalan</t>
  </si>
  <si>
    <t>Mod perjalanan Peta Bing</t>
  </si>
  <si>
    <t>AsjGj82rZXeIQJ9ToFOxaUHiTaZzqNzThjypPjxHspcONEnQs6KNJS22Aj-2CxI3</t>
  </si>
  <si>
    <t>depósito A</t>
  </si>
  <si>
    <t>depósito B</t>
  </si>
  <si>
    <t>depósito C</t>
  </si>
  <si>
    <t>Cliente1</t>
  </si>
  <si>
    <t>Cliente2</t>
  </si>
  <si>
    <t>Cliente3</t>
  </si>
  <si>
    <t>Cliente4</t>
  </si>
  <si>
    <t>Cliente5</t>
  </si>
  <si>
    <t>Cliente6</t>
  </si>
  <si>
    <t>Cliente7</t>
  </si>
  <si>
    <t>Cliente8</t>
  </si>
  <si>
    <t>Cliente9</t>
  </si>
  <si>
    <t>Cliente10</t>
  </si>
  <si>
    <t>Cliente11</t>
  </si>
  <si>
    <t>Cliente12</t>
  </si>
  <si>
    <t>Cliente13</t>
  </si>
  <si>
    <t>Cliente14</t>
  </si>
  <si>
    <t>Cliente15</t>
  </si>
  <si>
    <t>Cliente16</t>
  </si>
  <si>
    <t>Cliente17</t>
  </si>
  <si>
    <t>Cliente18</t>
  </si>
  <si>
    <t>Cliente19</t>
  </si>
  <si>
    <t>Cliente20</t>
  </si>
  <si>
    <t>Cliente21</t>
  </si>
  <si>
    <t>Cliente22</t>
  </si>
  <si>
    <t>Cliente23</t>
  </si>
  <si>
    <t>Cliente24</t>
  </si>
  <si>
    <t>Cliente25</t>
  </si>
  <si>
    <t>Cliente26</t>
  </si>
  <si>
    <t>Cliente27</t>
  </si>
  <si>
    <t>Cliente28</t>
  </si>
  <si>
    <t>Cliente29</t>
  </si>
  <si>
    <t>Cliente30</t>
  </si>
  <si>
    <t>Cliente31</t>
  </si>
  <si>
    <t>Cliente32</t>
  </si>
  <si>
    <t>Cliente33</t>
  </si>
  <si>
    <t>Cliente34</t>
  </si>
  <si>
    <t>Cliente35</t>
  </si>
  <si>
    <t>Cliente36</t>
  </si>
  <si>
    <t>Cliente37</t>
  </si>
  <si>
    <t>Cliente38</t>
  </si>
  <si>
    <t>Cliente39</t>
  </si>
  <si>
    <t>Cliente40</t>
  </si>
  <si>
    <t>Cliente41</t>
  </si>
  <si>
    <t>Cliente42</t>
  </si>
  <si>
    <t>Cliente43</t>
  </si>
  <si>
    <t>Cliente44</t>
  </si>
  <si>
    <t>Cliente45</t>
  </si>
  <si>
    <t>Cliente46</t>
  </si>
  <si>
    <t>Cliente47</t>
  </si>
  <si>
    <t>Cliente48</t>
  </si>
  <si>
    <t>Cliente49</t>
  </si>
  <si>
    <t>Cliente50</t>
  </si>
  <si>
    <t>Cliente51</t>
  </si>
  <si>
    <t>Quebra de polilinha1 Latitude (y)</t>
  </si>
  <si>
    <t>Quebra de polilinha1 Longitude (x)</t>
  </si>
  <si>
    <t>Quebra de polilinha2 Latitude (y)</t>
  </si>
  <si>
    <t>Quebra de polilinha2 Longitude (x)</t>
  </si>
  <si>
    <t>Quebra de polilinha3 Latitude (y)</t>
  </si>
  <si>
    <t>Quebra de polilinha3 Longitude (x)</t>
  </si>
  <si>
    <t>Distâncias de condução do Bing Maps (km) / Duração de condução do Bing Maps / Caminhão</t>
  </si>
  <si>
    <t>Origem/Destino</t>
  </si>
  <si>
    <t>CO.Fabrica</t>
  </si>
  <si>
    <t>NO_MUN</t>
  </si>
  <si>
    <t>NO_MUN_MIN</t>
  </si>
  <si>
    <t>SG_UF</t>
  </si>
  <si>
    <t>LAT</t>
  </si>
  <si>
    <t>LONG</t>
  </si>
  <si>
    <t>ITU</t>
  </si>
  <si>
    <t>Itu</t>
  </si>
  <si>
    <t>SP</t>
  </si>
  <si>
    <t>ARARAQUARA</t>
  </si>
  <si>
    <t>Araraquara</t>
  </si>
  <si>
    <t>JACAREI</t>
  </si>
  <si>
    <t>Jacareí</t>
  </si>
  <si>
    <t>CO.Cliente</t>
  </si>
  <si>
    <t>MUN</t>
  </si>
  <si>
    <t>VALINHOS</t>
  </si>
  <si>
    <t>CAMPINAS</t>
  </si>
  <si>
    <t>AMERICANA</t>
  </si>
  <si>
    <t>SAO PAULO</t>
  </si>
  <si>
    <t>PIRACICABA</t>
  </si>
  <si>
    <t>SAO JOSE DOS CAMPOS</t>
  </si>
  <si>
    <t>COTIA</t>
  </si>
  <si>
    <t>SAO BERNARDO DO CAMPO</t>
  </si>
  <si>
    <t>MAUA</t>
  </si>
  <si>
    <t>OSASCO</t>
  </si>
  <si>
    <t>SANTANA DE PARNAIBA</t>
  </si>
  <si>
    <t>SAO CARLOS</t>
  </si>
  <si>
    <t>TAUBATE</t>
  </si>
  <si>
    <t>CACAPAVA</t>
  </si>
  <si>
    <t>PINDAMONHANGABA</t>
  </si>
  <si>
    <t>SOROCABA</t>
  </si>
  <si>
    <t>RIBEIRAO PRETO</t>
  </si>
  <si>
    <t>BAURU</t>
  </si>
  <si>
    <t>Cliente1-Cliente1</t>
  </si>
  <si>
    <t>Cliente1-Cliente2</t>
  </si>
  <si>
    <t>Cliente1-Cliente3</t>
  </si>
  <si>
    <t>Cliente1-Cliente4</t>
  </si>
  <si>
    <t>Cliente1-Cliente5</t>
  </si>
  <si>
    <t>Cliente1-Cliente6</t>
  </si>
  <si>
    <t>Cliente1-Cliente7</t>
  </si>
  <si>
    <t>Cliente1-Cliente8</t>
  </si>
  <si>
    <t>Cliente1-Cliente9</t>
  </si>
  <si>
    <t>Cliente1-Cliente10</t>
  </si>
  <si>
    <t>Cliente1-Cliente11</t>
  </si>
  <si>
    <t>Cliente1-Cliente12</t>
  </si>
  <si>
    <t>Cliente1-Cliente13</t>
  </si>
  <si>
    <t>Cliente1-Cliente14</t>
  </si>
  <si>
    <t>Cliente1-Cliente15</t>
  </si>
  <si>
    <t>Cliente1-Cliente16</t>
  </si>
  <si>
    <t>Cliente1-Cliente17</t>
  </si>
  <si>
    <t>Cliente1-Cliente18</t>
  </si>
  <si>
    <t>Cliente1-Cliente19</t>
  </si>
  <si>
    <t>Cliente1-Cliente20</t>
  </si>
  <si>
    <t>Cliente1-Cliente21</t>
  </si>
  <si>
    <t>Cliente1-Cliente22</t>
  </si>
  <si>
    <t>Cliente1-Cliente23</t>
  </si>
  <si>
    <t>Cliente1-Cliente24</t>
  </si>
  <si>
    <t>Cliente1-Cliente25</t>
  </si>
  <si>
    <t>Cliente1-Cliente26</t>
  </si>
  <si>
    <t>Cliente1-Cliente27</t>
  </si>
  <si>
    <t>Cliente1-Cliente28</t>
  </si>
  <si>
    <t>Cliente1-Cliente29</t>
  </si>
  <si>
    <t>Cliente1-Cliente30</t>
  </si>
  <si>
    <t>Cliente1-Cliente31</t>
  </si>
  <si>
    <t>Cliente1-Cliente32</t>
  </si>
  <si>
    <t>Cliente1-Cliente33</t>
  </si>
  <si>
    <t>Cliente1-Cliente34</t>
  </si>
  <si>
    <t>Cliente1-Cliente35</t>
  </si>
  <si>
    <t>Cliente1-Cliente36</t>
  </si>
  <si>
    <t>Cliente1-Cliente37</t>
  </si>
  <si>
    <t>Cliente1-Cliente38</t>
  </si>
  <si>
    <t>Cliente1-Cliente39</t>
  </si>
  <si>
    <t>Cliente1-Cliente40</t>
  </si>
  <si>
    <t>Cliente1-Cliente41</t>
  </si>
  <si>
    <t>Cliente1-Cliente42</t>
  </si>
  <si>
    <t>Cliente1-Cliente43</t>
  </si>
  <si>
    <t>Cliente1-Cliente44</t>
  </si>
  <si>
    <t>Cliente1-Cliente45</t>
  </si>
  <si>
    <t>Cliente1-Cliente46</t>
  </si>
  <si>
    <t>Cliente1-Cliente47</t>
  </si>
  <si>
    <t>Cliente1-Cliente48</t>
  </si>
  <si>
    <t>Cliente1-Cliente49</t>
  </si>
  <si>
    <t>Cliente1-Cliente50</t>
  </si>
  <si>
    <t>Cliente1-Cliente51</t>
  </si>
  <si>
    <t>Cliente2-Cliente1</t>
  </si>
  <si>
    <t>Cliente2-Cliente2</t>
  </si>
  <si>
    <t>Cliente2-Cliente3</t>
  </si>
  <si>
    <t>Cliente2-Cliente4</t>
  </si>
  <si>
    <t>Cliente2-Cliente5</t>
  </si>
  <si>
    <t>Cliente2-Cliente6</t>
  </si>
  <si>
    <t>Cliente2-Cliente7</t>
  </si>
  <si>
    <t>Cliente2-Cliente8</t>
  </si>
  <si>
    <t>Cliente2-Cliente9</t>
  </si>
  <si>
    <t>Cliente2-Cliente10</t>
  </si>
  <si>
    <t>Cliente2-Cliente11</t>
  </si>
  <si>
    <t>Cliente2-Cliente12</t>
  </si>
  <si>
    <t>Cliente2-Cliente13</t>
  </si>
  <si>
    <t>Cliente2-Cliente14</t>
  </si>
  <si>
    <t>Cliente2-Cliente15</t>
  </si>
  <si>
    <t>Cliente2-Cliente16</t>
  </si>
  <si>
    <t>Cliente2-Cliente17</t>
  </si>
  <si>
    <t>Cliente2-Cliente18</t>
  </si>
  <si>
    <t>Cliente2-Cliente19</t>
  </si>
  <si>
    <t>Cliente2-Cliente20</t>
  </si>
  <si>
    <t>Cliente2-Cliente21</t>
  </si>
  <si>
    <t>Cliente2-Cliente22</t>
  </si>
  <si>
    <t>Cliente2-Cliente23</t>
  </si>
  <si>
    <t>Cliente2-Cliente24</t>
  </si>
  <si>
    <t>Cliente2-Cliente25</t>
  </si>
  <si>
    <t>Cliente2-Cliente26</t>
  </si>
  <si>
    <t>Cliente2-Cliente27</t>
  </si>
  <si>
    <t>Cliente2-Cliente28</t>
  </si>
  <si>
    <t>Cliente2-Cliente29</t>
  </si>
  <si>
    <t>Cliente2-Cliente30</t>
  </si>
  <si>
    <t>Cliente2-Cliente31</t>
  </si>
  <si>
    <t>Cliente2-Cliente32</t>
  </si>
  <si>
    <t>Cliente2-Cliente33</t>
  </si>
  <si>
    <t>Cliente2-Cliente34</t>
  </si>
  <si>
    <t>Cliente2-Cliente35</t>
  </si>
  <si>
    <t>Cliente2-Cliente36</t>
  </si>
  <si>
    <t>Cliente2-Cliente37</t>
  </si>
  <si>
    <t>Cliente2-Cliente38</t>
  </si>
  <si>
    <t>Cliente2-Cliente39</t>
  </si>
  <si>
    <t>Cliente2-Cliente40</t>
  </si>
  <si>
    <t>Cliente2-Cliente41</t>
  </si>
  <si>
    <t>Cliente2-Cliente42</t>
  </si>
  <si>
    <t>Cliente2-Cliente43</t>
  </si>
  <si>
    <t>Cliente2-Cliente44</t>
  </si>
  <si>
    <t>Cliente2-Cliente45</t>
  </si>
  <si>
    <t>Cliente2-Cliente46</t>
  </si>
  <si>
    <t>Cliente2-Cliente47</t>
  </si>
  <si>
    <t>Cliente2-Cliente48</t>
  </si>
  <si>
    <t>Cliente2-Cliente49</t>
  </si>
  <si>
    <t>Cliente2-Cliente50</t>
  </si>
  <si>
    <t>Cliente2-Cliente51</t>
  </si>
  <si>
    <t>Cliente3-Cliente1</t>
  </si>
  <si>
    <t>Cliente3-Cliente2</t>
  </si>
  <si>
    <t>Cliente3-Cliente3</t>
  </si>
  <si>
    <t>Cliente3-Cliente4</t>
  </si>
  <si>
    <t>Cliente3-Cliente5</t>
  </si>
  <si>
    <t>Cliente3-Cliente6</t>
  </si>
  <si>
    <t>Cliente3-Cliente7</t>
  </si>
  <si>
    <t>Cliente3-Cliente8</t>
  </si>
  <si>
    <t>Cliente3-Cliente9</t>
  </si>
  <si>
    <t>Cliente3-Cliente10</t>
  </si>
  <si>
    <t>Cliente3-Cliente11</t>
  </si>
  <si>
    <t>Cliente3-Cliente12</t>
  </si>
  <si>
    <t>Cliente3-Cliente13</t>
  </si>
  <si>
    <t>Cliente3-Cliente14</t>
  </si>
  <si>
    <t>Cliente3-Cliente15</t>
  </si>
  <si>
    <t>Cliente3-Cliente16</t>
  </si>
  <si>
    <t>Cliente3-Cliente17</t>
  </si>
  <si>
    <t>Cliente3-Cliente18</t>
  </si>
  <si>
    <t>Cliente3-Cliente19</t>
  </si>
  <si>
    <t>Cliente3-Cliente20</t>
  </si>
  <si>
    <t>Cliente3-Cliente21</t>
  </si>
  <si>
    <t>Cliente3-Cliente22</t>
  </si>
  <si>
    <t>Cliente3-Cliente23</t>
  </si>
  <si>
    <t>Cliente3-Cliente24</t>
  </si>
  <si>
    <t>Cliente3-Cliente25</t>
  </si>
  <si>
    <t>Cliente3-Cliente26</t>
  </si>
  <si>
    <t>Cliente3-Cliente27</t>
  </si>
  <si>
    <t>Cliente3-Cliente28</t>
  </si>
  <si>
    <t>Cliente3-Cliente29</t>
  </si>
  <si>
    <t>Cliente3-Cliente30</t>
  </si>
  <si>
    <t>Cliente3-Cliente31</t>
  </si>
  <si>
    <t>Cliente3-Cliente32</t>
  </si>
  <si>
    <t>Cliente3-Cliente33</t>
  </si>
  <si>
    <t>Cliente3-Cliente34</t>
  </si>
  <si>
    <t>Cliente3-Cliente35</t>
  </si>
  <si>
    <t>Cliente3-Cliente36</t>
  </si>
  <si>
    <t>Cliente3-Cliente37</t>
  </si>
  <si>
    <t>Cliente3-Cliente38</t>
  </si>
  <si>
    <t>Cliente3-Cliente39</t>
  </si>
  <si>
    <t>Cliente3-Cliente40</t>
  </si>
  <si>
    <t>Cliente3-Cliente41</t>
  </si>
  <si>
    <t>Cliente3-Cliente42</t>
  </si>
  <si>
    <t>Cliente3-Cliente43</t>
  </si>
  <si>
    <t>Cliente3-Cliente44</t>
  </si>
  <si>
    <t>Cliente3-Cliente45</t>
  </si>
  <si>
    <t>Cliente3-Cliente46</t>
  </si>
  <si>
    <t>Cliente3-Cliente47</t>
  </si>
  <si>
    <t>Cliente3-Cliente48</t>
  </si>
  <si>
    <t>Cliente3-Cliente49</t>
  </si>
  <si>
    <t>Cliente3-Cliente50</t>
  </si>
  <si>
    <t>Cliente3-Cliente51</t>
  </si>
  <si>
    <t>Cliente4-Cliente1</t>
  </si>
  <si>
    <t>Cliente4-Cliente2</t>
  </si>
  <si>
    <t>Cliente4-Cliente3</t>
  </si>
  <si>
    <t>Cliente4-Cliente4</t>
  </si>
  <si>
    <t>Cliente4-Cliente5</t>
  </si>
  <si>
    <t>Cliente4-Cliente6</t>
  </si>
  <si>
    <t>Cliente4-Cliente7</t>
  </si>
  <si>
    <t>Cliente4-Cliente8</t>
  </si>
  <si>
    <t>Cliente4-Cliente9</t>
  </si>
  <si>
    <t>Cliente4-Cliente10</t>
  </si>
  <si>
    <t>Cliente4-Cliente11</t>
  </si>
  <si>
    <t>Cliente4-Cliente12</t>
  </si>
  <si>
    <t>Cliente4-Cliente13</t>
  </si>
  <si>
    <t>Cliente4-Cliente14</t>
  </si>
  <si>
    <t>Cliente4-Cliente15</t>
  </si>
  <si>
    <t>Cliente4-Cliente16</t>
  </si>
  <si>
    <t>Cliente4-Cliente17</t>
  </si>
  <si>
    <t>Cliente4-Cliente18</t>
  </si>
  <si>
    <t>Cliente4-Cliente19</t>
  </si>
  <si>
    <t>Cliente4-Cliente20</t>
  </si>
  <si>
    <t>Cliente4-Cliente21</t>
  </si>
  <si>
    <t>Cliente4-Cliente22</t>
  </si>
  <si>
    <t>Cliente4-Cliente23</t>
  </si>
  <si>
    <t>Cliente4-Cliente24</t>
  </si>
  <si>
    <t>Cliente4-Cliente25</t>
  </si>
  <si>
    <t>Cliente4-Cliente26</t>
  </si>
  <si>
    <t>Cliente4-Cliente27</t>
  </si>
  <si>
    <t>Cliente4-Cliente28</t>
  </si>
  <si>
    <t>Cliente4-Cliente29</t>
  </si>
  <si>
    <t>Cliente4-Cliente30</t>
  </si>
  <si>
    <t>Cliente4-Cliente31</t>
  </si>
  <si>
    <t>Cliente4-Cliente32</t>
  </si>
  <si>
    <t>Cliente4-Cliente33</t>
  </si>
  <si>
    <t>Cliente4-Cliente34</t>
  </si>
  <si>
    <t>Cliente4-Cliente35</t>
  </si>
  <si>
    <t>Cliente4-Cliente36</t>
  </si>
  <si>
    <t>Cliente4-Cliente37</t>
  </si>
  <si>
    <t>Cliente4-Cliente38</t>
  </si>
  <si>
    <t>Cliente4-Cliente39</t>
  </si>
  <si>
    <t>Cliente4-Cliente40</t>
  </si>
  <si>
    <t>Cliente4-Cliente41</t>
  </si>
  <si>
    <t>Cliente4-Cliente42</t>
  </si>
  <si>
    <t>Cliente4-Cliente43</t>
  </si>
  <si>
    <t>Cliente4-Cliente44</t>
  </si>
  <si>
    <t>Cliente4-Cliente45</t>
  </si>
  <si>
    <t>Cliente4-Cliente46</t>
  </si>
  <si>
    <t>Cliente4-Cliente47</t>
  </si>
  <si>
    <t>Cliente4-Cliente48</t>
  </si>
  <si>
    <t>Cliente4-Cliente49</t>
  </si>
  <si>
    <t>Cliente4-Cliente50</t>
  </si>
  <si>
    <t>Cliente4-Cliente51</t>
  </si>
  <si>
    <t>Cliente5-Cliente1</t>
  </si>
  <si>
    <t>Cliente5-Cliente2</t>
  </si>
  <si>
    <t>Cliente5-Cliente3</t>
  </si>
  <si>
    <t>Cliente5-Cliente4</t>
  </si>
  <si>
    <t>Cliente5-Cliente5</t>
  </si>
  <si>
    <t>Cliente5-Cliente6</t>
  </si>
  <si>
    <t>Cliente5-Cliente7</t>
  </si>
  <si>
    <t>Cliente5-Cliente8</t>
  </si>
  <si>
    <t>Cliente5-Cliente9</t>
  </si>
  <si>
    <t>Cliente5-Cliente10</t>
  </si>
  <si>
    <t>Cliente5-Cliente11</t>
  </si>
  <si>
    <t>Cliente5-Cliente12</t>
  </si>
  <si>
    <t>Cliente5-Cliente13</t>
  </si>
  <si>
    <t>Cliente5-Cliente14</t>
  </si>
  <si>
    <t>Cliente5-Cliente15</t>
  </si>
  <si>
    <t>Cliente5-Cliente16</t>
  </si>
  <si>
    <t>Cliente5-Cliente17</t>
  </si>
  <si>
    <t>Cliente5-Cliente18</t>
  </si>
  <si>
    <t>Cliente5-Cliente19</t>
  </si>
  <si>
    <t>Cliente5-Cliente20</t>
  </si>
  <si>
    <t>Cliente5-Cliente21</t>
  </si>
  <si>
    <t>Cliente5-Cliente22</t>
  </si>
  <si>
    <t>Cliente5-Cliente23</t>
  </si>
  <si>
    <t>Cliente5-Cliente24</t>
  </si>
  <si>
    <t>Cliente5-Cliente25</t>
  </si>
  <si>
    <t>Cliente5-Cliente26</t>
  </si>
  <si>
    <t>Cliente5-Cliente27</t>
  </si>
  <si>
    <t>Cliente5-Cliente28</t>
  </si>
  <si>
    <t>Cliente5-Cliente29</t>
  </si>
  <si>
    <t>Cliente5-Cliente30</t>
  </si>
  <si>
    <t>Cliente5-Cliente31</t>
  </si>
  <si>
    <t>Cliente5-Cliente32</t>
  </si>
  <si>
    <t>Cliente5-Cliente33</t>
  </si>
  <si>
    <t>Cliente5-Cliente34</t>
  </si>
  <si>
    <t>Cliente5-Cliente35</t>
  </si>
  <si>
    <t>Cliente5-Cliente36</t>
  </si>
  <si>
    <t>Cliente5-Cliente37</t>
  </si>
  <si>
    <t>Cliente5-Cliente38</t>
  </si>
  <si>
    <t>Cliente5-Cliente39</t>
  </si>
  <si>
    <t>Cliente5-Cliente40</t>
  </si>
  <si>
    <t>Cliente5-Cliente41</t>
  </si>
  <si>
    <t>Cliente5-Cliente42</t>
  </si>
  <si>
    <t>Cliente5-Cliente43</t>
  </si>
  <si>
    <t>Cliente5-Cliente44</t>
  </si>
  <si>
    <t>Cliente5-Cliente45</t>
  </si>
  <si>
    <t>Cliente5-Cliente46</t>
  </si>
  <si>
    <t>Cliente5-Cliente47</t>
  </si>
  <si>
    <t>Cliente5-Cliente48</t>
  </si>
  <si>
    <t>Cliente5-Cliente49</t>
  </si>
  <si>
    <t>Cliente5-Cliente50</t>
  </si>
  <si>
    <t>Cliente5-Cliente51</t>
  </si>
  <si>
    <t>Cliente6-Cliente1</t>
  </si>
  <si>
    <t>Cliente6-Cliente2</t>
  </si>
  <si>
    <t>Cliente6-Cliente3</t>
  </si>
  <si>
    <t>Cliente6-Cliente4</t>
  </si>
  <si>
    <t>Cliente6-Cliente5</t>
  </si>
  <si>
    <t>Cliente6-Cliente6</t>
  </si>
  <si>
    <t>Cliente6-Cliente7</t>
  </si>
  <si>
    <t>Cliente6-Cliente8</t>
  </si>
  <si>
    <t>Cliente6-Cliente9</t>
  </si>
  <si>
    <t>Cliente6-Cliente10</t>
  </si>
  <si>
    <t>Cliente6-Cliente11</t>
  </si>
  <si>
    <t>Cliente6-Cliente12</t>
  </si>
  <si>
    <t>Cliente6-Cliente13</t>
  </si>
  <si>
    <t>Cliente6-Cliente14</t>
  </si>
  <si>
    <t>Cliente6-Cliente15</t>
  </si>
  <si>
    <t>Cliente6-Cliente16</t>
  </si>
  <si>
    <t>Cliente6-Cliente17</t>
  </si>
  <si>
    <t>Cliente6-Cliente18</t>
  </si>
  <si>
    <t>Cliente6-Cliente19</t>
  </si>
  <si>
    <t>Cliente6-Cliente20</t>
  </si>
  <si>
    <t>Cliente6-Cliente21</t>
  </si>
  <si>
    <t>Cliente6-Cliente22</t>
  </si>
  <si>
    <t>Cliente6-Cliente23</t>
  </si>
  <si>
    <t>Cliente6-Cliente24</t>
  </si>
  <si>
    <t>Cliente6-Cliente25</t>
  </si>
  <si>
    <t>Cliente6-Cliente26</t>
  </si>
  <si>
    <t>Cliente6-Cliente27</t>
  </si>
  <si>
    <t>Cliente6-Cliente28</t>
  </si>
  <si>
    <t>Cliente6-Cliente29</t>
  </si>
  <si>
    <t>Cliente6-Cliente30</t>
  </si>
  <si>
    <t>Cliente6-Cliente31</t>
  </si>
  <si>
    <t>Cliente6-Cliente32</t>
  </si>
  <si>
    <t>Cliente6-Cliente33</t>
  </si>
  <si>
    <t>Cliente6-Cliente34</t>
  </si>
  <si>
    <t>Cliente6-Cliente35</t>
  </si>
  <si>
    <t>Cliente6-Cliente36</t>
  </si>
  <si>
    <t>Cliente6-Cliente37</t>
  </si>
  <si>
    <t>Cliente6-Cliente38</t>
  </si>
  <si>
    <t>Cliente6-Cliente39</t>
  </si>
  <si>
    <t>Cliente6-Cliente40</t>
  </si>
  <si>
    <t>Cliente6-Cliente41</t>
  </si>
  <si>
    <t>Cliente6-Cliente42</t>
  </si>
  <si>
    <t>Cliente6-Cliente43</t>
  </si>
  <si>
    <t>Cliente6-Cliente44</t>
  </si>
  <si>
    <t>Cliente6-Cliente45</t>
  </si>
  <si>
    <t>Cliente6-Cliente46</t>
  </si>
  <si>
    <t>Cliente6-Cliente47</t>
  </si>
  <si>
    <t>Cliente6-Cliente48</t>
  </si>
  <si>
    <t>Cliente6-Cliente49</t>
  </si>
  <si>
    <t>Cliente6-Cliente50</t>
  </si>
  <si>
    <t>Cliente6-Cliente51</t>
  </si>
  <si>
    <t>Cliente7-Cliente1</t>
  </si>
  <si>
    <t>Cliente7-Cliente2</t>
  </si>
  <si>
    <t>Cliente7-Cliente3</t>
  </si>
  <si>
    <t>Cliente7-Cliente4</t>
  </si>
  <si>
    <t>Cliente7-Cliente5</t>
  </si>
  <si>
    <t>Cliente7-Cliente6</t>
  </si>
  <si>
    <t>Cliente7-Cliente7</t>
  </si>
  <si>
    <t>Cliente7-Cliente8</t>
  </si>
  <si>
    <t>Cliente7-Cliente9</t>
  </si>
  <si>
    <t>Cliente7-Cliente10</t>
  </si>
  <si>
    <t>Cliente7-Cliente11</t>
  </si>
  <si>
    <t>Cliente7-Cliente12</t>
  </si>
  <si>
    <t>Cliente7-Cliente13</t>
  </si>
  <si>
    <t>Cliente7-Cliente14</t>
  </si>
  <si>
    <t>Cliente7-Cliente15</t>
  </si>
  <si>
    <t>Cliente7-Cliente16</t>
  </si>
  <si>
    <t>Cliente7-Cliente17</t>
  </si>
  <si>
    <t>Cliente7-Cliente18</t>
  </si>
  <si>
    <t>Cliente7-Cliente19</t>
  </si>
  <si>
    <t>Cliente7-Cliente20</t>
  </si>
  <si>
    <t>Cliente7-Cliente21</t>
  </si>
  <si>
    <t>Cliente7-Cliente22</t>
  </si>
  <si>
    <t>Cliente7-Cliente23</t>
  </si>
  <si>
    <t>Cliente7-Cliente24</t>
  </si>
  <si>
    <t>Cliente7-Cliente25</t>
  </si>
  <si>
    <t>Cliente7-Cliente26</t>
  </si>
  <si>
    <t>Cliente7-Cliente27</t>
  </si>
  <si>
    <t>Cliente7-Cliente28</t>
  </si>
  <si>
    <t>Cliente7-Cliente29</t>
  </si>
  <si>
    <t>Cliente7-Cliente30</t>
  </si>
  <si>
    <t>Cliente7-Cliente31</t>
  </si>
  <si>
    <t>Cliente7-Cliente32</t>
  </si>
  <si>
    <t>Cliente7-Cliente33</t>
  </si>
  <si>
    <t>Cliente7-Cliente34</t>
  </si>
  <si>
    <t>Cliente7-Cliente35</t>
  </si>
  <si>
    <t>Cliente7-Cliente36</t>
  </si>
  <si>
    <t>Cliente7-Cliente37</t>
  </si>
  <si>
    <t>Cliente7-Cliente38</t>
  </si>
  <si>
    <t>Cliente7-Cliente39</t>
  </si>
  <si>
    <t>Cliente7-Cliente40</t>
  </si>
  <si>
    <t>Cliente7-Cliente41</t>
  </si>
  <si>
    <t>Cliente7-Cliente42</t>
  </si>
  <si>
    <t>Cliente7-Cliente43</t>
  </si>
  <si>
    <t>Cliente7-Cliente44</t>
  </si>
  <si>
    <t>Cliente7-Cliente45</t>
  </si>
  <si>
    <t>Cliente7-Cliente46</t>
  </si>
  <si>
    <t>Cliente7-Cliente47</t>
  </si>
  <si>
    <t>Cliente7-Cliente48</t>
  </si>
  <si>
    <t>Cliente7-Cliente49</t>
  </si>
  <si>
    <t>Cliente7-Cliente50</t>
  </si>
  <si>
    <t>Cliente7-Cliente51</t>
  </si>
  <si>
    <t>Cliente8-Cliente1</t>
  </si>
  <si>
    <t>Cliente8-Cliente2</t>
  </si>
  <si>
    <t>Cliente8-Cliente3</t>
  </si>
  <si>
    <t>Cliente8-Cliente4</t>
  </si>
  <si>
    <t>Cliente8-Cliente5</t>
  </si>
  <si>
    <t>Cliente8-Cliente6</t>
  </si>
  <si>
    <t>Cliente8-Cliente7</t>
  </si>
  <si>
    <t>Cliente8-Cliente8</t>
  </si>
  <si>
    <t>Cliente8-Cliente9</t>
  </si>
  <si>
    <t>Cliente8-Cliente10</t>
  </si>
  <si>
    <t>Cliente8-Cliente11</t>
  </si>
  <si>
    <t>Cliente8-Cliente12</t>
  </si>
  <si>
    <t>Cliente8-Cliente13</t>
  </si>
  <si>
    <t>Cliente8-Cliente14</t>
  </si>
  <si>
    <t>Cliente8-Cliente15</t>
  </si>
  <si>
    <t>Cliente8-Cliente16</t>
  </si>
  <si>
    <t>Cliente8-Cliente17</t>
  </si>
  <si>
    <t>Cliente8-Cliente18</t>
  </si>
  <si>
    <t>Cliente8-Cliente19</t>
  </si>
  <si>
    <t>Cliente8-Cliente20</t>
  </si>
  <si>
    <t>Cliente8-Cliente21</t>
  </si>
  <si>
    <t>Cliente8-Cliente22</t>
  </si>
  <si>
    <t>Cliente8-Cliente23</t>
  </si>
  <si>
    <t>Cliente8-Cliente24</t>
  </si>
  <si>
    <t>Cliente8-Cliente25</t>
  </si>
  <si>
    <t>Cliente8-Cliente26</t>
  </si>
  <si>
    <t>Cliente8-Cliente27</t>
  </si>
  <si>
    <t>Cliente8-Cliente28</t>
  </si>
  <si>
    <t>Cliente8-Cliente29</t>
  </si>
  <si>
    <t>Cliente8-Cliente30</t>
  </si>
  <si>
    <t>Cliente8-Cliente31</t>
  </si>
  <si>
    <t>Cliente8-Cliente32</t>
  </si>
  <si>
    <t>Cliente8-Cliente33</t>
  </si>
  <si>
    <t>Cliente8-Cliente34</t>
  </si>
  <si>
    <t>Cliente8-Cliente35</t>
  </si>
  <si>
    <t>Cliente8-Cliente36</t>
  </si>
  <si>
    <t>Cliente8-Cliente37</t>
  </si>
  <si>
    <t>Cliente8-Cliente38</t>
  </si>
  <si>
    <t>Cliente8-Cliente39</t>
  </si>
  <si>
    <t>Cliente8-Cliente40</t>
  </si>
  <si>
    <t>Cliente8-Cliente41</t>
  </si>
  <si>
    <t>Cliente8-Cliente42</t>
  </si>
  <si>
    <t>Cliente8-Cliente43</t>
  </si>
  <si>
    <t>Cliente8-Cliente44</t>
  </si>
  <si>
    <t>Cliente8-Cliente45</t>
  </si>
  <si>
    <t>Cliente8-Cliente46</t>
  </si>
  <si>
    <t>Cliente8-Cliente47</t>
  </si>
  <si>
    <t>Cliente8-Cliente48</t>
  </si>
  <si>
    <t>Cliente8-Cliente49</t>
  </si>
  <si>
    <t>Cliente8-Cliente50</t>
  </si>
  <si>
    <t>Cliente8-Cliente51</t>
  </si>
  <si>
    <t>Cliente9-Cliente1</t>
  </si>
  <si>
    <t>Cliente9-Cliente2</t>
  </si>
  <si>
    <t>Cliente9-Cliente3</t>
  </si>
  <si>
    <t>Cliente9-Cliente4</t>
  </si>
  <si>
    <t>Cliente9-Cliente5</t>
  </si>
  <si>
    <t>Cliente9-Cliente6</t>
  </si>
  <si>
    <t>Cliente9-Cliente7</t>
  </si>
  <si>
    <t>Cliente9-Cliente8</t>
  </si>
  <si>
    <t>Cliente9-Cliente9</t>
  </si>
  <si>
    <t>Cliente9-Cliente10</t>
  </si>
  <si>
    <t>Cliente9-Cliente11</t>
  </si>
  <si>
    <t>Cliente9-Cliente12</t>
  </si>
  <si>
    <t>Cliente9-Cliente13</t>
  </si>
  <si>
    <t>Cliente9-Cliente14</t>
  </si>
  <si>
    <t>Cliente9-Cliente15</t>
  </si>
  <si>
    <t>Cliente9-Cliente16</t>
  </si>
  <si>
    <t>Cliente9-Cliente17</t>
  </si>
  <si>
    <t>Cliente9-Cliente18</t>
  </si>
  <si>
    <t>Cliente9-Cliente19</t>
  </si>
  <si>
    <t>Cliente9-Cliente20</t>
  </si>
  <si>
    <t>Cliente9-Cliente21</t>
  </si>
  <si>
    <t>Cliente9-Cliente22</t>
  </si>
  <si>
    <t>Cliente9-Cliente23</t>
  </si>
  <si>
    <t>Cliente9-Cliente24</t>
  </si>
  <si>
    <t>Cliente9-Cliente25</t>
  </si>
  <si>
    <t>Cliente9-Cliente26</t>
  </si>
  <si>
    <t>Cliente9-Cliente27</t>
  </si>
  <si>
    <t>Cliente9-Cliente28</t>
  </si>
  <si>
    <t>Cliente9-Cliente29</t>
  </si>
  <si>
    <t>Cliente9-Cliente30</t>
  </si>
  <si>
    <t>Cliente9-Cliente31</t>
  </si>
  <si>
    <t>Cliente9-Cliente32</t>
  </si>
  <si>
    <t>Cliente9-Cliente33</t>
  </si>
  <si>
    <t>Cliente9-Cliente34</t>
  </si>
  <si>
    <t>Cliente9-Cliente35</t>
  </si>
  <si>
    <t>Cliente9-Cliente36</t>
  </si>
  <si>
    <t>Cliente9-Cliente37</t>
  </si>
  <si>
    <t>Cliente9-Cliente38</t>
  </si>
  <si>
    <t>Cliente9-Cliente39</t>
  </si>
  <si>
    <t>Cliente9-Cliente40</t>
  </si>
  <si>
    <t>Cliente9-Cliente41</t>
  </si>
  <si>
    <t>Cliente9-Cliente42</t>
  </si>
  <si>
    <t>Cliente9-Cliente43</t>
  </si>
  <si>
    <t>Cliente9-Cliente44</t>
  </si>
  <si>
    <t>Cliente9-Cliente45</t>
  </si>
  <si>
    <t>Cliente9-Cliente46</t>
  </si>
  <si>
    <t>Cliente9-Cliente47</t>
  </si>
  <si>
    <t>Cliente9-Cliente48</t>
  </si>
  <si>
    <t>Cliente9-Cliente49</t>
  </si>
  <si>
    <t>Cliente9-Cliente50</t>
  </si>
  <si>
    <t>Cliente9-Cliente51</t>
  </si>
  <si>
    <t>Cliente10-Cliente1</t>
  </si>
  <si>
    <t>Cliente10-Cliente2</t>
  </si>
  <si>
    <t>Cliente10-Cliente3</t>
  </si>
  <si>
    <t>Cliente10-Cliente4</t>
  </si>
  <si>
    <t>Cliente10-Cliente5</t>
  </si>
  <si>
    <t>Cliente10-Cliente6</t>
  </si>
  <si>
    <t>Cliente10-Cliente7</t>
  </si>
  <si>
    <t>Cliente10-Cliente8</t>
  </si>
  <si>
    <t>Cliente10-Cliente9</t>
  </si>
  <si>
    <t>Cliente10-Cliente10</t>
  </si>
  <si>
    <t>Cliente10-Cliente11</t>
  </si>
  <si>
    <t>Cliente10-Cliente12</t>
  </si>
  <si>
    <t>Cliente10-Cliente13</t>
  </si>
  <si>
    <t>Cliente10-Cliente14</t>
  </si>
  <si>
    <t>Cliente10-Cliente15</t>
  </si>
  <si>
    <t>Cliente10-Cliente16</t>
  </si>
  <si>
    <t>Cliente10-Cliente17</t>
  </si>
  <si>
    <t>Cliente10-Cliente18</t>
  </si>
  <si>
    <t>Cliente10-Cliente19</t>
  </si>
  <si>
    <t>Cliente10-Cliente20</t>
  </si>
  <si>
    <t>Cliente10-Cliente21</t>
  </si>
  <si>
    <t>Cliente10-Cliente22</t>
  </si>
  <si>
    <t>Cliente10-Cliente23</t>
  </si>
  <si>
    <t>Cliente10-Cliente24</t>
  </si>
  <si>
    <t>Cliente10-Cliente25</t>
  </si>
  <si>
    <t>Cliente10-Cliente26</t>
  </si>
  <si>
    <t>Cliente10-Cliente27</t>
  </si>
  <si>
    <t>Cliente10-Cliente28</t>
  </si>
  <si>
    <t>Cliente10-Cliente29</t>
  </si>
  <si>
    <t>Cliente10-Cliente30</t>
  </si>
  <si>
    <t>Cliente10-Cliente31</t>
  </si>
  <si>
    <t>Cliente10-Cliente32</t>
  </si>
  <si>
    <t>Cliente10-Cliente33</t>
  </si>
  <si>
    <t>Cliente10-Cliente34</t>
  </si>
  <si>
    <t>Cliente10-Cliente35</t>
  </si>
  <si>
    <t>Cliente10-Cliente36</t>
  </si>
  <si>
    <t>Cliente10-Cliente37</t>
  </si>
  <si>
    <t>Cliente10-Cliente38</t>
  </si>
  <si>
    <t>Cliente10-Cliente39</t>
  </si>
  <si>
    <t>Cliente10-Cliente40</t>
  </si>
  <si>
    <t>Cliente10-Cliente41</t>
  </si>
  <si>
    <t>Cliente10-Cliente42</t>
  </si>
  <si>
    <t>Cliente10-Cliente43</t>
  </si>
  <si>
    <t>Cliente10-Cliente44</t>
  </si>
  <si>
    <t>Cliente10-Cliente45</t>
  </si>
  <si>
    <t>Cliente10-Cliente46</t>
  </si>
  <si>
    <t>Cliente10-Cliente47</t>
  </si>
  <si>
    <t>Cliente10-Cliente48</t>
  </si>
  <si>
    <t>Cliente10-Cliente49</t>
  </si>
  <si>
    <t>Cliente10-Cliente50</t>
  </si>
  <si>
    <t>Cliente10-Cliente51</t>
  </si>
  <si>
    <t>Cliente11-Cliente1</t>
  </si>
  <si>
    <t>Cliente11-Cliente2</t>
  </si>
  <si>
    <t>Cliente11-Cliente3</t>
  </si>
  <si>
    <t>Cliente11-Cliente4</t>
  </si>
  <si>
    <t>Cliente11-Cliente5</t>
  </si>
  <si>
    <t>Cliente11-Cliente6</t>
  </si>
  <si>
    <t>Cliente11-Cliente7</t>
  </si>
  <si>
    <t>Cliente11-Cliente8</t>
  </si>
  <si>
    <t>Cliente11-Cliente9</t>
  </si>
  <si>
    <t>Cliente11-Cliente10</t>
  </si>
  <si>
    <t>Cliente11-Cliente11</t>
  </si>
  <si>
    <t>Cliente11-Cliente12</t>
  </si>
  <si>
    <t>Cliente11-Cliente13</t>
  </si>
  <si>
    <t>Cliente11-Cliente14</t>
  </si>
  <si>
    <t>Cliente11-Cliente15</t>
  </si>
  <si>
    <t>Cliente11-Cliente16</t>
  </si>
  <si>
    <t>Cliente11-Cliente17</t>
  </si>
  <si>
    <t>Cliente11-Cliente18</t>
  </si>
  <si>
    <t>Cliente11-Cliente19</t>
  </si>
  <si>
    <t>Cliente11-Cliente20</t>
  </si>
  <si>
    <t>Cliente11-Cliente21</t>
  </si>
  <si>
    <t>Cliente11-Cliente22</t>
  </si>
  <si>
    <t>Cliente11-Cliente23</t>
  </si>
  <si>
    <t>Cliente11-Cliente24</t>
  </si>
  <si>
    <t>Cliente11-Cliente25</t>
  </si>
  <si>
    <t>Cliente11-Cliente26</t>
  </si>
  <si>
    <t>Cliente11-Cliente27</t>
  </si>
  <si>
    <t>Cliente11-Cliente28</t>
  </si>
  <si>
    <t>Cliente11-Cliente29</t>
  </si>
  <si>
    <t>Cliente11-Cliente30</t>
  </si>
  <si>
    <t>Cliente11-Cliente31</t>
  </si>
  <si>
    <t>Cliente11-Cliente32</t>
  </si>
  <si>
    <t>Cliente11-Cliente33</t>
  </si>
  <si>
    <t>Cliente11-Cliente34</t>
  </si>
  <si>
    <t>Cliente11-Cliente35</t>
  </si>
  <si>
    <t>Cliente11-Cliente36</t>
  </si>
  <si>
    <t>Cliente11-Cliente37</t>
  </si>
  <si>
    <t>Cliente11-Cliente38</t>
  </si>
  <si>
    <t>Cliente11-Cliente39</t>
  </si>
  <si>
    <t>Cliente11-Cliente40</t>
  </si>
  <si>
    <t>Cliente11-Cliente41</t>
  </si>
  <si>
    <t>Cliente11-Cliente42</t>
  </si>
  <si>
    <t>Cliente11-Cliente43</t>
  </si>
  <si>
    <t>Cliente11-Cliente44</t>
  </si>
  <si>
    <t>Cliente11-Cliente45</t>
  </si>
  <si>
    <t>Cliente11-Cliente46</t>
  </si>
  <si>
    <t>Cliente11-Cliente47</t>
  </si>
  <si>
    <t>Cliente11-Cliente48</t>
  </si>
  <si>
    <t>Cliente11-Cliente49</t>
  </si>
  <si>
    <t>Cliente11-Cliente50</t>
  </si>
  <si>
    <t>Cliente11-Cliente51</t>
  </si>
  <si>
    <t>Cliente12-Cliente1</t>
  </si>
  <si>
    <t>Cliente12-Cliente2</t>
  </si>
  <si>
    <t>Cliente12-Cliente3</t>
  </si>
  <si>
    <t>Cliente12-Cliente4</t>
  </si>
  <si>
    <t>Cliente12-Cliente5</t>
  </si>
  <si>
    <t>Cliente12-Cliente6</t>
  </si>
  <si>
    <t>Cliente12-Cliente7</t>
  </si>
  <si>
    <t>Cliente12-Cliente8</t>
  </si>
  <si>
    <t>Cliente12-Cliente9</t>
  </si>
  <si>
    <t>Cliente12-Cliente10</t>
  </si>
  <si>
    <t>Cliente12-Cliente11</t>
  </si>
  <si>
    <t>Cliente12-Cliente12</t>
  </si>
  <si>
    <t>Cliente12-Cliente13</t>
  </si>
  <si>
    <t>Cliente12-Cliente14</t>
  </si>
  <si>
    <t>Cliente12-Cliente15</t>
  </si>
  <si>
    <t>Cliente12-Cliente16</t>
  </si>
  <si>
    <t>Cliente12-Cliente17</t>
  </si>
  <si>
    <t>Cliente12-Cliente18</t>
  </si>
  <si>
    <t>Cliente12-Cliente19</t>
  </si>
  <si>
    <t>Cliente12-Cliente20</t>
  </si>
  <si>
    <t>Cliente12-Cliente21</t>
  </si>
  <si>
    <t>Cliente12-Cliente22</t>
  </si>
  <si>
    <t>Cliente12-Cliente23</t>
  </si>
  <si>
    <t>Cliente12-Cliente24</t>
  </si>
  <si>
    <t>Cliente12-Cliente25</t>
  </si>
  <si>
    <t>Cliente12-Cliente26</t>
  </si>
  <si>
    <t>Cliente12-Cliente27</t>
  </si>
  <si>
    <t>Cliente12-Cliente28</t>
  </si>
  <si>
    <t>Cliente12-Cliente29</t>
  </si>
  <si>
    <t>Cliente12-Cliente30</t>
  </si>
  <si>
    <t>Cliente12-Cliente31</t>
  </si>
  <si>
    <t>Cliente12-Cliente32</t>
  </si>
  <si>
    <t>Cliente12-Cliente33</t>
  </si>
  <si>
    <t>Cliente12-Cliente34</t>
  </si>
  <si>
    <t>Cliente12-Cliente35</t>
  </si>
  <si>
    <t>Cliente12-Cliente36</t>
  </si>
  <si>
    <t>Cliente12-Cliente37</t>
  </si>
  <si>
    <t>Cliente12-Cliente38</t>
  </si>
  <si>
    <t>Cliente12-Cliente39</t>
  </si>
  <si>
    <t>Cliente12-Cliente40</t>
  </si>
  <si>
    <t>Cliente12-Cliente41</t>
  </si>
  <si>
    <t>Cliente12-Cliente42</t>
  </si>
  <si>
    <t>Cliente12-Cliente43</t>
  </si>
  <si>
    <t>Cliente12-Cliente44</t>
  </si>
  <si>
    <t>Cliente12-Cliente45</t>
  </si>
  <si>
    <t>Cliente12-Cliente46</t>
  </si>
  <si>
    <t>Cliente12-Cliente47</t>
  </si>
  <si>
    <t>Cliente12-Cliente48</t>
  </si>
  <si>
    <t>Cliente12-Cliente49</t>
  </si>
  <si>
    <t>Cliente12-Cliente50</t>
  </si>
  <si>
    <t>Cliente12-Cliente51</t>
  </si>
  <si>
    <t>Cliente13-Cliente1</t>
  </si>
  <si>
    <t>Cliente13-Cliente2</t>
  </si>
  <si>
    <t>Cliente13-Cliente3</t>
  </si>
  <si>
    <t>Cliente13-Cliente4</t>
  </si>
  <si>
    <t>Cliente13-Cliente5</t>
  </si>
  <si>
    <t>Cliente13-Cliente6</t>
  </si>
  <si>
    <t>Cliente13-Cliente7</t>
  </si>
  <si>
    <t>Cliente13-Cliente8</t>
  </si>
  <si>
    <t>Cliente13-Cliente9</t>
  </si>
  <si>
    <t>Cliente13-Cliente10</t>
  </si>
  <si>
    <t>Cliente13-Cliente11</t>
  </si>
  <si>
    <t>Cliente13-Cliente12</t>
  </si>
  <si>
    <t>Cliente13-Cliente13</t>
  </si>
  <si>
    <t>Cliente13-Cliente14</t>
  </si>
  <si>
    <t>Cliente13-Cliente15</t>
  </si>
  <si>
    <t>Cliente13-Cliente16</t>
  </si>
  <si>
    <t>Cliente13-Cliente17</t>
  </si>
  <si>
    <t>Cliente13-Cliente18</t>
  </si>
  <si>
    <t>Cliente13-Cliente19</t>
  </si>
  <si>
    <t>Cliente13-Cliente20</t>
  </si>
  <si>
    <t>Cliente13-Cliente21</t>
  </si>
  <si>
    <t>Cliente13-Cliente22</t>
  </si>
  <si>
    <t>Cliente13-Cliente23</t>
  </si>
  <si>
    <t>Cliente13-Cliente24</t>
  </si>
  <si>
    <t>Cliente13-Cliente25</t>
  </si>
  <si>
    <t>Cliente13-Cliente26</t>
  </si>
  <si>
    <t>Cliente13-Cliente27</t>
  </si>
  <si>
    <t>Cliente13-Cliente28</t>
  </si>
  <si>
    <t>Cliente13-Cliente29</t>
  </si>
  <si>
    <t>Cliente13-Cliente30</t>
  </si>
  <si>
    <t>Cliente13-Cliente31</t>
  </si>
  <si>
    <t>Cliente13-Cliente32</t>
  </si>
  <si>
    <t>Cliente13-Cliente33</t>
  </si>
  <si>
    <t>Cliente13-Cliente34</t>
  </si>
  <si>
    <t>Cliente13-Cliente35</t>
  </si>
  <si>
    <t>Cliente13-Cliente36</t>
  </si>
  <si>
    <t>Cliente13-Cliente37</t>
  </si>
  <si>
    <t>Cliente13-Cliente38</t>
  </si>
  <si>
    <t>Cliente13-Cliente39</t>
  </si>
  <si>
    <t>Cliente13-Cliente40</t>
  </si>
  <si>
    <t>Cliente13-Cliente41</t>
  </si>
  <si>
    <t>Cliente13-Cliente42</t>
  </si>
  <si>
    <t>Cliente13-Cliente43</t>
  </si>
  <si>
    <t>Cliente13-Cliente44</t>
  </si>
  <si>
    <t>Cliente13-Cliente45</t>
  </si>
  <si>
    <t>Cliente13-Cliente46</t>
  </si>
  <si>
    <t>Cliente13-Cliente47</t>
  </si>
  <si>
    <t>Cliente13-Cliente48</t>
  </si>
  <si>
    <t>Cliente13-Cliente49</t>
  </si>
  <si>
    <t>Cliente13-Cliente50</t>
  </si>
  <si>
    <t>Cliente13-Cliente51</t>
  </si>
  <si>
    <t>Cliente14-Cliente1</t>
  </si>
  <si>
    <t>Cliente14-Cliente2</t>
  </si>
  <si>
    <t>Cliente14-Cliente3</t>
  </si>
  <si>
    <t>Cliente14-Cliente4</t>
  </si>
  <si>
    <t>Cliente14-Cliente5</t>
  </si>
  <si>
    <t>Cliente14-Cliente6</t>
  </si>
  <si>
    <t>Cliente14-Cliente7</t>
  </si>
  <si>
    <t>Cliente14-Cliente8</t>
  </si>
  <si>
    <t>Cliente14-Cliente9</t>
  </si>
  <si>
    <t>Cliente14-Cliente10</t>
  </si>
  <si>
    <t>Cliente14-Cliente11</t>
  </si>
  <si>
    <t>Cliente14-Cliente12</t>
  </si>
  <si>
    <t>Cliente14-Cliente13</t>
  </si>
  <si>
    <t>Cliente14-Cliente14</t>
  </si>
  <si>
    <t>Cliente14-Cliente15</t>
  </si>
  <si>
    <t>Cliente14-Cliente16</t>
  </si>
  <si>
    <t>Cliente14-Cliente17</t>
  </si>
  <si>
    <t>Cliente14-Cliente18</t>
  </si>
  <si>
    <t>Cliente14-Cliente19</t>
  </si>
  <si>
    <t>Cliente14-Cliente20</t>
  </si>
  <si>
    <t>Cliente14-Cliente21</t>
  </si>
  <si>
    <t>Cliente14-Cliente22</t>
  </si>
  <si>
    <t>Cliente14-Cliente23</t>
  </si>
  <si>
    <t>Cliente14-Cliente24</t>
  </si>
  <si>
    <t>Cliente14-Cliente25</t>
  </si>
  <si>
    <t>Cliente14-Cliente26</t>
  </si>
  <si>
    <t>Cliente14-Cliente27</t>
  </si>
  <si>
    <t>Cliente14-Cliente28</t>
  </si>
  <si>
    <t>Cliente14-Cliente29</t>
  </si>
  <si>
    <t>Cliente14-Cliente30</t>
  </si>
  <si>
    <t>Cliente14-Cliente31</t>
  </si>
  <si>
    <t>Cliente14-Cliente32</t>
  </si>
  <si>
    <t>Cliente14-Cliente33</t>
  </si>
  <si>
    <t>Cliente14-Cliente34</t>
  </si>
  <si>
    <t>Cliente14-Cliente35</t>
  </si>
  <si>
    <t>Cliente14-Cliente36</t>
  </si>
  <si>
    <t>Cliente14-Cliente37</t>
  </si>
  <si>
    <t>Cliente14-Cliente38</t>
  </si>
  <si>
    <t>Cliente14-Cliente39</t>
  </si>
  <si>
    <t>Cliente14-Cliente40</t>
  </si>
  <si>
    <t>Cliente14-Cliente41</t>
  </si>
  <si>
    <t>Cliente14-Cliente42</t>
  </si>
  <si>
    <t>Cliente14-Cliente43</t>
  </si>
  <si>
    <t>Cliente14-Cliente44</t>
  </si>
  <si>
    <t>Cliente14-Cliente45</t>
  </si>
  <si>
    <t>Cliente14-Cliente46</t>
  </si>
  <si>
    <t>Cliente14-Cliente47</t>
  </si>
  <si>
    <t>Cliente14-Cliente48</t>
  </si>
  <si>
    <t>Cliente14-Cliente49</t>
  </si>
  <si>
    <t>Cliente14-Cliente50</t>
  </si>
  <si>
    <t>Cliente14-Cliente51</t>
  </si>
  <si>
    <t>Cliente15-Cliente1</t>
  </si>
  <si>
    <t>Cliente15-Cliente2</t>
  </si>
  <si>
    <t>Cliente15-Cliente3</t>
  </si>
  <si>
    <t>Cliente15-Cliente4</t>
  </si>
  <si>
    <t>Cliente15-Cliente5</t>
  </si>
  <si>
    <t>Cliente15-Cliente6</t>
  </si>
  <si>
    <t>Cliente15-Cliente7</t>
  </si>
  <si>
    <t>Cliente15-Cliente8</t>
  </si>
  <si>
    <t>Cliente15-Cliente9</t>
  </si>
  <si>
    <t>Cliente15-Cliente10</t>
  </si>
  <si>
    <t>Cliente15-Cliente11</t>
  </si>
  <si>
    <t>Cliente15-Cliente12</t>
  </si>
  <si>
    <t>Cliente15-Cliente13</t>
  </si>
  <si>
    <t>Cliente15-Cliente14</t>
  </si>
  <si>
    <t>Cliente15-Cliente15</t>
  </si>
  <si>
    <t>Cliente15-Cliente16</t>
  </si>
  <si>
    <t>Cliente15-Cliente17</t>
  </si>
  <si>
    <t>Cliente15-Cliente18</t>
  </si>
  <si>
    <t>Cliente15-Cliente19</t>
  </si>
  <si>
    <t>Cliente15-Cliente20</t>
  </si>
  <si>
    <t>Cliente15-Cliente21</t>
  </si>
  <si>
    <t>Cliente15-Cliente22</t>
  </si>
  <si>
    <t>Cliente15-Cliente23</t>
  </si>
  <si>
    <t>Cliente15-Cliente24</t>
  </si>
  <si>
    <t>Cliente15-Cliente25</t>
  </si>
  <si>
    <t>Cliente15-Cliente26</t>
  </si>
  <si>
    <t>Cliente15-Cliente27</t>
  </si>
  <si>
    <t>Cliente15-Cliente28</t>
  </si>
  <si>
    <t>Cliente15-Cliente29</t>
  </si>
  <si>
    <t>Cliente15-Cliente30</t>
  </si>
  <si>
    <t>Cliente15-Cliente31</t>
  </si>
  <si>
    <t>Cliente15-Cliente32</t>
  </si>
  <si>
    <t>Cliente15-Cliente33</t>
  </si>
  <si>
    <t>Cliente15-Cliente34</t>
  </si>
  <si>
    <t>Cliente15-Cliente35</t>
  </si>
  <si>
    <t>Cliente15-Cliente36</t>
  </si>
  <si>
    <t>Cliente15-Cliente37</t>
  </si>
  <si>
    <t>Cliente15-Cliente38</t>
  </si>
  <si>
    <t>Cliente15-Cliente39</t>
  </si>
  <si>
    <t>Cliente15-Cliente40</t>
  </si>
  <si>
    <t>Cliente15-Cliente41</t>
  </si>
  <si>
    <t>Cliente15-Cliente42</t>
  </si>
  <si>
    <t>Cliente15-Cliente43</t>
  </si>
  <si>
    <t>Cliente15-Cliente44</t>
  </si>
  <si>
    <t>Cliente15-Cliente45</t>
  </si>
  <si>
    <t>Cliente15-Cliente46</t>
  </si>
  <si>
    <t>Cliente15-Cliente47</t>
  </si>
  <si>
    <t>Cliente15-Cliente48</t>
  </si>
  <si>
    <t>Cliente15-Cliente49</t>
  </si>
  <si>
    <t>Cliente15-Cliente50</t>
  </si>
  <si>
    <t>Cliente15-Cliente51</t>
  </si>
  <si>
    <t>Cliente16-Cliente1</t>
  </si>
  <si>
    <t>Cliente16-Cliente2</t>
  </si>
  <si>
    <t>Cliente16-Cliente3</t>
  </si>
  <si>
    <t>Cliente16-Cliente4</t>
  </si>
  <si>
    <t>Cliente16-Cliente5</t>
  </si>
  <si>
    <t>Cliente16-Cliente6</t>
  </si>
  <si>
    <t>Cliente16-Cliente7</t>
  </si>
  <si>
    <t>Cliente16-Cliente8</t>
  </si>
  <si>
    <t>Cliente16-Cliente9</t>
  </si>
  <si>
    <t>Cliente16-Cliente10</t>
  </si>
  <si>
    <t>Cliente16-Cliente11</t>
  </si>
  <si>
    <t>Cliente16-Cliente12</t>
  </si>
  <si>
    <t>Cliente16-Cliente13</t>
  </si>
  <si>
    <t>Cliente16-Cliente14</t>
  </si>
  <si>
    <t>Cliente16-Cliente15</t>
  </si>
  <si>
    <t>Cliente16-Cliente16</t>
  </si>
  <si>
    <t>Cliente16-Cliente17</t>
  </si>
  <si>
    <t>Cliente16-Cliente18</t>
  </si>
  <si>
    <t>Cliente16-Cliente19</t>
  </si>
  <si>
    <t>Cliente16-Cliente20</t>
  </si>
  <si>
    <t>Cliente16-Cliente21</t>
  </si>
  <si>
    <t>Cliente16-Cliente22</t>
  </si>
  <si>
    <t>Cliente16-Cliente23</t>
  </si>
  <si>
    <t>Cliente16-Cliente24</t>
  </si>
  <si>
    <t>Cliente16-Cliente25</t>
  </si>
  <si>
    <t>Cliente16-Cliente26</t>
  </si>
  <si>
    <t>Cliente16-Cliente27</t>
  </si>
  <si>
    <t>Cliente16-Cliente28</t>
  </si>
  <si>
    <t>Cliente16-Cliente29</t>
  </si>
  <si>
    <t>Cliente16-Cliente30</t>
  </si>
  <si>
    <t>Cliente16-Cliente31</t>
  </si>
  <si>
    <t>Cliente16-Cliente32</t>
  </si>
  <si>
    <t>Cliente16-Cliente33</t>
  </si>
  <si>
    <t>Cliente16-Cliente34</t>
  </si>
  <si>
    <t>Cliente16-Cliente35</t>
  </si>
  <si>
    <t>Cliente16-Cliente36</t>
  </si>
  <si>
    <t>Cliente16-Cliente37</t>
  </si>
  <si>
    <t>Cliente16-Cliente38</t>
  </si>
  <si>
    <t>Cliente16-Cliente39</t>
  </si>
  <si>
    <t>Cliente16-Cliente40</t>
  </si>
  <si>
    <t>Cliente16-Cliente41</t>
  </si>
  <si>
    <t>Cliente16-Cliente42</t>
  </si>
  <si>
    <t>Cliente16-Cliente43</t>
  </si>
  <si>
    <t>Cliente16-Cliente44</t>
  </si>
  <si>
    <t>Cliente16-Cliente45</t>
  </si>
  <si>
    <t>Cliente16-Cliente46</t>
  </si>
  <si>
    <t>Cliente16-Cliente47</t>
  </si>
  <si>
    <t>Cliente16-Cliente48</t>
  </si>
  <si>
    <t>Cliente16-Cliente49</t>
  </si>
  <si>
    <t>Cliente16-Cliente50</t>
  </si>
  <si>
    <t>Cliente16-Cliente51</t>
  </si>
  <si>
    <t>Cliente17-Cliente1</t>
  </si>
  <si>
    <t>Cliente17-Cliente2</t>
  </si>
  <si>
    <t>Cliente17-Cliente3</t>
  </si>
  <si>
    <t>Cliente17-Cliente4</t>
  </si>
  <si>
    <t>Cliente17-Cliente5</t>
  </si>
  <si>
    <t>Cliente17-Cliente6</t>
  </si>
  <si>
    <t>Cliente17-Cliente7</t>
  </si>
  <si>
    <t>Cliente17-Cliente8</t>
  </si>
  <si>
    <t>Cliente17-Cliente9</t>
  </si>
  <si>
    <t>Cliente17-Cliente10</t>
  </si>
  <si>
    <t>Cliente17-Cliente11</t>
  </si>
  <si>
    <t>Cliente17-Cliente12</t>
  </si>
  <si>
    <t>Cliente17-Cliente13</t>
  </si>
  <si>
    <t>Cliente17-Cliente14</t>
  </si>
  <si>
    <t>Cliente17-Cliente15</t>
  </si>
  <si>
    <t>Cliente17-Cliente16</t>
  </si>
  <si>
    <t>Cliente17-Cliente17</t>
  </si>
  <si>
    <t>Cliente17-Cliente18</t>
  </si>
  <si>
    <t>Cliente17-Cliente19</t>
  </si>
  <si>
    <t>Cliente17-Cliente20</t>
  </si>
  <si>
    <t>Cliente17-Cliente21</t>
  </si>
  <si>
    <t>Cliente17-Cliente22</t>
  </si>
  <si>
    <t>Cliente17-Cliente23</t>
  </si>
  <si>
    <t>Cliente17-Cliente24</t>
  </si>
  <si>
    <t>Cliente17-Cliente25</t>
  </si>
  <si>
    <t>Cliente17-Cliente26</t>
  </si>
  <si>
    <t>Cliente17-Cliente27</t>
  </si>
  <si>
    <t>Cliente17-Cliente28</t>
  </si>
  <si>
    <t>Cliente17-Cliente29</t>
  </si>
  <si>
    <t>Cliente17-Cliente30</t>
  </si>
  <si>
    <t>Cliente17-Cliente31</t>
  </si>
  <si>
    <t>Cliente17-Cliente32</t>
  </si>
  <si>
    <t>Cliente17-Cliente33</t>
  </si>
  <si>
    <t>Cliente17-Cliente34</t>
  </si>
  <si>
    <t>Cliente17-Cliente35</t>
  </si>
  <si>
    <t>Cliente17-Cliente36</t>
  </si>
  <si>
    <t>Cliente17-Cliente37</t>
  </si>
  <si>
    <t>Cliente17-Cliente38</t>
  </si>
  <si>
    <t>Cliente17-Cliente39</t>
  </si>
  <si>
    <t>Cliente17-Cliente40</t>
  </si>
  <si>
    <t>Cliente17-Cliente41</t>
  </si>
  <si>
    <t>Cliente17-Cliente42</t>
  </si>
  <si>
    <t>Cliente17-Cliente43</t>
  </si>
  <si>
    <t>Cliente17-Cliente44</t>
  </si>
  <si>
    <t>Cliente17-Cliente45</t>
  </si>
  <si>
    <t>Cliente17-Cliente46</t>
  </si>
  <si>
    <t>Cliente17-Cliente47</t>
  </si>
  <si>
    <t>Cliente17-Cliente48</t>
  </si>
  <si>
    <t>Cliente17-Cliente49</t>
  </si>
  <si>
    <t>Cliente17-Cliente50</t>
  </si>
  <si>
    <t>Cliente17-Cliente51</t>
  </si>
  <si>
    <t>Cliente18-Cliente1</t>
  </si>
  <si>
    <t>Cliente18-Cliente2</t>
  </si>
  <si>
    <t>Cliente18-Cliente3</t>
  </si>
  <si>
    <t>Cliente18-Cliente4</t>
  </si>
  <si>
    <t>Cliente18-Cliente5</t>
  </si>
  <si>
    <t>Cliente18-Cliente6</t>
  </si>
  <si>
    <t>Cliente18-Cliente7</t>
  </si>
  <si>
    <t>Cliente18-Cliente8</t>
  </si>
  <si>
    <t>Cliente18-Cliente9</t>
  </si>
  <si>
    <t>Cliente18-Cliente10</t>
  </si>
  <si>
    <t>Cliente18-Cliente11</t>
  </si>
  <si>
    <t>Cliente18-Cliente12</t>
  </si>
  <si>
    <t>Cliente18-Cliente13</t>
  </si>
  <si>
    <t>Cliente18-Cliente14</t>
  </si>
  <si>
    <t>Cliente18-Cliente15</t>
  </si>
  <si>
    <t>Cliente18-Cliente16</t>
  </si>
  <si>
    <t>Cliente18-Cliente17</t>
  </si>
  <si>
    <t>Cliente18-Cliente18</t>
  </si>
  <si>
    <t>Cliente18-Cliente19</t>
  </si>
  <si>
    <t>Cliente18-Cliente20</t>
  </si>
  <si>
    <t>Cliente18-Cliente21</t>
  </si>
  <si>
    <t>Cliente18-Cliente22</t>
  </si>
  <si>
    <t>Cliente18-Cliente23</t>
  </si>
  <si>
    <t>Cliente18-Cliente24</t>
  </si>
  <si>
    <t>Cliente18-Cliente25</t>
  </si>
  <si>
    <t>Cliente18-Cliente26</t>
  </si>
  <si>
    <t>Cliente18-Cliente27</t>
  </si>
  <si>
    <t>Cliente18-Cliente28</t>
  </si>
  <si>
    <t>Cliente18-Cliente29</t>
  </si>
  <si>
    <t>Cliente18-Cliente30</t>
  </si>
  <si>
    <t>Cliente18-Cliente31</t>
  </si>
  <si>
    <t>Cliente18-Cliente32</t>
  </si>
  <si>
    <t>Cliente18-Cliente33</t>
  </si>
  <si>
    <t>Cliente18-Cliente34</t>
  </si>
  <si>
    <t>Cliente18-Cliente35</t>
  </si>
  <si>
    <t>Cliente18-Cliente36</t>
  </si>
  <si>
    <t>Cliente18-Cliente37</t>
  </si>
  <si>
    <t>Cliente18-Cliente38</t>
  </si>
  <si>
    <t>Cliente18-Cliente39</t>
  </si>
  <si>
    <t>Cliente18-Cliente40</t>
  </si>
  <si>
    <t>Cliente18-Cliente41</t>
  </si>
  <si>
    <t>Cliente18-Cliente42</t>
  </si>
  <si>
    <t>Cliente18-Cliente43</t>
  </si>
  <si>
    <t>Cliente18-Cliente44</t>
  </si>
  <si>
    <t>Cliente18-Cliente45</t>
  </si>
  <si>
    <t>Cliente18-Cliente46</t>
  </si>
  <si>
    <t>Cliente18-Cliente47</t>
  </si>
  <si>
    <t>Cliente18-Cliente48</t>
  </si>
  <si>
    <t>Cliente18-Cliente49</t>
  </si>
  <si>
    <t>Cliente18-Cliente50</t>
  </si>
  <si>
    <t>Cliente18-Cliente51</t>
  </si>
  <si>
    <t>Cliente19-Cliente1</t>
  </si>
  <si>
    <t>Cliente19-Cliente2</t>
  </si>
  <si>
    <t>Cliente19-Cliente3</t>
  </si>
  <si>
    <t>Cliente19-Cliente4</t>
  </si>
  <si>
    <t>Cliente19-Cliente5</t>
  </si>
  <si>
    <t>Cliente19-Cliente6</t>
  </si>
  <si>
    <t>Cliente19-Cliente7</t>
  </si>
  <si>
    <t>Cliente19-Cliente8</t>
  </si>
  <si>
    <t>Cliente19-Cliente9</t>
  </si>
  <si>
    <t>Cliente19-Cliente10</t>
  </si>
  <si>
    <t>Cliente19-Cliente11</t>
  </si>
  <si>
    <t>Cliente19-Cliente12</t>
  </si>
  <si>
    <t>Cliente19-Cliente13</t>
  </si>
  <si>
    <t>Cliente19-Cliente14</t>
  </si>
  <si>
    <t>Cliente19-Cliente15</t>
  </si>
  <si>
    <t>Cliente19-Cliente16</t>
  </si>
  <si>
    <t>Cliente19-Cliente17</t>
  </si>
  <si>
    <t>Cliente19-Cliente18</t>
  </si>
  <si>
    <t>Cliente19-Cliente19</t>
  </si>
  <si>
    <t>Cliente19-Cliente20</t>
  </si>
  <si>
    <t>Cliente19-Cliente21</t>
  </si>
  <si>
    <t>Cliente19-Cliente22</t>
  </si>
  <si>
    <t>Cliente19-Cliente23</t>
  </si>
  <si>
    <t>Cliente19-Cliente24</t>
  </si>
  <si>
    <t>Cliente19-Cliente25</t>
  </si>
  <si>
    <t>Cliente19-Cliente26</t>
  </si>
  <si>
    <t>Cliente19-Cliente27</t>
  </si>
  <si>
    <t>Cliente19-Cliente28</t>
  </si>
  <si>
    <t>Cliente19-Cliente29</t>
  </si>
  <si>
    <t>Cliente19-Cliente30</t>
  </si>
  <si>
    <t>Cliente19-Cliente31</t>
  </si>
  <si>
    <t>Cliente19-Cliente32</t>
  </si>
  <si>
    <t>Cliente19-Cliente33</t>
  </si>
  <si>
    <t>Cliente19-Cliente34</t>
  </si>
  <si>
    <t>Cliente19-Cliente35</t>
  </si>
  <si>
    <t>Cliente19-Cliente36</t>
  </si>
  <si>
    <t>Cliente19-Cliente37</t>
  </si>
  <si>
    <t>Cliente19-Cliente38</t>
  </si>
  <si>
    <t>Cliente19-Cliente39</t>
  </si>
  <si>
    <t>Cliente19-Cliente40</t>
  </si>
  <si>
    <t>Cliente19-Cliente41</t>
  </si>
  <si>
    <t>Cliente19-Cliente42</t>
  </si>
  <si>
    <t>Cliente19-Cliente43</t>
  </si>
  <si>
    <t>Cliente19-Cliente44</t>
  </si>
  <si>
    <t>Cliente19-Cliente45</t>
  </si>
  <si>
    <t>Cliente19-Cliente46</t>
  </si>
  <si>
    <t>Cliente19-Cliente47</t>
  </si>
  <si>
    <t>Cliente19-Cliente48</t>
  </si>
  <si>
    <t>Cliente19-Cliente49</t>
  </si>
  <si>
    <t>Cliente19-Cliente50</t>
  </si>
  <si>
    <t>Cliente19-Cliente51</t>
  </si>
  <si>
    <t>Cliente20-Cliente1</t>
  </si>
  <si>
    <t>Cliente20-Cliente2</t>
  </si>
  <si>
    <t>Cliente20-Cliente3</t>
  </si>
  <si>
    <t>Cliente20-Cliente4</t>
  </si>
  <si>
    <t>Cliente20-Cliente5</t>
  </si>
  <si>
    <t>Cliente20-Cliente6</t>
  </si>
  <si>
    <t>Cliente20-Cliente7</t>
  </si>
  <si>
    <t>Cliente20-Cliente8</t>
  </si>
  <si>
    <t>Cliente20-Cliente9</t>
  </si>
  <si>
    <t>Cliente20-Cliente10</t>
  </si>
  <si>
    <t>Cliente20-Cliente11</t>
  </si>
  <si>
    <t>Cliente20-Cliente12</t>
  </si>
  <si>
    <t>Cliente20-Cliente13</t>
  </si>
  <si>
    <t>Cliente20-Cliente14</t>
  </si>
  <si>
    <t>Cliente20-Cliente15</t>
  </si>
  <si>
    <t>Cliente20-Cliente16</t>
  </si>
  <si>
    <t>Cliente20-Cliente17</t>
  </si>
  <si>
    <t>Cliente20-Cliente18</t>
  </si>
  <si>
    <t>Cliente20-Cliente19</t>
  </si>
  <si>
    <t>Cliente20-Cliente20</t>
  </si>
  <si>
    <t>Cliente20-Cliente21</t>
  </si>
  <si>
    <t>Cliente20-Cliente22</t>
  </si>
  <si>
    <t>Cliente20-Cliente23</t>
  </si>
  <si>
    <t>Cliente20-Cliente24</t>
  </si>
  <si>
    <t>Cliente20-Cliente25</t>
  </si>
  <si>
    <t>Cliente20-Cliente26</t>
  </si>
  <si>
    <t>Cliente20-Cliente27</t>
  </si>
  <si>
    <t>Cliente20-Cliente28</t>
  </si>
  <si>
    <t>Cliente20-Cliente29</t>
  </si>
  <si>
    <t>Cliente20-Cliente30</t>
  </si>
  <si>
    <t>Cliente20-Cliente31</t>
  </si>
  <si>
    <t>Cliente20-Cliente32</t>
  </si>
  <si>
    <t>Cliente20-Cliente33</t>
  </si>
  <si>
    <t>Cliente20-Cliente34</t>
  </si>
  <si>
    <t>Cliente20-Cliente35</t>
  </si>
  <si>
    <t>Cliente20-Cliente36</t>
  </si>
  <si>
    <t>Cliente20-Cliente37</t>
  </si>
  <si>
    <t>Cliente20-Cliente38</t>
  </si>
  <si>
    <t>Cliente20-Cliente39</t>
  </si>
  <si>
    <t>Cliente20-Cliente40</t>
  </si>
  <si>
    <t>Cliente20-Cliente41</t>
  </si>
  <si>
    <t>Cliente20-Cliente42</t>
  </si>
  <si>
    <t>Cliente20-Cliente43</t>
  </si>
  <si>
    <t>Cliente20-Cliente44</t>
  </si>
  <si>
    <t>Cliente20-Cliente45</t>
  </si>
  <si>
    <t>Cliente20-Cliente46</t>
  </si>
  <si>
    <t>Cliente20-Cliente47</t>
  </si>
  <si>
    <t>Cliente20-Cliente48</t>
  </si>
  <si>
    <t>Cliente20-Cliente49</t>
  </si>
  <si>
    <t>Cliente20-Cliente50</t>
  </si>
  <si>
    <t>Cliente20-Cliente51</t>
  </si>
  <si>
    <t>Cliente21-Cliente1</t>
  </si>
  <si>
    <t>Cliente21-Cliente2</t>
  </si>
  <si>
    <t>Cliente21-Cliente3</t>
  </si>
  <si>
    <t>Cliente21-Cliente4</t>
  </si>
  <si>
    <t>Cliente21-Cliente5</t>
  </si>
  <si>
    <t>Cliente21-Cliente6</t>
  </si>
  <si>
    <t>Cliente21-Cliente7</t>
  </si>
  <si>
    <t>Cliente21-Cliente8</t>
  </si>
  <si>
    <t>Cliente21-Cliente9</t>
  </si>
  <si>
    <t>Cliente21-Cliente10</t>
  </si>
  <si>
    <t>Cliente21-Cliente11</t>
  </si>
  <si>
    <t>Cliente21-Cliente12</t>
  </si>
  <si>
    <t>Cliente21-Cliente13</t>
  </si>
  <si>
    <t>Cliente21-Cliente14</t>
  </si>
  <si>
    <t>Cliente21-Cliente15</t>
  </si>
  <si>
    <t>Cliente21-Cliente16</t>
  </si>
  <si>
    <t>Cliente21-Cliente17</t>
  </si>
  <si>
    <t>Cliente21-Cliente18</t>
  </si>
  <si>
    <t>Cliente21-Cliente19</t>
  </si>
  <si>
    <t>Cliente21-Cliente20</t>
  </si>
  <si>
    <t>Cliente21-Cliente21</t>
  </si>
  <si>
    <t>Cliente21-Cliente22</t>
  </si>
  <si>
    <t>Cliente21-Cliente23</t>
  </si>
  <si>
    <t>Cliente21-Cliente24</t>
  </si>
  <si>
    <t>Cliente21-Cliente25</t>
  </si>
  <si>
    <t>Cliente21-Cliente26</t>
  </si>
  <si>
    <t>Cliente21-Cliente27</t>
  </si>
  <si>
    <t>Cliente21-Cliente28</t>
  </si>
  <si>
    <t>Cliente21-Cliente29</t>
  </si>
  <si>
    <t>Cliente21-Cliente30</t>
  </si>
  <si>
    <t>Cliente21-Cliente31</t>
  </si>
  <si>
    <t>Cliente21-Cliente32</t>
  </si>
  <si>
    <t>Cliente21-Cliente33</t>
  </si>
  <si>
    <t>Cliente21-Cliente34</t>
  </si>
  <si>
    <t>Cliente21-Cliente35</t>
  </si>
  <si>
    <t>Cliente21-Cliente36</t>
  </si>
  <si>
    <t>Cliente21-Cliente37</t>
  </si>
  <si>
    <t>Cliente21-Cliente38</t>
  </si>
  <si>
    <t>Cliente21-Cliente39</t>
  </si>
  <si>
    <t>Cliente21-Cliente40</t>
  </si>
  <si>
    <t>Cliente21-Cliente41</t>
  </si>
  <si>
    <t>Cliente21-Cliente42</t>
  </si>
  <si>
    <t>Cliente21-Cliente43</t>
  </si>
  <si>
    <t>Cliente21-Cliente44</t>
  </si>
  <si>
    <t>Cliente21-Cliente45</t>
  </si>
  <si>
    <t>Cliente21-Cliente46</t>
  </si>
  <si>
    <t>Cliente21-Cliente47</t>
  </si>
  <si>
    <t>Cliente21-Cliente48</t>
  </si>
  <si>
    <t>Cliente21-Cliente49</t>
  </si>
  <si>
    <t>Cliente21-Cliente50</t>
  </si>
  <si>
    <t>Cliente21-Cliente51</t>
  </si>
  <si>
    <t>Cliente22-Cliente1</t>
  </si>
  <si>
    <t>Cliente22-Cliente2</t>
  </si>
  <si>
    <t>Cliente22-Cliente3</t>
  </si>
  <si>
    <t>Cliente22-Cliente4</t>
  </si>
  <si>
    <t>Cliente22-Cliente5</t>
  </si>
  <si>
    <t>Cliente22-Cliente6</t>
  </si>
  <si>
    <t>Cliente22-Cliente7</t>
  </si>
  <si>
    <t>Cliente22-Cliente8</t>
  </si>
  <si>
    <t>Cliente22-Cliente9</t>
  </si>
  <si>
    <t>Cliente22-Cliente10</t>
  </si>
  <si>
    <t>Cliente22-Cliente11</t>
  </si>
  <si>
    <t>Cliente22-Cliente12</t>
  </si>
  <si>
    <t>Cliente22-Cliente13</t>
  </si>
  <si>
    <t>Cliente22-Cliente14</t>
  </si>
  <si>
    <t>Cliente22-Cliente15</t>
  </si>
  <si>
    <t>Cliente22-Cliente16</t>
  </si>
  <si>
    <t>Cliente22-Cliente17</t>
  </si>
  <si>
    <t>Cliente22-Cliente18</t>
  </si>
  <si>
    <t>Cliente22-Cliente19</t>
  </si>
  <si>
    <t>Cliente22-Cliente20</t>
  </si>
  <si>
    <t>Cliente22-Cliente21</t>
  </si>
  <si>
    <t>Cliente22-Cliente22</t>
  </si>
  <si>
    <t>Cliente22-Cliente23</t>
  </si>
  <si>
    <t>Cliente22-Cliente24</t>
  </si>
  <si>
    <t>Cliente22-Cliente25</t>
  </si>
  <si>
    <t>Cliente22-Cliente26</t>
  </si>
  <si>
    <t>Cliente22-Cliente27</t>
  </si>
  <si>
    <t>Cliente22-Cliente28</t>
  </si>
  <si>
    <t>Cliente22-Cliente29</t>
  </si>
  <si>
    <t>Cliente22-Cliente30</t>
  </si>
  <si>
    <t>Cliente22-Cliente31</t>
  </si>
  <si>
    <t>Cliente22-Cliente32</t>
  </si>
  <si>
    <t>Cliente22-Cliente33</t>
  </si>
  <si>
    <t>Cliente22-Cliente34</t>
  </si>
  <si>
    <t>Cliente22-Cliente35</t>
  </si>
  <si>
    <t>Cliente22-Cliente36</t>
  </si>
  <si>
    <t>Cliente22-Cliente37</t>
  </si>
  <si>
    <t>Cliente22-Cliente38</t>
  </si>
  <si>
    <t>Cliente22-Cliente39</t>
  </si>
  <si>
    <t>Cliente22-Cliente40</t>
  </si>
  <si>
    <t>Cliente22-Cliente41</t>
  </si>
  <si>
    <t>Cliente22-Cliente42</t>
  </si>
  <si>
    <t>Cliente22-Cliente43</t>
  </si>
  <si>
    <t>Cliente22-Cliente44</t>
  </si>
  <si>
    <t>Cliente22-Cliente45</t>
  </si>
  <si>
    <t>Cliente22-Cliente46</t>
  </si>
  <si>
    <t>Cliente22-Cliente47</t>
  </si>
  <si>
    <t>Cliente22-Cliente48</t>
  </si>
  <si>
    <t>Cliente22-Cliente49</t>
  </si>
  <si>
    <t>Cliente22-Cliente50</t>
  </si>
  <si>
    <t>Cliente22-Cliente51</t>
  </si>
  <si>
    <t>Cliente23-Cliente1</t>
  </si>
  <si>
    <t>Cliente23-Cliente2</t>
  </si>
  <si>
    <t>Cliente23-Cliente3</t>
  </si>
  <si>
    <t>Cliente23-Cliente4</t>
  </si>
  <si>
    <t>Cliente23-Cliente5</t>
  </si>
  <si>
    <t>Cliente23-Cliente6</t>
  </si>
  <si>
    <t>Cliente23-Cliente7</t>
  </si>
  <si>
    <t>Cliente23-Cliente8</t>
  </si>
  <si>
    <t>Cliente23-Cliente9</t>
  </si>
  <si>
    <t>Cliente23-Cliente10</t>
  </si>
  <si>
    <t>Cliente23-Cliente11</t>
  </si>
  <si>
    <t>Cliente23-Cliente12</t>
  </si>
  <si>
    <t>Cliente23-Cliente13</t>
  </si>
  <si>
    <t>Cliente23-Cliente14</t>
  </si>
  <si>
    <t>Cliente23-Cliente15</t>
  </si>
  <si>
    <t>Cliente23-Cliente16</t>
  </si>
  <si>
    <t>Cliente23-Cliente17</t>
  </si>
  <si>
    <t>Cliente23-Cliente18</t>
  </si>
  <si>
    <t>Cliente23-Cliente19</t>
  </si>
  <si>
    <t>Cliente23-Cliente20</t>
  </si>
  <si>
    <t>Cliente23-Cliente21</t>
  </si>
  <si>
    <t>Cliente23-Cliente22</t>
  </si>
  <si>
    <t>Cliente23-Cliente23</t>
  </si>
  <si>
    <t>Cliente23-Cliente24</t>
  </si>
  <si>
    <t>Cliente23-Cliente25</t>
  </si>
  <si>
    <t>Cliente23-Cliente26</t>
  </si>
  <si>
    <t>Cliente23-Cliente27</t>
  </si>
  <si>
    <t>Cliente23-Cliente28</t>
  </si>
  <si>
    <t>Cliente23-Cliente29</t>
  </si>
  <si>
    <t>Cliente23-Cliente30</t>
  </si>
  <si>
    <t>Cliente23-Cliente31</t>
  </si>
  <si>
    <t>Cliente23-Cliente32</t>
  </si>
  <si>
    <t>Cliente23-Cliente33</t>
  </si>
  <si>
    <t>Cliente23-Cliente34</t>
  </si>
  <si>
    <t>Cliente23-Cliente35</t>
  </si>
  <si>
    <t>Cliente23-Cliente36</t>
  </si>
  <si>
    <t>Cliente23-Cliente37</t>
  </si>
  <si>
    <t>Cliente23-Cliente38</t>
  </si>
  <si>
    <t>Cliente23-Cliente39</t>
  </si>
  <si>
    <t>Cliente23-Cliente40</t>
  </si>
  <si>
    <t>Cliente23-Cliente41</t>
  </si>
  <si>
    <t>Cliente23-Cliente42</t>
  </si>
  <si>
    <t>Cliente23-Cliente43</t>
  </si>
  <si>
    <t>Cliente23-Cliente44</t>
  </si>
  <si>
    <t>Cliente23-Cliente45</t>
  </si>
  <si>
    <t>Cliente23-Cliente46</t>
  </si>
  <si>
    <t>Cliente23-Cliente47</t>
  </si>
  <si>
    <t>Cliente23-Cliente48</t>
  </si>
  <si>
    <t>Cliente23-Cliente49</t>
  </si>
  <si>
    <t>Cliente23-Cliente50</t>
  </si>
  <si>
    <t>Cliente23-Cliente51</t>
  </si>
  <si>
    <t>Cliente24-Cliente1</t>
  </si>
  <si>
    <t>Cliente24-Cliente2</t>
  </si>
  <si>
    <t>Cliente24-Cliente3</t>
  </si>
  <si>
    <t>Cliente24-Cliente4</t>
  </si>
  <si>
    <t>Cliente24-Cliente5</t>
  </si>
  <si>
    <t>Cliente24-Cliente6</t>
  </si>
  <si>
    <t>Cliente24-Cliente7</t>
  </si>
  <si>
    <t>Cliente24-Cliente8</t>
  </si>
  <si>
    <t>Cliente24-Cliente9</t>
  </si>
  <si>
    <t>Cliente24-Cliente10</t>
  </si>
  <si>
    <t>Cliente24-Cliente11</t>
  </si>
  <si>
    <t>Cliente24-Cliente12</t>
  </si>
  <si>
    <t>Cliente24-Cliente13</t>
  </si>
  <si>
    <t>Cliente24-Cliente14</t>
  </si>
  <si>
    <t>Cliente24-Cliente15</t>
  </si>
  <si>
    <t>Cliente24-Cliente16</t>
  </si>
  <si>
    <t>Cliente24-Cliente17</t>
  </si>
  <si>
    <t>Cliente24-Cliente18</t>
  </si>
  <si>
    <t>Cliente24-Cliente19</t>
  </si>
  <si>
    <t>Cliente24-Cliente20</t>
  </si>
  <si>
    <t>Cliente24-Cliente21</t>
  </si>
  <si>
    <t>Cliente24-Cliente22</t>
  </si>
  <si>
    <t>Cliente24-Cliente23</t>
  </si>
  <si>
    <t>Cliente24-Cliente24</t>
  </si>
  <si>
    <t>Cliente24-Cliente25</t>
  </si>
  <si>
    <t>Cliente24-Cliente26</t>
  </si>
  <si>
    <t>Cliente24-Cliente27</t>
  </si>
  <si>
    <t>Cliente24-Cliente28</t>
  </si>
  <si>
    <t>Cliente24-Cliente29</t>
  </si>
  <si>
    <t>Cliente24-Cliente30</t>
  </si>
  <si>
    <t>Cliente24-Cliente31</t>
  </si>
  <si>
    <t>Cliente24-Cliente32</t>
  </si>
  <si>
    <t>Cliente24-Cliente33</t>
  </si>
  <si>
    <t>Cliente24-Cliente34</t>
  </si>
  <si>
    <t>Cliente24-Cliente35</t>
  </si>
  <si>
    <t>Cliente24-Cliente36</t>
  </si>
  <si>
    <t>Cliente24-Cliente37</t>
  </si>
  <si>
    <t>Cliente24-Cliente38</t>
  </si>
  <si>
    <t>Cliente24-Cliente39</t>
  </si>
  <si>
    <t>Cliente24-Cliente40</t>
  </si>
  <si>
    <t>Cliente24-Cliente41</t>
  </si>
  <si>
    <t>Cliente24-Cliente42</t>
  </si>
  <si>
    <t>Cliente24-Cliente43</t>
  </si>
  <si>
    <t>Cliente24-Cliente44</t>
  </si>
  <si>
    <t>Cliente24-Cliente45</t>
  </si>
  <si>
    <t>Cliente24-Cliente46</t>
  </si>
  <si>
    <t>Cliente24-Cliente47</t>
  </si>
  <si>
    <t>Cliente24-Cliente48</t>
  </si>
  <si>
    <t>Cliente24-Cliente49</t>
  </si>
  <si>
    <t>Cliente24-Cliente50</t>
  </si>
  <si>
    <t>Cliente24-Cliente51</t>
  </si>
  <si>
    <t>Cliente25-Cliente1</t>
  </si>
  <si>
    <t>Cliente25-Cliente2</t>
  </si>
  <si>
    <t>Cliente25-Cliente3</t>
  </si>
  <si>
    <t>Cliente25-Cliente4</t>
  </si>
  <si>
    <t>Cliente25-Cliente5</t>
  </si>
  <si>
    <t>Cliente25-Cliente6</t>
  </si>
  <si>
    <t>Cliente25-Cliente7</t>
  </si>
  <si>
    <t>Cliente25-Cliente8</t>
  </si>
  <si>
    <t>Cliente25-Cliente9</t>
  </si>
  <si>
    <t>Cliente25-Cliente10</t>
  </si>
  <si>
    <t>Cliente25-Cliente11</t>
  </si>
  <si>
    <t>Cliente25-Cliente12</t>
  </si>
  <si>
    <t>Cliente25-Cliente13</t>
  </si>
  <si>
    <t>Cliente25-Cliente14</t>
  </si>
  <si>
    <t>Cliente25-Cliente15</t>
  </si>
  <si>
    <t>Cliente25-Cliente16</t>
  </si>
  <si>
    <t>Cliente25-Cliente17</t>
  </si>
  <si>
    <t>Cliente25-Cliente18</t>
  </si>
  <si>
    <t>Cliente25-Cliente19</t>
  </si>
  <si>
    <t>Cliente25-Cliente20</t>
  </si>
  <si>
    <t>Cliente25-Cliente21</t>
  </si>
  <si>
    <t>Cliente25-Cliente22</t>
  </si>
  <si>
    <t>Cliente25-Cliente23</t>
  </si>
  <si>
    <t>Cliente25-Cliente24</t>
  </si>
  <si>
    <t>Cliente25-Cliente25</t>
  </si>
  <si>
    <t>Cliente25-Cliente26</t>
  </si>
  <si>
    <t>Cliente25-Cliente27</t>
  </si>
  <si>
    <t>Cliente25-Cliente28</t>
  </si>
  <si>
    <t>Cliente25-Cliente29</t>
  </si>
  <si>
    <t>Cliente25-Cliente30</t>
  </si>
  <si>
    <t>Cliente25-Cliente31</t>
  </si>
  <si>
    <t>Cliente25-Cliente32</t>
  </si>
  <si>
    <t>Cliente25-Cliente33</t>
  </si>
  <si>
    <t>Cliente25-Cliente34</t>
  </si>
  <si>
    <t>Cliente25-Cliente35</t>
  </si>
  <si>
    <t>Cliente25-Cliente36</t>
  </si>
  <si>
    <t>Cliente25-Cliente37</t>
  </si>
  <si>
    <t>Cliente25-Cliente38</t>
  </si>
  <si>
    <t>Cliente25-Cliente39</t>
  </si>
  <si>
    <t>Cliente25-Cliente40</t>
  </si>
  <si>
    <t>Cliente25-Cliente41</t>
  </si>
  <si>
    <t>Cliente25-Cliente42</t>
  </si>
  <si>
    <t>Cliente25-Cliente43</t>
  </si>
  <si>
    <t>Cliente25-Cliente44</t>
  </si>
  <si>
    <t>Cliente25-Cliente45</t>
  </si>
  <si>
    <t>Cliente25-Cliente46</t>
  </si>
  <si>
    <t>Cliente25-Cliente47</t>
  </si>
  <si>
    <t>Cliente25-Cliente48</t>
  </si>
  <si>
    <t>Cliente25-Cliente49</t>
  </si>
  <si>
    <t>Cliente25-Cliente50</t>
  </si>
  <si>
    <t>Cliente25-Cliente51</t>
  </si>
  <si>
    <t>Cliente26-Cliente1</t>
  </si>
  <si>
    <t>Cliente26-Cliente2</t>
  </si>
  <si>
    <t>Cliente26-Cliente3</t>
  </si>
  <si>
    <t>Cliente26-Cliente4</t>
  </si>
  <si>
    <t>Cliente26-Cliente5</t>
  </si>
  <si>
    <t>Cliente26-Cliente6</t>
  </si>
  <si>
    <t>Cliente26-Cliente7</t>
  </si>
  <si>
    <t>Cliente26-Cliente8</t>
  </si>
  <si>
    <t>Cliente26-Cliente9</t>
  </si>
  <si>
    <t>Cliente26-Cliente10</t>
  </si>
  <si>
    <t>Cliente26-Cliente11</t>
  </si>
  <si>
    <t>Cliente26-Cliente12</t>
  </si>
  <si>
    <t>Cliente26-Cliente13</t>
  </si>
  <si>
    <t>Cliente26-Cliente14</t>
  </si>
  <si>
    <t>Cliente26-Cliente15</t>
  </si>
  <si>
    <t>Cliente26-Cliente16</t>
  </si>
  <si>
    <t>Cliente26-Cliente17</t>
  </si>
  <si>
    <t>Cliente26-Cliente18</t>
  </si>
  <si>
    <t>Cliente26-Cliente19</t>
  </si>
  <si>
    <t>Cliente26-Cliente20</t>
  </si>
  <si>
    <t>Cliente26-Cliente21</t>
  </si>
  <si>
    <t>Cliente26-Cliente22</t>
  </si>
  <si>
    <t>Cliente26-Cliente23</t>
  </si>
  <si>
    <t>Cliente26-Cliente24</t>
  </si>
  <si>
    <t>Cliente26-Cliente25</t>
  </si>
  <si>
    <t>Cliente26-Cliente26</t>
  </si>
  <si>
    <t>Cliente26-Cliente27</t>
  </si>
  <si>
    <t>Cliente26-Cliente28</t>
  </si>
  <si>
    <t>Cliente26-Cliente29</t>
  </si>
  <si>
    <t>Cliente26-Cliente30</t>
  </si>
  <si>
    <t>Cliente26-Cliente31</t>
  </si>
  <si>
    <t>Cliente26-Cliente32</t>
  </si>
  <si>
    <t>Cliente26-Cliente33</t>
  </si>
  <si>
    <t>Cliente26-Cliente34</t>
  </si>
  <si>
    <t>Cliente26-Cliente35</t>
  </si>
  <si>
    <t>Cliente26-Cliente36</t>
  </si>
  <si>
    <t>Cliente26-Cliente37</t>
  </si>
  <si>
    <t>Cliente26-Cliente38</t>
  </si>
  <si>
    <t>Cliente26-Cliente39</t>
  </si>
  <si>
    <t>Cliente26-Cliente40</t>
  </si>
  <si>
    <t>Cliente26-Cliente41</t>
  </si>
  <si>
    <t>Cliente26-Cliente42</t>
  </si>
  <si>
    <t>Cliente26-Cliente43</t>
  </si>
  <si>
    <t>Cliente26-Cliente44</t>
  </si>
  <si>
    <t>Cliente26-Cliente45</t>
  </si>
  <si>
    <t>Cliente26-Cliente46</t>
  </si>
  <si>
    <t>Cliente26-Cliente47</t>
  </si>
  <si>
    <t>Cliente26-Cliente48</t>
  </si>
  <si>
    <t>Cliente26-Cliente49</t>
  </si>
  <si>
    <t>Cliente26-Cliente50</t>
  </si>
  <si>
    <t>Cliente26-Cliente51</t>
  </si>
  <si>
    <t>Cliente27-Cliente1</t>
  </si>
  <si>
    <t>Cliente27-Cliente2</t>
  </si>
  <si>
    <t>Cliente27-Cliente3</t>
  </si>
  <si>
    <t>Cliente27-Cliente4</t>
  </si>
  <si>
    <t>Cliente27-Cliente5</t>
  </si>
  <si>
    <t>Cliente27-Cliente6</t>
  </si>
  <si>
    <t>Cliente27-Cliente7</t>
  </si>
  <si>
    <t>Cliente27-Cliente8</t>
  </si>
  <si>
    <t>Cliente27-Cliente9</t>
  </si>
  <si>
    <t>Cliente27-Cliente10</t>
  </si>
  <si>
    <t>Cliente27-Cliente11</t>
  </si>
  <si>
    <t>Cliente27-Cliente12</t>
  </si>
  <si>
    <t>Cliente27-Cliente13</t>
  </si>
  <si>
    <t>Cliente27-Cliente14</t>
  </si>
  <si>
    <t>Cliente27-Cliente15</t>
  </si>
  <si>
    <t>Cliente27-Cliente16</t>
  </si>
  <si>
    <t>Cliente27-Cliente17</t>
  </si>
  <si>
    <t>Cliente27-Cliente18</t>
  </si>
  <si>
    <t>Cliente27-Cliente19</t>
  </si>
  <si>
    <t>Cliente27-Cliente20</t>
  </si>
  <si>
    <t>Cliente27-Cliente21</t>
  </si>
  <si>
    <t>Cliente27-Cliente22</t>
  </si>
  <si>
    <t>Cliente27-Cliente23</t>
  </si>
  <si>
    <t>Cliente27-Cliente24</t>
  </si>
  <si>
    <t>Cliente27-Cliente25</t>
  </si>
  <si>
    <t>Cliente27-Cliente26</t>
  </si>
  <si>
    <t>Cliente27-Cliente27</t>
  </si>
  <si>
    <t>Cliente27-Cliente28</t>
  </si>
  <si>
    <t>Cliente27-Cliente29</t>
  </si>
  <si>
    <t>Cliente27-Cliente30</t>
  </si>
  <si>
    <t>Cliente27-Cliente31</t>
  </si>
  <si>
    <t>Cliente27-Cliente32</t>
  </si>
  <si>
    <t>Cliente27-Cliente33</t>
  </si>
  <si>
    <t>Cliente27-Cliente34</t>
  </si>
  <si>
    <t>Cliente27-Cliente35</t>
  </si>
  <si>
    <t>Cliente27-Cliente36</t>
  </si>
  <si>
    <t>Cliente27-Cliente37</t>
  </si>
  <si>
    <t>Cliente27-Cliente38</t>
  </si>
  <si>
    <t>Cliente27-Cliente39</t>
  </si>
  <si>
    <t>Cliente27-Cliente40</t>
  </si>
  <si>
    <t>Cliente27-Cliente41</t>
  </si>
  <si>
    <t>Cliente27-Cliente42</t>
  </si>
  <si>
    <t>Cliente27-Cliente43</t>
  </si>
  <si>
    <t>Cliente27-Cliente44</t>
  </si>
  <si>
    <t>Cliente27-Cliente45</t>
  </si>
  <si>
    <t>Cliente27-Cliente46</t>
  </si>
  <si>
    <t>Cliente27-Cliente47</t>
  </si>
  <si>
    <t>Cliente27-Cliente48</t>
  </si>
  <si>
    <t>Cliente27-Cliente49</t>
  </si>
  <si>
    <t>Cliente27-Cliente50</t>
  </si>
  <si>
    <t>Cliente27-Cliente51</t>
  </si>
  <si>
    <t>Cliente28-Cliente1</t>
  </si>
  <si>
    <t>Cliente28-Cliente2</t>
  </si>
  <si>
    <t>Cliente28-Cliente3</t>
  </si>
  <si>
    <t>Cliente28-Cliente4</t>
  </si>
  <si>
    <t>Cliente28-Cliente5</t>
  </si>
  <si>
    <t>Cliente28-Cliente6</t>
  </si>
  <si>
    <t>Cliente28-Cliente7</t>
  </si>
  <si>
    <t>Cliente28-Cliente8</t>
  </si>
  <si>
    <t>Cliente28-Cliente9</t>
  </si>
  <si>
    <t>Cliente28-Cliente10</t>
  </si>
  <si>
    <t>Cliente28-Cliente11</t>
  </si>
  <si>
    <t>Cliente28-Cliente12</t>
  </si>
  <si>
    <t>Cliente28-Cliente13</t>
  </si>
  <si>
    <t>Cliente28-Cliente14</t>
  </si>
  <si>
    <t>Cliente28-Cliente15</t>
  </si>
  <si>
    <t>Cliente28-Cliente16</t>
  </si>
  <si>
    <t>Cliente28-Cliente17</t>
  </si>
  <si>
    <t>Cliente28-Cliente18</t>
  </si>
  <si>
    <t>Cliente28-Cliente19</t>
  </si>
  <si>
    <t>Cliente28-Cliente20</t>
  </si>
  <si>
    <t>Cliente28-Cliente21</t>
  </si>
  <si>
    <t>Cliente28-Cliente22</t>
  </si>
  <si>
    <t>Cliente28-Cliente23</t>
  </si>
  <si>
    <t>Cliente28-Cliente24</t>
  </si>
  <si>
    <t>Cliente28-Cliente25</t>
  </si>
  <si>
    <t>Cliente28-Cliente26</t>
  </si>
  <si>
    <t>Cliente28-Cliente27</t>
  </si>
  <si>
    <t>Cliente28-Cliente28</t>
  </si>
  <si>
    <t>Cliente28-Cliente29</t>
  </si>
  <si>
    <t>Cliente28-Cliente30</t>
  </si>
  <si>
    <t>Cliente28-Cliente31</t>
  </si>
  <si>
    <t>Cliente28-Cliente32</t>
  </si>
  <si>
    <t>Cliente28-Cliente33</t>
  </si>
  <si>
    <t>Cliente28-Cliente34</t>
  </si>
  <si>
    <t>Cliente28-Cliente35</t>
  </si>
  <si>
    <t>Cliente28-Cliente36</t>
  </si>
  <si>
    <t>Cliente28-Cliente37</t>
  </si>
  <si>
    <t>Cliente28-Cliente38</t>
  </si>
  <si>
    <t>Cliente28-Cliente39</t>
  </si>
  <si>
    <t>Cliente28-Cliente40</t>
  </si>
  <si>
    <t>Cliente28-Cliente41</t>
  </si>
  <si>
    <t>Cliente28-Cliente42</t>
  </si>
  <si>
    <t>Cliente28-Cliente43</t>
  </si>
  <si>
    <t>Cliente28-Cliente44</t>
  </si>
  <si>
    <t>Cliente28-Cliente45</t>
  </si>
  <si>
    <t>Cliente28-Cliente46</t>
  </si>
  <si>
    <t>Cliente28-Cliente47</t>
  </si>
  <si>
    <t>Cliente28-Cliente48</t>
  </si>
  <si>
    <t>Cliente28-Cliente49</t>
  </si>
  <si>
    <t>Cliente28-Cliente50</t>
  </si>
  <si>
    <t>Cliente28-Cliente51</t>
  </si>
  <si>
    <t>Cliente29-Cliente1</t>
  </si>
  <si>
    <t>Cliente29-Cliente2</t>
  </si>
  <si>
    <t>Cliente29-Cliente3</t>
  </si>
  <si>
    <t>Cliente29-Cliente4</t>
  </si>
  <si>
    <t>Cliente29-Cliente5</t>
  </si>
  <si>
    <t>Cliente29-Cliente6</t>
  </si>
  <si>
    <t>Cliente29-Cliente7</t>
  </si>
  <si>
    <t>Cliente29-Cliente8</t>
  </si>
  <si>
    <t>Cliente29-Cliente9</t>
  </si>
  <si>
    <t>Cliente29-Cliente10</t>
  </si>
  <si>
    <t>Cliente29-Cliente11</t>
  </si>
  <si>
    <t>Cliente29-Cliente12</t>
  </si>
  <si>
    <t>Cliente29-Cliente13</t>
  </si>
  <si>
    <t>Cliente29-Cliente14</t>
  </si>
  <si>
    <t>Cliente29-Cliente15</t>
  </si>
  <si>
    <t>Cliente29-Cliente16</t>
  </si>
  <si>
    <t>Cliente29-Cliente17</t>
  </si>
  <si>
    <t>Cliente29-Cliente18</t>
  </si>
  <si>
    <t>Cliente29-Cliente19</t>
  </si>
  <si>
    <t>Cliente29-Cliente20</t>
  </si>
  <si>
    <t>Cliente29-Cliente21</t>
  </si>
  <si>
    <t>Cliente29-Cliente22</t>
  </si>
  <si>
    <t>Cliente29-Cliente23</t>
  </si>
  <si>
    <t>Cliente29-Cliente24</t>
  </si>
  <si>
    <t>Cliente29-Cliente25</t>
  </si>
  <si>
    <t>Cliente29-Cliente26</t>
  </si>
  <si>
    <t>Cliente29-Cliente27</t>
  </si>
  <si>
    <t>Cliente29-Cliente28</t>
  </si>
  <si>
    <t>Cliente29-Cliente29</t>
  </si>
  <si>
    <t>Cliente29-Cliente30</t>
  </si>
  <si>
    <t>Cliente29-Cliente31</t>
  </si>
  <si>
    <t>Cliente29-Cliente32</t>
  </si>
  <si>
    <t>Cliente29-Cliente33</t>
  </si>
  <si>
    <t>Cliente29-Cliente34</t>
  </si>
  <si>
    <t>Cliente29-Cliente35</t>
  </si>
  <si>
    <t>Cliente29-Cliente36</t>
  </si>
  <si>
    <t>Cliente29-Cliente37</t>
  </si>
  <si>
    <t>Cliente29-Cliente38</t>
  </si>
  <si>
    <t>Cliente29-Cliente39</t>
  </si>
  <si>
    <t>Cliente29-Cliente40</t>
  </si>
  <si>
    <t>Cliente29-Cliente41</t>
  </si>
  <si>
    <t>Cliente29-Cliente42</t>
  </si>
  <si>
    <t>Cliente29-Cliente43</t>
  </si>
  <si>
    <t>Cliente29-Cliente44</t>
  </si>
  <si>
    <t>Cliente29-Cliente45</t>
  </si>
  <si>
    <t>Cliente29-Cliente46</t>
  </si>
  <si>
    <t>Cliente29-Cliente47</t>
  </si>
  <si>
    <t>Cliente29-Cliente48</t>
  </si>
  <si>
    <t>Cliente29-Cliente49</t>
  </si>
  <si>
    <t>Cliente29-Cliente50</t>
  </si>
  <si>
    <t>Cliente29-Cliente51</t>
  </si>
  <si>
    <t>Cliente30-Cliente1</t>
  </si>
  <si>
    <t>Cliente30-Cliente2</t>
  </si>
  <si>
    <t>Cliente30-Cliente3</t>
  </si>
  <si>
    <t>Cliente30-Cliente4</t>
  </si>
  <si>
    <t>Cliente30-Cliente5</t>
  </si>
  <si>
    <t>Cliente30-Cliente6</t>
  </si>
  <si>
    <t>Cliente30-Cliente7</t>
  </si>
  <si>
    <t>Cliente30-Cliente8</t>
  </si>
  <si>
    <t>Cliente30-Cliente9</t>
  </si>
  <si>
    <t>Cliente30-Cliente10</t>
  </si>
  <si>
    <t>Cliente30-Cliente11</t>
  </si>
  <si>
    <t>Cliente30-Cliente12</t>
  </si>
  <si>
    <t>Cliente30-Cliente13</t>
  </si>
  <si>
    <t>Cliente30-Cliente14</t>
  </si>
  <si>
    <t>Cliente30-Cliente15</t>
  </si>
  <si>
    <t>Cliente30-Cliente16</t>
  </si>
  <si>
    <t>Cliente30-Cliente17</t>
  </si>
  <si>
    <t>Cliente30-Cliente18</t>
  </si>
  <si>
    <t>Cliente30-Cliente19</t>
  </si>
  <si>
    <t>Cliente30-Cliente20</t>
  </si>
  <si>
    <t>Cliente30-Cliente21</t>
  </si>
  <si>
    <t>Cliente30-Cliente22</t>
  </si>
  <si>
    <t>Cliente30-Cliente23</t>
  </si>
  <si>
    <t>Cliente30-Cliente24</t>
  </si>
  <si>
    <t>Cliente30-Cliente25</t>
  </si>
  <si>
    <t>Cliente30-Cliente26</t>
  </si>
  <si>
    <t>Cliente30-Cliente27</t>
  </si>
  <si>
    <t>Cliente30-Cliente28</t>
  </si>
  <si>
    <t>Cliente30-Cliente29</t>
  </si>
  <si>
    <t>Cliente30-Cliente30</t>
  </si>
  <si>
    <t>Cliente30-Cliente31</t>
  </si>
  <si>
    <t>Cliente30-Cliente32</t>
  </si>
  <si>
    <t>Cliente30-Cliente33</t>
  </si>
  <si>
    <t>Cliente30-Cliente34</t>
  </si>
  <si>
    <t>Cliente30-Cliente35</t>
  </si>
  <si>
    <t>Cliente30-Cliente36</t>
  </si>
  <si>
    <t>Cliente30-Cliente37</t>
  </si>
  <si>
    <t>Cliente30-Cliente38</t>
  </si>
  <si>
    <t>Cliente30-Cliente39</t>
  </si>
  <si>
    <t>Cliente30-Cliente40</t>
  </si>
  <si>
    <t>Cliente30-Cliente41</t>
  </si>
  <si>
    <t>Cliente30-Cliente42</t>
  </si>
  <si>
    <t>Cliente30-Cliente43</t>
  </si>
  <si>
    <t>Cliente30-Cliente44</t>
  </si>
  <si>
    <t>Cliente30-Cliente45</t>
  </si>
  <si>
    <t>Cliente30-Cliente46</t>
  </si>
  <si>
    <t>Cliente30-Cliente47</t>
  </si>
  <si>
    <t>Cliente30-Cliente48</t>
  </si>
  <si>
    <t>Cliente30-Cliente49</t>
  </si>
  <si>
    <t>Cliente30-Cliente50</t>
  </si>
  <si>
    <t>Cliente30-Cliente51</t>
  </si>
  <si>
    <t>Cliente31-Cliente1</t>
  </si>
  <si>
    <t>Cliente31-Cliente2</t>
  </si>
  <si>
    <t>Cliente31-Cliente3</t>
  </si>
  <si>
    <t>Cliente31-Cliente4</t>
  </si>
  <si>
    <t>Cliente31-Cliente5</t>
  </si>
  <si>
    <t>Cliente31-Cliente6</t>
  </si>
  <si>
    <t>Cliente31-Cliente7</t>
  </si>
  <si>
    <t>Cliente31-Cliente8</t>
  </si>
  <si>
    <t>Cliente31-Cliente9</t>
  </si>
  <si>
    <t>Cliente31-Cliente10</t>
  </si>
  <si>
    <t>Cliente31-Cliente11</t>
  </si>
  <si>
    <t>Cliente31-Cliente12</t>
  </si>
  <si>
    <t>Cliente31-Cliente13</t>
  </si>
  <si>
    <t>Cliente31-Cliente14</t>
  </si>
  <si>
    <t>Cliente31-Cliente15</t>
  </si>
  <si>
    <t>Cliente31-Cliente16</t>
  </si>
  <si>
    <t>Cliente31-Cliente17</t>
  </si>
  <si>
    <t>Cliente31-Cliente18</t>
  </si>
  <si>
    <t>Cliente31-Cliente19</t>
  </si>
  <si>
    <t>Cliente31-Cliente20</t>
  </si>
  <si>
    <t>Cliente31-Cliente21</t>
  </si>
  <si>
    <t>Cliente31-Cliente22</t>
  </si>
  <si>
    <t>Cliente31-Cliente23</t>
  </si>
  <si>
    <t>Cliente31-Cliente24</t>
  </si>
  <si>
    <t>Cliente31-Cliente25</t>
  </si>
  <si>
    <t>Cliente31-Cliente26</t>
  </si>
  <si>
    <t>Cliente31-Cliente27</t>
  </si>
  <si>
    <t>Cliente31-Cliente28</t>
  </si>
  <si>
    <t>Cliente31-Cliente29</t>
  </si>
  <si>
    <t>Cliente31-Cliente30</t>
  </si>
  <si>
    <t>Cliente31-Cliente31</t>
  </si>
  <si>
    <t>Cliente31-Cliente32</t>
  </si>
  <si>
    <t>Cliente31-Cliente33</t>
  </si>
  <si>
    <t>Cliente31-Cliente34</t>
  </si>
  <si>
    <t>Cliente31-Cliente35</t>
  </si>
  <si>
    <t>Cliente31-Cliente36</t>
  </si>
  <si>
    <t>Cliente31-Cliente37</t>
  </si>
  <si>
    <t>Cliente31-Cliente38</t>
  </si>
  <si>
    <t>Cliente31-Cliente39</t>
  </si>
  <si>
    <t>Cliente31-Cliente40</t>
  </si>
  <si>
    <t>Cliente31-Cliente41</t>
  </si>
  <si>
    <t>Cliente31-Cliente42</t>
  </si>
  <si>
    <t>Cliente31-Cliente43</t>
  </si>
  <si>
    <t>Cliente31-Cliente44</t>
  </si>
  <si>
    <t>Cliente31-Cliente45</t>
  </si>
  <si>
    <t>Cliente31-Cliente46</t>
  </si>
  <si>
    <t>Cliente31-Cliente47</t>
  </si>
  <si>
    <t>Cliente31-Cliente48</t>
  </si>
  <si>
    <t>Cliente31-Cliente49</t>
  </si>
  <si>
    <t>Cliente31-Cliente50</t>
  </si>
  <si>
    <t>Cliente31-Cliente51</t>
  </si>
  <si>
    <t>Cliente32-Cliente1</t>
  </si>
  <si>
    <t>Cliente32-Cliente2</t>
  </si>
  <si>
    <t>Cliente32-Cliente3</t>
  </si>
  <si>
    <t>Cliente32-Cliente4</t>
  </si>
  <si>
    <t>Cliente32-Cliente5</t>
  </si>
  <si>
    <t>Cliente32-Cliente6</t>
  </si>
  <si>
    <t>Cliente32-Cliente7</t>
  </si>
  <si>
    <t>Cliente32-Cliente8</t>
  </si>
  <si>
    <t>Cliente32-Cliente9</t>
  </si>
  <si>
    <t>Cliente32-Cliente10</t>
  </si>
  <si>
    <t>Cliente32-Cliente11</t>
  </si>
  <si>
    <t>Cliente32-Cliente12</t>
  </si>
  <si>
    <t>Cliente32-Cliente13</t>
  </si>
  <si>
    <t>Cliente32-Cliente14</t>
  </si>
  <si>
    <t>Cliente32-Cliente15</t>
  </si>
  <si>
    <t>Cliente32-Cliente16</t>
  </si>
  <si>
    <t>Cliente32-Cliente17</t>
  </si>
  <si>
    <t>Cliente32-Cliente18</t>
  </si>
  <si>
    <t>Cliente32-Cliente19</t>
  </si>
  <si>
    <t>Cliente32-Cliente20</t>
  </si>
  <si>
    <t>Cliente32-Cliente21</t>
  </si>
  <si>
    <t>Cliente32-Cliente22</t>
  </si>
  <si>
    <t>Cliente32-Cliente23</t>
  </si>
  <si>
    <t>Cliente32-Cliente24</t>
  </si>
  <si>
    <t>Cliente32-Cliente25</t>
  </si>
  <si>
    <t>Cliente32-Cliente26</t>
  </si>
  <si>
    <t>Cliente32-Cliente27</t>
  </si>
  <si>
    <t>Cliente32-Cliente28</t>
  </si>
  <si>
    <t>Cliente32-Cliente29</t>
  </si>
  <si>
    <t>Cliente32-Cliente30</t>
  </si>
  <si>
    <t>Cliente32-Cliente31</t>
  </si>
  <si>
    <t>Cliente32-Cliente32</t>
  </si>
  <si>
    <t>Cliente32-Cliente33</t>
  </si>
  <si>
    <t>Cliente32-Cliente34</t>
  </si>
  <si>
    <t>Cliente32-Cliente35</t>
  </si>
  <si>
    <t>Cliente32-Cliente36</t>
  </si>
  <si>
    <t>Cliente32-Cliente37</t>
  </si>
  <si>
    <t>Cliente32-Cliente38</t>
  </si>
  <si>
    <t>Cliente32-Cliente39</t>
  </si>
  <si>
    <t>Cliente32-Cliente40</t>
  </si>
  <si>
    <t>Cliente32-Cliente41</t>
  </si>
  <si>
    <t>Cliente32-Cliente42</t>
  </si>
  <si>
    <t>Cliente32-Cliente43</t>
  </si>
  <si>
    <t>Cliente32-Cliente44</t>
  </si>
  <si>
    <t>Cliente32-Cliente45</t>
  </si>
  <si>
    <t>Cliente32-Cliente46</t>
  </si>
  <si>
    <t>Cliente32-Cliente47</t>
  </si>
  <si>
    <t>Cliente32-Cliente48</t>
  </si>
  <si>
    <t>Cliente32-Cliente49</t>
  </si>
  <si>
    <t>Cliente32-Cliente50</t>
  </si>
  <si>
    <t>Cliente32-Cliente51</t>
  </si>
  <si>
    <t>Cliente33-Cliente1</t>
  </si>
  <si>
    <t>Cliente33-Cliente2</t>
  </si>
  <si>
    <t>Cliente33-Cliente3</t>
  </si>
  <si>
    <t>Cliente33-Cliente4</t>
  </si>
  <si>
    <t>Cliente33-Cliente5</t>
  </si>
  <si>
    <t>Cliente33-Cliente6</t>
  </si>
  <si>
    <t>Cliente33-Cliente7</t>
  </si>
  <si>
    <t>Cliente33-Cliente8</t>
  </si>
  <si>
    <t>Cliente33-Cliente9</t>
  </si>
  <si>
    <t>Cliente33-Cliente10</t>
  </si>
  <si>
    <t>Cliente33-Cliente11</t>
  </si>
  <si>
    <t>Cliente33-Cliente12</t>
  </si>
  <si>
    <t>Cliente33-Cliente13</t>
  </si>
  <si>
    <t>Cliente33-Cliente14</t>
  </si>
  <si>
    <t>Cliente33-Cliente15</t>
  </si>
  <si>
    <t>Cliente33-Cliente16</t>
  </si>
  <si>
    <t>Cliente33-Cliente17</t>
  </si>
  <si>
    <t>Cliente33-Cliente18</t>
  </si>
  <si>
    <t>Cliente33-Cliente19</t>
  </si>
  <si>
    <t>Cliente33-Cliente20</t>
  </si>
  <si>
    <t>Cliente33-Cliente21</t>
  </si>
  <si>
    <t>Cliente33-Cliente22</t>
  </si>
  <si>
    <t>Cliente33-Cliente23</t>
  </si>
  <si>
    <t>Cliente33-Cliente24</t>
  </si>
  <si>
    <t>Cliente33-Cliente25</t>
  </si>
  <si>
    <t>Cliente33-Cliente26</t>
  </si>
  <si>
    <t>Cliente33-Cliente27</t>
  </si>
  <si>
    <t>Cliente33-Cliente28</t>
  </si>
  <si>
    <t>Cliente33-Cliente29</t>
  </si>
  <si>
    <t>Cliente33-Cliente30</t>
  </si>
  <si>
    <t>Cliente33-Cliente31</t>
  </si>
  <si>
    <t>Cliente33-Cliente32</t>
  </si>
  <si>
    <t>Cliente33-Cliente33</t>
  </si>
  <si>
    <t>Cliente33-Cliente34</t>
  </si>
  <si>
    <t>Cliente33-Cliente35</t>
  </si>
  <si>
    <t>Cliente33-Cliente36</t>
  </si>
  <si>
    <t>Cliente33-Cliente37</t>
  </si>
  <si>
    <t>Cliente33-Cliente38</t>
  </si>
  <si>
    <t>Cliente33-Cliente39</t>
  </si>
  <si>
    <t>Cliente33-Cliente40</t>
  </si>
  <si>
    <t>Cliente33-Cliente41</t>
  </si>
  <si>
    <t>Cliente33-Cliente42</t>
  </si>
  <si>
    <t>Cliente33-Cliente43</t>
  </si>
  <si>
    <t>Cliente33-Cliente44</t>
  </si>
  <si>
    <t>Cliente33-Cliente45</t>
  </si>
  <si>
    <t>Cliente33-Cliente46</t>
  </si>
  <si>
    <t>Cliente33-Cliente47</t>
  </si>
  <si>
    <t>Cliente33-Cliente48</t>
  </si>
  <si>
    <t>Cliente33-Cliente49</t>
  </si>
  <si>
    <t>Cliente33-Cliente50</t>
  </si>
  <si>
    <t>Cliente33-Cliente51</t>
  </si>
  <si>
    <t>Cliente34-Cliente1</t>
  </si>
  <si>
    <t>Cliente34-Cliente2</t>
  </si>
  <si>
    <t>Cliente34-Cliente3</t>
  </si>
  <si>
    <t>Cliente34-Cliente4</t>
  </si>
  <si>
    <t>Cliente34-Cliente5</t>
  </si>
  <si>
    <t>Cliente34-Cliente6</t>
  </si>
  <si>
    <t>Cliente34-Cliente7</t>
  </si>
  <si>
    <t>Cliente34-Cliente8</t>
  </si>
  <si>
    <t>Cliente34-Cliente9</t>
  </si>
  <si>
    <t>Cliente34-Cliente10</t>
  </si>
  <si>
    <t>Cliente34-Cliente11</t>
  </si>
  <si>
    <t>Cliente34-Cliente12</t>
  </si>
  <si>
    <t>Cliente34-Cliente13</t>
  </si>
  <si>
    <t>Cliente34-Cliente14</t>
  </si>
  <si>
    <t>Cliente34-Cliente15</t>
  </si>
  <si>
    <t>Cliente34-Cliente16</t>
  </si>
  <si>
    <t>Cliente34-Cliente17</t>
  </si>
  <si>
    <t>Cliente34-Cliente18</t>
  </si>
  <si>
    <t>Cliente34-Cliente19</t>
  </si>
  <si>
    <t>Cliente34-Cliente20</t>
  </si>
  <si>
    <t>Cliente34-Cliente21</t>
  </si>
  <si>
    <t>Cliente34-Cliente22</t>
  </si>
  <si>
    <t>Cliente34-Cliente23</t>
  </si>
  <si>
    <t>Cliente34-Cliente24</t>
  </si>
  <si>
    <t>Cliente34-Cliente25</t>
  </si>
  <si>
    <t>Cliente34-Cliente26</t>
  </si>
  <si>
    <t>Cliente34-Cliente27</t>
  </si>
  <si>
    <t>Cliente34-Cliente28</t>
  </si>
  <si>
    <t>Cliente34-Cliente29</t>
  </si>
  <si>
    <t>Cliente34-Cliente30</t>
  </si>
  <si>
    <t>Cliente34-Cliente31</t>
  </si>
  <si>
    <t>Cliente34-Cliente32</t>
  </si>
  <si>
    <t>Cliente34-Cliente33</t>
  </si>
  <si>
    <t>Cliente34-Cliente34</t>
  </si>
  <si>
    <t>Cliente34-Cliente35</t>
  </si>
  <si>
    <t>Cliente34-Cliente36</t>
  </si>
  <si>
    <t>Cliente34-Cliente37</t>
  </si>
  <si>
    <t>Cliente34-Cliente38</t>
  </si>
  <si>
    <t>Cliente34-Cliente39</t>
  </si>
  <si>
    <t>Cliente34-Cliente40</t>
  </si>
  <si>
    <t>Cliente34-Cliente41</t>
  </si>
  <si>
    <t>Cliente34-Cliente42</t>
  </si>
  <si>
    <t>Cliente34-Cliente43</t>
  </si>
  <si>
    <t>Cliente34-Cliente44</t>
  </si>
  <si>
    <t>Cliente34-Cliente45</t>
  </si>
  <si>
    <t>Cliente34-Cliente46</t>
  </si>
  <si>
    <t>Cliente34-Cliente47</t>
  </si>
  <si>
    <t>Cliente34-Cliente48</t>
  </si>
  <si>
    <t>Cliente34-Cliente49</t>
  </si>
  <si>
    <t>Cliente34-Cliente50</t>
  </si>
  <si>
    <t>Cliente34-Cliente51</t>
  </si>
  <si>
    <t>Cliente35-Cliente1</t>
  </si>
  <si>
    <t>Cliente35-Cliente2</t>
  </si>
  <si>
    <t>Cliente35-Cliente3</t>
  </si>
  <si>
    <t>Cliente35-Cliente4</t>
  </si>
  <si>
    <t>Cliente35-Cliente5</t>
  </si>
  <si>
    <t>Cliente35-Cliente6</t>
  </si>
  <si>
    <t>Cliente35-Cliente7</t>
  </si>
  <si>
    <t>Cliente35-Cliente8</t>
  </si>
  <si>
    <t>Cliente35-Cliente9</t>
  </si>
  <si>
    <t>Cliente35-Cliente10</t>
  </si>
  <si>
    <t>Cliente35-Cliente11</t>
  </si>
  <si>
    <t>Cliente35-Cliente12</t>
  </si>
  <si>
    <t>Cliente35-Cliente13</t>
  </si>
  <si>
    <t>Cliente35-Cliente14</t>
  </si>
  <si>
    <t>Cliente35-Cliente15</t>
  </si>
  <si>
    <t>Cliente35-Cliente16</t>
  </si>
  <si>
    <t>Cliente35-Cliente17</t>
  </si>
  <si>
    <t>Cliente35-Cliente18</t>
  </si>
  <si>
    <t>Cliente35-Cliente19</t>
  </si>
  <si>
    <t>Cliente35-Cliente20</t>
  </si>
  <si>
    <t>Cliente35-Cliente21</t>
  </si>
  <si>
    <t>Cliente35-Cliente22</t>
  </si>
  <si>
    <t>Cliente35-Cliente23</t>
  </si>
  <si>
    <t>Cliente35-Cliente24</t>
  </si>
  <si>
    <t>Cliente35-Cliente25</t>
  </si>
  <si>
    <t>Cliente35-Cliente26</t>
  </si>
  <si>
    <t>Cliente35-Cliente27</t>
  </si>
  <si>
    <t>Cliente35-Cliente28</t>
  </si>
  <si>
    <t>Cliente35-Cliente29</t>
  </si>
  <si>
    <t>Cliente35-Cliente30</t>
  </si>
  <si>
    <t>Cliente35-Cliente31</t>
  </si>
  <si>
    <t>Cliente35-Cliente32</t>
  </si>
  <si>
    <t>Cliente35-Cliente33</t>
  </si>
  <si>
    <t>Cliente35-Cliente34</t>
  </si>
  <si>
    <t>Cliente35-Cliente35</t>
  </si>
  <si>
    <t>Cliente35-Cliente36</t>
  </si>
  <si>
    <t>Cliente35-Cliente37</t>
  </si>
  <si>
    <t>Cliente35-Cliente38</t>
  </si>
  <si>
    <t>Cliente35-Cliente39</t>
  </si>
  <si>
    <t>Cliente35-Cliente40</t>
  </si>
  <si>
    <t>Cliente35-Cliente41</t>
  </si>
  <si>
    <t>Cliente35-Cliente42</t>
  </si>
  <si>
    <t>Cliente35-Cliente43</t>
  </si>
  <si>
    <t>Cliente35-Cliente44</t>
  </si>
  <si>
    <t>Cliente35-Cliente45</t>
  </si>
  <si>
    <t>Cliente35-Cliente46</t>
  </si>
  <si>
    <t>Cliente35-Cliente47</t>
  </si>
  <si>
    <t>Cliente35-Cliente48</t>
  </si>
  <si>
    <t>Cliente35-Cliente49</t>
  </si>
  <si>
    <t>Cliente35-Cliente50</t>
  </si>
  <si>
    <t>Cliente35-Cliente51</t>
  </si>
  <si>
    <t>Cliente36-Cliente1</t>
  </si>
  <si>
    <t>Cliente36-Cliente2</t>
  </si>
  <si>
    <t>Cliente36-Cliente3</t>
  </si>
  <si>
    <t>Cliente36-Cliente4</t>
  </si>
  <si>
    <t>Cliente36-Cliente5</t>
  </si>
  <si>
    <t>Cliente36-Cliente6</t>
  </si>
  <si>
    <t>Cliente36-Cliente7</t>
  </si>
  <si>
    <t>Cliente36-Cliente8</t>
  </si>
  <si>
    <t>Cliente36-Cliente9</t>
  </si>
  <si>
    <t>Cliente36-Cliente10</t>
  </si>
  <si>
    <t>Cliente36-Cliente11</t>
  </si>
  <si>
    <t>Cliente36-Cliente12</t>
  </si>
  <si>
    <t>Cliente36-Cliente13</t>
  </si>
  <si>
    <t>Cliente36-Cliente14</t>
  </si>
  <si>
    <t>Cliente36-Cliente15</t>
  </si>
  <si>
    <t>Cliente36-Cliente16</t>
  </si>
  <si>
    <t>Cliente36-Cliente17</t>
  </si>
  <si>
    <t>Cliente36-Cliente18</t>
  </si>
  <si>
    <t>Cliente36-Cliente19</t>
  </si>
  <si>
    <t>Cliente36-Cliente20</t>
  </si>
  <si>
    <t>Cliente36-Cliente21</t>
  </si>
  <si>
    <t>Cliente36-Cliente22</t>
  </si>
  <si>
    <t>Cliente36-Cliente23</t>
  </si>
  <si>
    <t>Cliente36-Cliente24</t>
  </si>
  <si>
    <t>Cliente36-Cliente25</t>
  </si>
  <si>
    <t>Cliente36-Cliente26</t>
  </si>
  <si>
    <t>Cliente36-Cliente27</t>
  </si>
  <si>
    <t>Cliente36-Cliente28</t>
  </si>
  <si>
    <t>Cliente36-Cliente29</t>
  </si>
  <si>
    <t>Cliente36-Cliente30</t>
  </si>
  <si>
    <t>Cliente36-Cliente31</t>
  </si>
  <si>
    <t>Cliente36-Cliente32</t>
  </si>
  <si>
    <t>Cliente36-Cliente33</t>
  </si>
  <si>
    <t>Cliente36-Cliente34</t>
  </si>
  <si>
    <t>Cliente36-Cliente35</t>
  </si>
  <si>
    <t>Cliente36-Cliente36</t>
  </si>
  <si>
    <t>Cliente36-Cliente37</t>
  </si>
  <si>
    <t>Cliente36-Cliente38</t>
  </si>
  <si>
    <t>Cliente36-Cliente39</t>
  </si>
  <si>
    <t>Cliente36-Cliente40</t>
  </si>
  <si>
    <t>Cliente36-Cliente41</t>
  </si>
  <si>
    <t>Cliente36-Cliente42</t>
  </si>
  <si>
    <t>Cliente36-Cliente43</t>
  </si>
  <si>
    <t>Cliente36-Cliente44</t>
  </si>
  <si>
    <t>Cliente36-Cliente45</t>
  </si>
  <si>
    <t>Cliente36-Cliente46</t>
  </si>
  <si>
    <t>Cliente36-Cliente47</t>
  </si>
  <si>
    <t>Cliente36-Cliente48</t>
  </si>
  <si>
    <t>Cliente36-Cliente49</t>
  </si>
  <si>
    <t>Cliente36-Cliente50</t>
  </si>
  <si>
    <t>Cliente36-Cliente51</t>
  </si>
  <si>
    <t>Cliente37-Cliente1</t>
  </si>
  <si>
    <t>Cliente37-Cliente2</t>
  </si>
  <si>
    <t>Cliente37-Cliente3</t>
  </si>
  <si>
    <t>Cliente37-Cliente4</t>
  </si>
  <si>
    <t>Cliente37-Cliente5</t>
  </si>
  <si>
    <t>Cliente37-Cliente6</t>
  </si>
  <si>
    <t>Cliente37-Cliente7</t>
  </si>
  <si>
    <t>Cliente37-Cliente8</t>
  </si>
  <si>
    <t>Cliente37-Cliente9</t>
  </si>
  <si>
    <t>Cliente37-Cliente10</t>
  </si>
  <si>
    <t>Cliente37-Cliente11</t>
  </si>
  <si>
    <t>Cliente37-Cliente12</t>
  </si>
  <si>
    <t>Cliente37-Cliente13</t>
  </si>
  <si>
    <t>Cliente37-Cliente14</t>
  </si>
  <si>
    <t>Cliente37-Cliente15</t>
  </si>
  <si>
    <t>Cliente37-Cliente16</t>
  </si>
  <si>
    <t>Cliente37-Cliente17</t>
  </si>
  <si>
    <t>Cliente37-Cliente18</t>
  </si>
  <si>
    <t>Cliente37-Cliente19</t>
  </si>
  <si>
    <t>Cliente37-Cliente20</t>
  </si>
  <si>
    <t>Cliente37-Cliente21</t>
  </si>
  <si>
    <t>Cliente37-Cliente22</t>
  </si>
  <si>
    <t>Cliente37-Cliente23</t>
  </si>
  <si>
    <t>Cliente37-Cliente24</t>
  </si>
  <si>
    <t>Cliente37-Cliente25</t>
  </si>
  <si>
    <t>Cliente37-Cliente26</t>
  </si>
  <si>
    <t>Cliente37-Cliente27</t>
  </si>
  <si>
    <t>Cliente37-Cliente28</t>
  </si>
  <si>
    <t>Cliente37-Cliente29</t>
  </si>
  <si>
    <t>Cliente37-Cliente30</t>
  </si>
  <si>
    <t>Cliente37-Cliente31</t>
  </si>
  <si>
    <t>Cliente37-Cliente32</t>
  </si>
  <si>
    <t>Cliente37-Cliente33</t>
  </si>
  <si>
    <t>Cliente37-Cliente34</t>
  </si>
  <si>
    <t>Cliente37-Cliente35</t>
  </si>
  <si>
    <t>Cliente37-Cliente36</t>
  </si>
  <si>
    <t>Cliente37-Cliente37</t>
  </si>
  <si>
    <t>Cliente37-Cliente38</t>
  </si>
  <si>
    <t>Cliente37-Cliente39</t>
  </si>
  <si>
    <t>Cliente37-Cliente40</t>
  </si>
  <si>
    <t>Cliente37-Cliente41</t>
  </si>
  <si>
    <t>Cliente37-Cliente42</t>
  </si>
  <si>
    <t>Cliente37-Cliente43</t>
  </si>
  <si>
    <t>Cliente37-Cliente44</t>
  </si>
  <si>
    <t>Cliente37-Cliente45</t>
  </si>
  <si>
    <t>Cliente37-Cliente46</t>
  </si>
  <si>
    <t>Cliente37-Cliente47</t>
  </si>
  <si>
    <t>Cliente37-Cliente48</t>
  </si>
  <si>
    <t>Cliente37-Cliente49</t>
  </si>
  <si>
    <t>Cliente37-Cliente50</t>
  </si>
  <si>
    <t>Cliente37-Cliente51</t>
  </si>
  <si>
    <t>Cliente38-Cliente1</t>
  </si>
  <si>
    <t>Cliente38-Cliente2</t>
  </si>
  <si>
    <t>Cliente38-Cliente3</t>
  </si>
  <si>
    <t>Cliente38-Cliente4</t>
  </si>
  <si>
    <t>Cliente38-Cliente5</t>
  </si>
  <si>
    <t>Cliente38-Cliente6</t>
  </si>
  <si>
    <t>Cliente38-Cliente7</t>
  </si>
  <si>
    <t>Cliente38-Cliente8</t>
  </si>
  <si>
    <t>Cliente38-Cliente9</t>
  </si>
  <si>
    <t>Cliente38-Cliente10</t>
  </si>
  <si>
    <t>Cliente38-Cliente11</t>
  </si>
  <si>
    <t>Cliente38-Cliente12</t>
  </si>
  <si>
    <t>Cliente38-Cliente13</t>
  </si>
  <si>
    <t>Cliente38-Cliente14</t>
  </si>
  <si>
    <t>Cliente38-Cliente15</t>
  </si>
  <si>
    <t>Cliente38-Cliente16</t>
  </si>
  <si>
    <t>Cliente38-Cliente17</t>
  </si>
  <si>
    <t>Cliente38-Cliente18</t>
  </si>
  <si>
    <t>Cliente38-Cliente19</t>
  </si>
  <si>
    <t>Cliente38-Cliente20</t>
  </si>
  <si>
    <t>Cliente38-Cliente21</t>
  </si>
  <si>
    <t>Cliente38-Cliente22</t>
  </si>
  <si>
    <t>Cliente38-Cliente23</t>
  </si>
  <si>
    <t>Cliente38-Cliente24</t>
  </si>
  <si>
    <t>Cliente38-Cliente25</t>
  </si>
  <si>
    <t>Cliente38-Cliente26</t>
  </si>
  <si>
    <t>Cliente38-Cliente27</t>
  </si>
  <si>
    <t>Cliente38-Cliente28</t>
  </si>
  <si>
    <t>Cliente38-Cliente29</t>
  </si>
  <si>
    <t>Cliente38-Cliente30</t>
  </si>
  <si>
    <t>Cliente38-Cliente31</t>
  </si>
  <si>
    <t>Cliente38-Cliente32</t>
  </si>
  <si>
    <t>Cliente38-Cliente33</t>
  </si>
  <si>
    <t>Cliente38-Cliente34</t>
  </si>
  <si>
    <t>Cliente38-Cliente35</t>
  </si>
  <si>
    <t>Cliente38-Cliente36</t>
  </si>
  <si>
    <t>Cliente38-Cliente37</t>
  </si>
  <si>
    <t>Cliente38-Cliente38</t>
  </si>
  <si>
    <t>Cliente38-Cliente39</t>
  </si>
  <si>
    <t>Cliente38-Cliente40</t>
  </si>
  <si>
    <t>Cliente38-Cliente41</t>
  </si>
  <si>
    <t>Cliente38-Cliente42</t>
  </si>
  <si>
    <t>Cliente38-Cliente43</t>
  </si>
  <si>
    <t>Cliente38-Cliente44</t>
  </si>
  <si>
    <t>Cliente38-Cliente45</t>
  </si>
  <si>
    <t>Cliente38-Cliente46</t>
  </si>
  <si>
    <t>Cliente38-Cliente47</t>
  </si>
  <si>
    <t>Cliente38-Cliente48</t>
  </si>
  <si>
    <t>Cliente38-Cliente49</t>
  </si>
  <si>
    <t>Cliente38-Cliente50</t>
  </si>
  <si>
    <t>Cliente38-Cliente51</t>
  </si>
  <si>
    <t>Cliente39-Cliente1</t>
  </si>
  <si>
    <t>Cliente39-Cliente2</t>
  </si>
  <si>
    <t>Cliente39-Cliente3</t>
  </si>
  <si>
    <t>Cliente39-Cliente4</t>
  </si>
  <si>
    <t>Cliente39-Cliente5</t>
  </si>
  <si>
    <t>Cliente39-Cliente6</t>
  </si>
  <si>
    <t>Cliente39-Cliente7</t>
  </si>
  <si>
    <t>Cliente39-Cliente8</t>
  </si>
  <si>
    <t>Cliente39-Cliente9</t>
  </si>
  <si>
    <t>Cliente39-Cliente10</t>
  </si>
  <si>
    <t>Cliente39-Cliente11</t>
  </si>
  <si>
    <t>Cliente39-Cliente12</t>
  </si>
  <si>
    <t>Cliente39-Cliente13</t>
  </si>
  <si>
    <t>Cliente39-Cliente14</t>
  </si>
  <si>
    <t>Cliente39-Cliente15</t>
  </si>
  <si>
    <t>Cliente39-Cliente16</t>
  </si>
  <si>
    <t>Cliente39-Cliente17</t>
  </si>
  <si>
    <t>Cliente39-Cliente18</t>
  </si>
  <si>
    <t>Cliente39-Cliente19</t>
  </si>
  <si>
    <t>Cliente39-Cliente20</t>
  </si>
  <si>
    <t>Cliente39-Cliente21</t>
  </si>
  <si>
    <t>Cliente39-Cliente22</t>
  </si>
  <si>
    <t>Cliente39-Cliente23</t>
  </si>
  <si>
    <t>Cliente39-Cliente24</t>
  </si>
  <si>
    <t>Cliente39-Cliente25</t>
  </si>
  <si>
    <t>Cliente39-Cliente26</t>
  </si>
  <si>
    <t>Cliente39-Cliente27</t>
  </si>
  <si>
    <t>Cliente39-Cliente28</t>
  </si>
  <si>
    <t>Cliente39-Cliente29</t>
  </si>
  <si>
    <t>Cliente39-Cliente30</t>
  </si>
  <si>
    <t>Cliente39-Cliente31</t>
  </si>
  <si>
    <t>Cliente39-Cliente32</t>
  </si>
  <si>
    <t>Cliente39-Cliente33</t>
  </si>
  <si>
    <t>Cliente39-Cliente34</t>
  </si>
  <si>
    <t>Cliente39-Cliente35</t>
  </si>
  <si>
    <t>Cliente39-Cliente36</t>
  </si>
  <si>
    <t>Cliente39-Cliente37</t>
  </si>
  <si>
    <t>Cliente39-Cliente38</t>
  </si>
  <si>
    <t>Cliente39-Cliente39</t>
  </si>
  <si>
    <t>Cliente39-Cliente40</t>
  </si>
  <si>
    <t>Cliente39-Cliente41</t>
  </si>
  <si>
    <t>Cliente39-Cliente42</t>
  </si>
  <si>
    <t>Cliente39-Cliente43</t>
  </si>
  <si>
    <t>Cliente39-Cliente44</t>
  </si>
  <si>
    <t>Cliente39-Cliente45</t>
  </si>
  <si>
    <t>Cliente39-Cliente46</t>
  </si>
  <si>
    <t>Cliente39-Cliente47</t>
  </si>
  <si>
    <t>Cliente39-Cliente48</t>
  </si>
  <si>
    <t>Cliente39-Cliente49</t>
  </si>
  <si>
    <t>Cliente39-Cliente50</t>
  </si>
  <si>
    <t>Cliente39-Cliente51</t>
  </si>
  <si>
    <t>Cliente40-Cliente1</t>
  </si>
  <si>
    <t>Cliente40-Cliente2</t>
  </si>
  <si>
    <t>Cliente40-Cliente3</t>
  </si>
  <si>
    <t>Cliente40-Cliente4</t>
  </si>
  <si>
    <t>Cliente40-Cliente5</t>
  </si>
  <si>
    <t>Cliente40-Cliente6</t>
  </si>
  <si>
    <t>Cliente40-Cliente7</t>
  </si>
  <si>
    <t>Cliente40-Cliente8</t>
  </si>
  <si>
    <t>Cliente40-Cliente9</t>
  </si>
  <si>
    <t>Cliente40-Cliente10</t>
  </si>
  <si>
    <t>Cliente40-Cliente11</t>
  </si>
  <si>
    <t>Cliente40-Cliente12</t>
  </si>
  <si>
    <t>Cliente40-Cliente13</t>
  </si>
  <si>
    <t>Cliente40-Cliente14</t>
  </si>
  <si>
    <t>Cliente40-Cliente15</t>
  </si>
  <si>
    <t>Cliente40-Cliente16</t>
  </si>
  <si>
    <t>Cliente40-Cliente17</t>
  </si>
  <si>
    <t>Cliente40-Cliente18</t>
  </si>
  <si>
    <t>Cliente40-Cliente19</t>
  </si>
  <si>
    <t>Cliente40-Cliente20</t>
  </si>
  <si>
    <t>Cliente40-Cliente21</t>
  </si>
  <si>
    <t>Cliente40-Cliente22</t>
  </si>
  <si>
    <t>Cliente40-Cliente23</t>
  </si>
  <si>
    <t>Cliente40-Cliente24</t>
  </si>
  <si>
    <t>Cliente40-Cliente25</t>
  </si>
  <si>
    <t>Cliente40-Cliente26</t>
  </si>
  <si>
    <t>Cliente40-Cliente27</t>
  </si>
  <si>
    <t>Cliente40-Cliente28</t>
  </si>
  <si>
    <t>Cliente40-Cliente29</t>
  </si>
  <si>
    <t>Cliente40-Cliente30</t>
  </si>
  <si>
    <t>Cliente40-Cliente31</t>
  </si>
  <si>
    <t>Cliente40-Cliente32</t>
  </si>
  <si>
    <t>Cliente40-Cliente33</t>
  </si>
  <si>
    <t>Cliente40-Cliente34</t>
  </si>
  <si>
    <t>Cliente40-Cliente35</t>
  </si>
  <si>
    <t>Cliente40-Cliente36</t>
  </si>
  <si>
    <t>Cliente40-Cliente37</t>
  </si>
  <si>
    <t>Cliente40-Cliente38</t>
  </si>
  <si>
    <t>Cliente40-Cliente39</t>
  </si>
  <si>
    <t>Cliente40-Cliente40</t>
  </si>
  <si>
    <t>Cliente40-Cliente41</t>
  </si>
  <si>
    <t>Cliente40-Cliente42</t>
  </si>
  <si>
    <t>Cliente40-Cliente43</t>
  </si>
  <si>
    <t>Cliente40-Cliente44</t>
  </si>
  <si>
    <t>Cliente40-Cliente45</t>
  </si>
  <si>
    <t>Cliente40-Cliente46</t>
  </si>
  <si>
    <t>Cliente40-Cliente47</t>
  </si>
  <si>
    <t>Cliente40-Cliente48</t>
  </si>
  <si>
    <t>Cliente40-Cliente49</t>
  </si>
  <si>
    <t>Cliente40-Cliente50</t>
  </si>
  <si>
    <t>Cliente40-Cliente51</t>
  </si>
  <si>
    <t>Cliente41-Cliente1</t>
  </si>
  <si>
    <t>Cliente41-Cliente2</t>
  </si>
  <si>
    <t>Cliente41-Cliente3</t>
  </si>
  <si>
    <t>Cliente41-Cliente4</t>
  </si>
  <si>
    <t>Cliente41-Cliente5</t>
  </si>
  <si>
    <t>Cliente41-Cliente6</t>
  </si>
  <si>
    <t>Cliente41-Cliente7</t>
  </si>
  <si>
    <t>Cliente41-Cliente8</t>
  </si>
  <si>
    <t>Cliente41-Cliente9</t>
  </si>
  <si>
    <t>Cliente41-Cliente10</t>
  </si>
  <si>
    <t>Cliente41-Cliente11</t>
  </si>
  <si>
    <t>Cliente41-Cliente12</t>
  </si>
  <si>
    <t>Cliente41-Cliente13</t>
  </si>
  <si>
    <t>Cliente41-Cliente14</t>
  </si>
  <si>
    <t>Cliente41-Cliente15</t>
  </si>
  <si>
    <t>Cliente41-Cliente16</t>
  </si>
  <si>
    <t>Cliente41-Cliente17</t>
  </si>
  <si>
    <t>Cliente41-Cliente18</t>
  </si>
  <si>
    <t>Cliente41-Cliente19</t>
  </si>
  <si>
    <t>Cliente41-Cliente20</t>
  </si>
  <si>
    <t>Cliente41-Cliente21</t>
  </si>
  <si>
    <t>Cliente41-Cliente22</t>
  </si>
  <si>
    <t>Cliente41-Cliente23</t>
  </si>
  <si>
    <t>Cliente41-Cliente24</t>
  </si>
  <si>
    <t>Cliente41-Cliente25</t>
  </si>
  <si>
    <t>Cliente41-Cliente26</t>
  </si>
  <si>
    <t>Cliente41-Cliente27</t>
  </si>
  <si>
    <t>Cliente41-Cliente28</t>
  </si>
  <si>
    <t>Cliente41-Cliente29</t>
  </si>
  <si>
    <t>Cliente41-Cliente30</t>
  </si>
  <si>
    <t>Cliente41-Cliente31</t>
  </si>
  <si>
    <t>Cliente41-Cliente32</t>
  </si>
  <si>
    <t>Cliente41-Cliente33</t>
  </si>
  <si>
    <t>Cliente41-Cliente34</t>
  </si>
  <si>
    <t>Cliente41-Cliente35</t>
  </si>
  <si>
    <t>Cliente41-Cliente36</t>
  </si>
  <si>
    <t>Cliente41-Cliente37</t>
  </si>
  <si>
    <t>Cliente41-Cliente38</t>
  </si>
  <si>
    <t>Cliente41-Cliente39</t>
  </si>
  <si>
    <t>Cliente41-Cliente40</t>
  </si>
  <si>
    <t>Cliente41-Cliente41</t>
  </si>
  <si>
    <t>Cliente41-Cliente42</t>
  </si>
  <si>
    <t>Cliente41-Cliente43</t>
  </si>
  <si>
    <t>Cliente41-Cliente44</t>
  </si>
  <si>
    <t>Cliente41-Cliente45</t>
  </si>
  <si>
    <t>Cliente41-Cliente46</t>
  </si>
  <si>
    <t>Cliente41-Cliente47</t>
  </si>
  <si>
    <t>Cliente41-Cliente48</t>
  </si>
  <si>
    <t>Cliente41-Cliente49</t>
  </si>
  <si>
    <t>Cliente41-Cliente50</t>
  </si>
  <si>
    <t>Cliente41-Cliente51</t>
  </si>
  <si>
    <t>Cliente42-Cliente1</t>
  </si>
  <si>
    <t>Cliente42-Cliente2</t>
  </si>
  <si>
    <t>Cliente42-Cliente3</t>
  </si>
  <si>
    <t>Cliente42-Cliente4</t>
  </si>
  <si>
    <t>Cliente42-Cliente5</t>
  </si>
  <si>
    <t>Cliente42-Cliente6</t>
  </si>
  <si>
    <t>Cliente42-Cliente7</t>
  </si>
  <si>
    <t>Cliente42-Cliente8</t>
  </si>
  <si>
    <t>Cliente42-Cliente9</t>
  </si>
  <si>
    <t>Cliente42-Cliente10</t>
  </si>
  <si>
    <t>Cliente42-Cliente11</t>
  </si>
  <si>
    <t>Cliente42-Cliente12</t>
  </si>
  <si>
    <t>Cliente42-Cliente13</t>
  </si>
  <si>
    <t>Cliente42-Cliente14</t>
  </si>
  <si>
    <t>Cliente42-Cliente15</t>
  </si>
  <si>
    <t>Cliente42-Cliente16</t>
  </si>
  <si>
    <t>Cliente42-Cliente17</t>
  </si>
  <si>
    <t>Cliente42-Cliente18</t>
  </si>
  <si>
    <t>Cliente42-Cliente19</t>
  </si>
  <si>
    <t>Cliente42-Cliente20</t>
  </si>
  <si>
    <t>Cliente42-Cliente21</t>
  </si>
  <si>
    <t>Cliente42-Cliente22</t>
  </si>
  <si>
    <t>Cliente42-Cliente23</t>
  </si>
  <si>
    <t>Cliente42-Cliente24</t>
  </si>
  <si>
    <t>Cliente42-Cliente25</t>
  </si>
  <si>
    <t>Cliente42-Cliente26</t>
  </si>
  <si>
    <t>Cliente42-Cliente27</t>
  </si>
  <si>
    <t>Cliente42-Cliente28</t>
  </si>
  <si>
    <t>Cliente42-Cliente29</t>
  </si>
  <si>
    <t>Cliente42-Cliente30</t>
  </si>
  <si>
    <t>Cliente42-Cliente31</t>
  </si>
  <si>
    <t>Cliente42-Cliente32</t>
  </si>
  <si>
    <t>Cliente42-Cliente33</t>
  </si>
  <si>
    <t>Cliente42-Cliente34</t>
  </si>
  <si>
    <t>Cliente42-Cliente35</t>
  </si>
  <si>
    <t>Cliente42-Cliente36</t>
  </si>
  <si>
    <t>Cliente42-Cliente37</t>
  </si>
  <si>
    <t>Cliente42-Cliente38</t>
  </si>
  <si>
    <t>Cliente42-Cliente39</t>
  </si>
  <si>
    <t>Cliente42-Cliente40</t>
  </si>
  <si>
    <t>Cliente42-Cliente41</t>
  </si>
  <si>
    <t>Cliente42-Cliente42</t>
  </si>
  <si>
    <t>Cliente42-Cliente43</t>
  </si>
  <si>
    <t>Cliente42-Cliente44</t>
  </si>
  <si>
    <t>Cliente42-Cliente45</t>
  </si>
  <si>
    <t>Cliente42-Cliente46</t>
  </si>
  <si>
    <t>Cliente42-Cliente47</t>
  </si>
  <si>
    <t>Cliente42-Cliente48</t>
  </si>
  <si>
    <t>Cliente42-Cliente49</t>
  </si>
  <si>
    <t>Cliente42-Cliente50</t>
  </si>
  <si>
    <t>Cliente42-Cliente51</t>
  </si>
  <si>
    <t>Cliente43-Cliente1</t>
  </si>
  <si>
    <t>Cliente43-Cliente2</t>
  </si>
  <si>
    <t>Cliente43-Cliente3</t>
  </si>
  <si>
    <t>Cliente43-Cliente4</t>
  </si>
  <si>
    <t>Cliente43-Cliente5</t>
  </si>
  <si>
    <t>Cliente43-Cliente6</t>
  </si>
  <si>
    <t>Cliente43-Cliente7</t>
  </si>
  <si>
    <t>Cliente43-Cliente8</t>
  </si>
  <si>
    <t>Cliente43-Cliente9</t>
  </si>
  <si>
    <t>Cliente43-Cliente10</t>
  </si>
  <si>
    <t>Cliente43-Cliente11</t>
  </si>
  <si>
    <t>Cliente43-Cliente12</t>
  </si>
  <si>
    <t>Cliente43-Cliente13</t>
  </si>
  <si>
    <t>Cliente43-Cliente14</t>
  </si>
  <si>
    <t>Cliente43-Cliente15</t>
  </si>
  <si>
    <t>Cliente43-Cliente16</t>
  </si>
  <si>
    <t>Cliente43-Cliente17</t>
  </si>
  <si>
    <t>Cliente43-Cliente18</t>
  </si>
  <si>
    <t>Cliente43-Cliente19</t>
  </si>
  <si>
    <t>Cliente43-Cliente20</t>
  </si>
  <si>
    <t>Cliente43-Cliente21</t>
  </si>
  <si>
    <t>Cliente43-Cliente22</t>
  </si>
  <si>
    <t>Cliente43-Cliente23</t>
  </si>
  <si>
    <t>Cliente43-Cliente24</t>
  </si>
  <si>
    <t>Cliente43-Cliente25</t>
  </si>
  <si>
    <t>Cliente43-Cliente26</t>
  </si>
  <si>
    <t>Cliente43-Cliente27</t>
  </si>
  <si>
    <t>Cliente43-Cliente28</t>
  </si>
  <si>
    <t>Cliente43-Cliente29</t>
  </si>
  <si>
    <t>Cliente43-Cliente30</t>
  </si>
  <si>
    <t>Cliente43-Cliente31</t>
  </si>
  <si>
    <t>Cliente43-Cliente32</t>
  </si>
  <si>
    <t>Cliente43-Cliente33</t>
  </si>
  <si>
    <t>Cliente43-Cliente34</t>
  </si>
  <si>
    <t>Cliente43-Cliente35</t>
  </si>
  <si>
    <t>Cliente43-Cliente36</t>
  </si>
  <si>
    <t>Cliente43-Cliente37</t>
  </si>
  <si>
    <t>Cliente43-Cliente38</t>
  </si>
  <si>
    <t>Cliente43-Cliente39</t>
  </si>
  <si>
    <t>Cliente43-Cliente40</t>
  </si>
  <si>
    <t>Cliente43-Cliente41</t>
  </si>
  <si>
    <t>Cliente43-Cliente42</t>
  </si>
  <si>
    <t>Cliente43-Cliente43</t>
  </si>
  <si>
    <t>Cliente43-Cliente44</t>
  </si>
  <si>
    <t>Cliente43-Cliente45</t>
  </si>
  <si>
    <t>Cliente43-Cliente46</t>
  </si>
  <si>
    <t>Cliente43-Cliente47</t>
  </si>
  <si>
    <t>Cliente43-Cliente48</t>
  </si>
  <si>
    <t>Cliente43-Cliente49</t>
  </si>
  <si>
    <t>Cliente43-Cliente50</t>
  </si>
  <si>
    <t>Cliente43-Cliente51</t>
  </si>
  <si>
    <t>Cliente44-Cliente1</t>
  </si>
  <si>
    <t>Cliente44-Cliente2</t>
  </si>
  <si>
    <t>Cliente44-Cliente3</t>
  </si>
  <si>
    <t>Cliente44-Cliente4</t>
  </si>
  <si>
    <t>Cliente44-Cliente5</t>
  </si>
  <si>
    <t>Cliente44-Cliente6</t>
  </si>
  <si>
    <t>Cliente44-Cliente7</t>
  </si>
  <si>
    <t>Cliente44-Cliente8</t>
  </si>
  <si>
    <t>Cliente44-Cliente9</t>
  </si>
  <si>
    <t>Cliente44-Cliente10</t>
  </si>
  <si>
    <t>Cliente44-Cliente11</t>
  </si>
  <si>
    <t>Cliente44-Cliente12</t>
  </si>
  <si>
    <t>Cliente44-Cliente13</t>
  </si>
  <si>
    <t>Cliente44-Cliente14</t>
  </si>
  <si>
    <t>Cliente44-Cliente15</t>
  </si>
  <si>
    <t>Cliente44-Cliente16</t>
  </si>
  <si>
    <t>Cliente44-Cliente17</t>
  </si>
  <si>
    <t>Cliente44-Cliente18</t>
  </si>
  <si>
    <t>Cliente44-Cliente19</t>
  </si>
  <si>
    <t>Cliente44-Cliente20</t>
  </si>
  <si>
    <t>Cliente44-Cliente21</t>
  </si>
  <si>
    <t>Cliente44-Cliente22</t>
  </si>
  <si>
    <t>Cliente44-Cliente23</t>
  </si>
  <si>
    <t>Cliente44-Cliente24</t>
  </si>
  <si>
    <t>Cliente44-Cliente25</t>
  </si>
  <si>
    <t>Cliente44-Cliente26</t>
  </si>
  <si>
    <t>Cliente44-Cliente27</t>
  </si>
  <si>
    <t>Cliente44-Cliente28</t>
  </si>
  <si>
    <t>Cliente44-Cliente29</t>
  </si>
  <si>
    <t>Cliente44-Cliente30</t>
  </si>
  <si>
    <t>Cliente44-Cliente31</t>
  </si>
  <si>
    <t>Cliente44-Cliente32</t>
  </si>
  <si>
    <t>Cliente44-Cliente33</t>
  </si>
  <si>
    <t>Cliente44-Cliente34</t>
  </si>
  <si>
    <t>Cliente44-Cliente35</t>
  </si>
  <si>
    <t>Cliente44-Cliente36</t>
  </si>
  <si>
    <t>Cliente44-Cliente37</t>
  </si>
  <si>
    <t>Cliente44-Cliente38</t>
  </si>
  <si>
    <t>Cliente44-Cliente39</t>
  </si>
  <si>
    <t>Cliente44-Cliente40</t>
  </si>
  <si>
    <t>Cliente44-Cliente41</t>
  </si>
  <si>
    <t>Cliente44-Cliente42</t>
  </si>
  <si>
    <t>Cliente44-Cliente43</t>
  </si>
  <si>
    <t>Cliente44-Cliente44</t>
  </si>
  <si>
    <t>Cliente44-Cliente45</t>
  </si>
  <si>
    <t>Cliente44-Cliente46</t>
  </si>
  <si>
    <t>Cliente44-Cliente47</t>
  </si>
  <si>
    <t>Cliente44-Cliente48</t>
  </si>
  <si>
    <t>Cliente44-Cliente49</t>
  </si>
  <si>
    <t>Cliente44-Cliente50</t>
  </si>
  <si>
    <t>Cliente44-Cliente51</t>
  </si>
  <si>
    <t>Cliente45-Cliente1</t>
  </si>
  <si>
    <t>Cliente45-Cliente2</t>
  </si>
  <si>
    <t>Cliente45-Cliente3</t>
  </si>
  <si>
    <t>Cliente45-Cliente4</t>
  </si>
  <si>
    <t>Cliente45-Cliente5</t>
  </si>
  <si>
    <t>Cliente45-Cliente6</t>
  </si>
  <si>
    <t>Cliente45-Cliente7</t>
  </si>
  <si>
    <t>Cliente45-Cliente8</t>
  </si>
  <si>
    <t>Cliente45-Cliente9</t>
  </si>
  <si>
    <t>Cliente45-Cliente10</t>
  </si>
  <si>
    <t>Cliente45-Cliente11</t>
  </si>
  <si>
    <t>Cliente45-Cliente12</t>
  </si>
  <si>
    <t>Cliente45-Cliente13</t>
  </si>
  <si>
    <t>Cliente45-Cliente14</t>
  </si>
  <si>
    <t>Cliente45-Cliente15</t>
  </si>
  <si>
    <t>Cliente45-Cliente16</t>
  </si>
  <si>
    <t>Cliente45-Cliente17</t>
  </si>
  <si>
    <t>Cliente45-Cliente18</t>
  </si>
  <si>
    <t>Cliente45-Cliente19</t>
  </si>
  <si>
    <t>Cliente45-Cliente20</t>
  </si>
  <si>
    <t>Cliente45-Cliente21</t>
  </si>
  <si>
    <t>Cliente45-Cliente22</t>
  </si>
  <si>
    <t>Cliente45-Cliente23</t>
  </si>
  <si>
    <t>Cliente45-Cliente24</t>
  </si>
  <si>
    <t>Cliente45-Cliente25</t>
  </si>
  <si>
    <t>Cliente45-Cliente26</t>
  </si>
  <si>
    <t>Cliente45-Cliente27</t>
  </si>
  <si>
    <t>Cliente45-Cliente28</t>
  </si>
  <si>
    <t>Cliente45-Cliente29</t>
  </si>
  <si>
    <t>Cliente45-Cliente30</t>
  </si>
  <si>
    <t>Cliente45-Cliente31</t>
  </si>
  <si>
    <t>Cliente45-Cliente32</t>
  </si>
  <si>
    <t>Cliente45-Cliente33</t>
  </si>
  <si>
    <t>Cliente45-Cliente34</t>
  </si>
  <si>
    <t>Cliente45-Cliente35</t>
  </si>
  <si>
    <t>Cliente45-Cliente36</t>
  </si>
  <si>
    <t>Cliente45-Cliente37</t>
  </si>
  <si>
    <t>Cliente45-Cliente38</t>
  </si>
  <si>
    <t>Cliente45-Cliente39</t>
  </si>
  <si>
    <t>Cliente45-Cliente40</t>
  </si>
  <si>
    <t>Cliente45-Cliente41</t>
  </si>
  <si>
    <t>Cliente45-Cliente42</t>
  </si>
  <si>
    <t>Cliente45-Cliente43</t>
  </si>
  <si>
    <t>Cliente45-Cliente44</t>
  </si>
  <si>
    <t>Cliente45-Cliente45</t>
  </si>
  <si>
    <t>Cliente45-Cliente46</t>
  </si>
  <si>
    <t>Cliente45-Cliente47</t>
  </si>
  <si>
    <t>Cliente45-Cliente48</t>
  </si>
  <si>
    <t>Cliente45-Cliente49</t>
  </si>
  <si>
    <t>Cliente45-Cliente50</t>
  </si>
  <si>
    <t>Cliente45-Cliente51</t>
  </si>
  <si>
    <t>Cliente46-Cliente1</t>
  </si>
  <si>
    <t>Cliente46-Cliente2</t>
  </si>
  <si>
    <t>Cliente46-Cliente3</t>
  </si>
  <si>
    <t>Cliente46-Cliente4</t>
  </si>
  <si>
    <t>Cliente46-Cliente5</t>
  </si>
  <si>
    <t>Cliente46-Cliente6</t>
  </si>
  <si>
    <t>Cliente46-Cliente7</t>
  </si>
  <si>
    <t>Cliente46-Cliente8</t>
  </si>
  <si>
    <t>Cliente46-Cliente9</t>
  </si>
  <si>
    <t>Cliente46-Cliente10</t>
  </si>
  <si>
    <t>Cliente46-Cliente11</t>
  </si>
  <si>
    <t>Cliente46-Cliente12</t>
  </si>
  <si>
    <t>Cliente46-Cliente13</t>
  </si>
  <si>
    <t>Cliente46-Cliente14</t>
  </si>
  <si>
    <t>Cliente46-Cliente15</t>
  </si>
  <si>
    <t>Cliente46-Cliente16</t>
  </si>
  <si>
    <t>Cliente46-Cliente17</t>
  </si>
  <si>
    <t>Cliente46-Cliente18</t>
  </si>
  <si>
    <t>Cliente46-Cliente19</t>
  </si>
  <si>
    <t>Cliente46-Cliente20</t>
  </si>
  <si>
    <t>Cliente46-Cliente21</t>
  </si>
  <si>
    <t>Cliente46-Cliente22</t>
  </si>
  <si>
    <t>Cliente46-Cliente23</t>
  </si>
  <si>
    <t>Cliente46-Cliente24</t>
  </si>
  <si>
    <t>Cliente46-Cliente25</t>
  </si>
  <si>
    <t>Cliente46-Cliente26</t>
  </si>
  <si>
    <t>Cliente46-Cliente27</t>
  </si>
  <si>
    <t>Cliente46-Cliente28</t>
  </si>
  <si>
    <t>Cliente46-Cliente29</t>
  </si>
  <si>
    <t>Cliente46-Cliente30</t>
  </si>
  <si>
    <t>Cliente46-Cliente31</t>
  </si>
  <si>
    <t>Cliente46-Cliente32</t>
  </si>
  <si>
    <t>Cliente46-Cliente33</t>
  </si>
  <si>
    <t>Cliente46-Cliente34</t>
  </si>
  <si>
    <t>Cliente46-Cliente35</t>
  </si>
  <si>
    <t>Cliente46-Cliente36</t>
  </si>
  <si>
    <t>Cliente46-Cliente37</t>
  </si>
  <si>
    <t>Cliente46-Cliente38</t>
  </si>
  <si>
    <t>Cliente46-Cliente39</t>
  </si>
  <si>
    <t>Cliente46-Cliente40</t>
  </si>
  <si>
    <t>Cliente46-Cliente41</t>
  </si>
  <si>
    <t>Cliente46-Cliente42</t>
  </si>
  <si>
    <t>Cliente46-Cliente43</t>
  </si>
  <si>
    <t>Cliente46-Cliente44</t>
  </si>
  <si>
    <t>Cliente46-Cliente45</t>
  </si>
  <si>
    <t>Cliente46-Cliente46</t>
  </si>
  <si>
    <t>Cliente46-Cliente47</t>
  </si>
  <si>
    <t>Cliente46-Cliente48</t>
  </si>
  <si>
    <t>Cliente46-Cliente49</t>
  </si>
  <si>
    <t>Cliente46-Cliente50</t>
  </si>
  <si>
    <t>Cliente46-Cliente51</t>
  </si>
  <si>
    <t>Cliente47-Cliente1</t>
  </si>
  <si>
    <t>Cliente47-Cliente2</t>
  </si>
  <si>
    <t>Cliente47-Cliente3</t>
  </si>
  <si>
    <t>Cliente47-Cliente4</t>
  </si>
  <si>
    <t>Cliente47-Cliente5</t>
  </si>
  <si>
    <t>Cliente47-Cliente6</t>
  </si>
  <si>
    <t>Cliente47-Cliente7</t>
  </si>
  <si>
    <t>Cliente47-Cliente8</t>
  </si>
  <si>
    <t>Cliente47-Cliente9</t>
  </si>
  <si>
    <t>Cliente47-Cliente10</t>
  </si>
  <si>
    <t>Cliente47-Cliente11</t>
  </si>
  <si>
    <t>Cliente47-Cliente12</t>
  </si>
  <si>
    <t>Cliente47-Cliente13</t>
  </si>
  <si>
    <t>Cliente47-Cliente14</t>
  </si>
  <si>
    <t>Cliente47-Cliente15</t>
  </si>
  <si>
    <t>Cliente47-Cliente16</t>
  </si>
  <si>
    <t>Cliente47-Cliente17</t>
  </si>
  <si>
    <t>Cliente47-Cliente18</t>
  </si>
  <si>
    <t>Cliente47-Cliente19</t>
  </si>
  <si>
    <t>Cliente47-Cliente20</t>
  </si>
  <si>
    <t>Cliente47-Cliente21</t>
  </si>
  <si>
    <t>Cliente47-Cliente22</t>
  </si>
  <si>
    <t>Cliente47-Cliente23</t>
  </si>
  <si>
    <t>Cliente47-Cliente24</t>
  </si>
  <si>
    <t>Cliente47-Cliente25</t>
  </si>
  <si>
    <t>Cliente47-Cliente26</t>
  </si>
  <si>
    <t>Cliente47-Cliente27</t>
  </si>
  <si>
    <t>Cliente47-Cliente28</t>
  </si>
  <si>
    <t>Cliente47-Cliente29</t>
  </si>
  <si>
    <t>Cliente47-Cliente30</t>
  </si>
  <si>
    <t>Cliente47-Cliente31</t>
  </si>
  <si>
    <t>Cliente47-Cliente32</t>
  </si>
  <si>
    <t>Cliente47-Cliente33</t>
  </si>
  <si>
    <t>Cliente47-Cliente34</t>
  </si>
  <si>
    <t>Cliente47-Cliente35</t>
  </si>
  <si>
    <t>Cliente47-Cliente36</t>
  </si>
  <si>
    <t>Cliente47-Cliente37</t>
  </si>
  <si>
    <t>Cliente47-Cliente38</t>
  </si>
  <si>
    <t>Cliente47-Cliente39</t>
  </si>
  <si>
    <t>Cliente47-Cliente40</t>
  </si>
  <si>
    <t>Cliente47-Cliente41</t>
  </si>
  <si>
    <t>Cliente47-Cliente42</t>
  </si>
  <si>
    <t>Cliente47-Cliente43</t>
  </si>
  <si>
    <t>Cliente47-Cliente44</t>
  </si>
  <si>
    <t>Cliente47-Cliente45</t>
  </si>
  <si>
    <t>Cliente47-Cliente46</t>
  </si>
  <si>
    <t>Cliente47-Cliente47</t>
  </si>
  <si>
    <t>Cliente47-Cliente48</t>
  </si>
  <si>
    <t>Cliente47-Cliente49</t>
  </si>
  <si>
    <t>Cliente47-Cliente50</t>
  </si>
  <si>
    <t>Cliente47-Cliente51</t>
  </si>
  <si>
    <t>Cliente48-Cliente1</t>
  </si>
  <si>
    <t>Cliente48-Cliente2</t>
  </si>
  <si>
    <t>Cliente48-Cliente3</t>
  </si>
  <si>
    <t>Cliente48-Cliente4</t>
  </si>
  <si>
    <t>Cliente48-Cliente5</t>
  </si>
  <si>
    <t>Cliente48-Cliente6</t>
  </si>
  <si>
    <t>Cliente48-Cliente7</t>
  </si>
  <si>
    <t>Cliente48-Cliente8</t>
  </si>
  <si>
    <t>Cliente48-Cliente9</t>
  </si>
  <si>
    <t>Cliente48-Cliente10</t>
  </si>
  <si>
    <t>Cliente48-Cliente11</t>
  </si>
  <si>
    <t>Cliente48-Cliente12</t>
  </si>
  <si>
    <t>Cliente48-Cliente13</t>
  </si>
  <si>
    <t>Cliente48-Cliente14</t>
  </si>
  <si>
    <t>Cliente48-Cliente15</t>
  </si>
  <si>
    <t>Cliente48-Cliente16</t>
  </si>
  <si>
    <t>Cliente48-Cliente17</t>
  </si>
  <si>
    <t>Cliente48-Cliente18</t>
  </si>
  <si>
    <t>Cliente48-Cliente19</t>
  </si>
  <si>
    <t>Cliente48-Cliente20</t>
  </si>
  <si>
    <t>Cliente48-Cliente21</t>
  </si>
  <si>
    <t>Cliente48-Cliente22</t>
  </si>
  <si>
    <t>Cliente48-Cliente23</t>
  </si>
  <si>
    <t>Cliente48-Cliente24</t>
  </si>
  <si>
    <t>Cliente48-Cliente25</t>
  </si>
  <si>
    <t>Cliente48-Cliente26</t>
  </si>
  <si>
    <t>Cliente48-Cliente27</t>
  </si>
  <si>
    <t>Cliente48-Cliente28</t>
  </si>
  <si>
    <t>Cliente48-Cliente29</t>
  </si>
  <si>
    <t>Cliente48-Cliente30</t>
  </si>
  <si>
    <t>Cliente48-Cliente31</t>
  </si>
  <si>
    <t>Cliente48-Cliente32</t>
  </si>
  <si>
    <t>Cliente48-Cliente33</t>
  </si>
  <si>
    <t>Cliente48-Cliente34</t>
  </si>
  <si>
    <t>Cliente48-Cliente35</t>
  </si>
  <si>
    <t>Cliente48-Cliente36</t>
  </si>
  <si>
    <t>Cliente48-Cliente37</t>
  </si>
  <si>
    <t>Cliente48-Cliente38</t>
  </si>
  <si>
    <t>Cliente48-Cliente39</t>
  </si>
  <si>
    <t>Cliente48-Cliente40</t>
  </si>
  <si>
    <t>Cliente48-Cliente41</t>
  </si>
  <si>
    <t>Cliente48-Cliente42</t>
  </si>
  <si>
    <t>Cliente48-Cliente43</t>
  </si>
  <si>
    <t>Cliente48-Cliente44</t>
  </si>
  <si>
    <t>Cliente48-Cliente45</t>
  </si>
  <si>
    <t>Cliente48-Cliente46</t>
  </si>
  <si>
    <t>Cliente48-Cliente47</t>
  </si>
  <si>
    <t>Cliente48-Cliente48</t>
  </si>
  <si>
    <t>Cliente48-Cliente49</t>
  </si>
  <si>
    <t>Cliente48-Cliente50</t>
  </si>
  <si>
    <t>Cliente48-Cliente51</t>
  </si>
  <si>
    <t>Cliente49-Cliente1</t>
  </si>
  <si>
    <t>Cliente49-Cliente2</t>
  </si>
  <si>
    <t>Cliente49-Cliente3</t>
  </si>
  <si>
    <t>Cliente49-Cliente4</t>
  </si>
  <si>
    <t>Cliente49-Cliente5</t>
  </si>
  <si>
    <t>Cliente49-Cliente6</t>
  </si>
  <si>
    <t>Cliente49-Cliente7</t>
  </si>
  <si>
    <t>Cliente49-Cliente8</t>
  </si>
  <si>
    <t>Cliente49-Cliente9</t>
  </si>
  <si>
    <t>Cliente49-Cliente10</t>
  </si>
  <si>
    <t>Cliente49-Cliente11</t>
  </si>
  <si>
    <t>Cliente49-Cliente12</t>
  </si>
  <si>
    <t>Cliente49-Cliente13</t>
  </si>
  <si>
    <t>Cliente49-Cliente14</t>
  </si>
  <si>
    <t>Cliente49-Cliente15</t>
  </si>
  <si>
    <t>Cliente49-Cliente16</t>
  </si>
  <si>
    <t>Cliente49-Cliente17</t>
  </si>
  <si>
    <t>Cliente49-Cliente18</t>
  </si>
  <si>
    <t>Cliente49-Cliente19</t>
  </si>
  <si>
    <t>Cliente49-Cliente20</t>
  </si>
  <si>
    <t>Cliente49-Cliente21</t>
  </si>
  <si>
    <t>Cliente49-Cliente22</t>
  </si>
  <si>
    <t>Cliente49-Cliente23</t>
  </si>
  <si>
    <t>Cliente49-Cliente24</t>
  </si>
  <si>
    <t>Cliente49-Cliente25</t>
  </si>
  <si>
    <t>Cliente49-Cliente26</t>
  </si>
  <si>
    <t>Cliente49-Cliente27</t>
  </si>
  <si>
    <t>Cliente49-Cliente28</t>
  </si>
  <si>
    <t>Cliente49-Cliente29</t>
  </si>
  <si>
    <t>Cliente49-Cliente30</t>
  </si>
  <si>
    <t>Cliente49-Cliente31</t>
  </si>
  <si>
    <t>Cliente49-Cliente32</t>
  </si>
  <si>
    <t>Cliente49-Cliente33</t>
  </si>
  <si>
    <t>Cliente49-Cliente34</t>
  </si>
  <si>
    <t>Cliente49-Cliente35</t>
  </si>
  <si>
    <t>Cliente49-Cliente36</t>
  </si>
  <si>
    <t>Cliente49-Cliente37</t>
  </si>
  <si>
    <t>Cliente49-Cliente38</t>
  </si>
  <si>
    <t>Cliente49-Cliente39</t>
  </si>
  <si>
    <t>Cliente49-Cliente40</t>
  </si>
  <si>
    <t>Cliente49-Cliente41</t>
  </si>
  <si>
    <t>Cliente49-Cliente42</t>
  </si>
  <si>
    <t>Cliente49-Cliente43</t>
  </si>
  <si>
    <t>Cliente49-Cliente44</t>
  </si>
  <si>
    <t>Cliente49-Cliente45</t>
  </si>
  <si>
    <t>Cliente49-Cliente46</t>
  </si>
  <si>
    <t>Cliente49-Cliente47</t>
  </si>
  <si>
    <t>Cliente49-Cliente48</t>
  </si>
  <si>
    <t>Cliente49-Cliente49</t>
  </si>
  <si>
    <t>Cliente49-Cliente50</t>
  </si>
  <si>
    <t>Cliente49-Cliente51</t>
  </si>
  <si>
    <t>Cliente50-Cliente1</t>
  </si>
  <si>
    <t>Cliente50-Cliente2</t>
  </si>
  <si>
    <t>Cliente50-Cliente3</t>
  </si>
  <si>
    <t>Cliente50-Cliente4</t>
  </si>
  <si>
    <t>Cliente50-Cliente5</t>
  </si>
  <si>
    <t>Cliente50-Cliente6</t>
  </si>
  <si>
    <t>Cliente50-Cliente7</t>
  </si>
  <si>
    <t>Cliente50-Cliente8</t>
  </si>
  <si>
    <t>Cliente50-Cliente9</t>
  </si>
  <si>
    <t>Cliente50-Cliente10</t>
  </si>
  <si>
    <t>Cliente50-Cliente11</t>
  </si>
  <si>
    <t>Cliente50-Cliente12</t>
  </si>
  <si>
    <t>Cliente50-Cliente13</t>
  </si>
  <si>
    <t>Cliente50-Cliente14</t>
  </si>
  <si>
    <t>Cliente50-Cliente15</t>
  </si>
  <si>
    <t>Cliente50-Cliente16</t>
  </si>
  <si>
    <t>Cliente50-Cliente17</t>
  </si>
  <si>
    <t>Cliente50-Cliente18</t>
  </si>
  <si>
    <t>Cliente50-Cliente19</t>
  </si>
  <si>
    <t>Cliente50-Cliente20</t>
  </si>
  <si>
    <t>Cliente50-Cliente21</t>
  </si>
  <si>
    <t>Cliente50-Cliente22</t>
  </si>
  <si>
    <t>Cliente50-Cliente23</t>
  </si>
  <si>
    <t>Cliente50-Cliente24</t>
  </si>
  <si>
    <t>Cliente50-Cliente25</t>
  </si>
  <si>
    <t>Cliente50-Cliente26</t>
  </si>
  <si>
    <t>Cliente50-Cliente27</t>
  </si>
  <si>
    <t>Cliente50-Cliente28</t>
  </si>
  <si>
    <t>Cliente50-Cliente29</t>
  </si>
  <si>
    <t>Cliente50-Cliente30</t>
  </si>
  <si>
    <t>Cliente50-Cliente31</t>
  </si>
  <si>
    <t>Cliente50-Cliente32</t>
  </si>
  <si>
    <t>Cliente50-Cliente33</t>
  </si>
  <si>
    <t>Cliente50-Cliente34</t>
  </si>
  <si>
    <t>Cliente50-Cliente35</t>
  </si>
  <si>
    <t>Cliente50-Cliente36</t>
  </si>
  <si>
    <t>Cliente50-Cliente37</t>
  </si>
  <si>
    <t>Cliente50-Cliente38</t>
  </si>
  <si>
    <t>Cliente50-Cliente39</t>
  </si>
  <si>
    <t>Cliente50-Cliente40</t>
  </si>
  <si>
    <t>Cliente50-Cliente41</t>
  </si>
  <si>
    <t>Cliente50-Cliente42</t>
  </si>
  <si>
    <t>Cliente50-Cliente43</t>
  </si>
  <si>
    <t>Cliente50-Cliente44</t>
  </si>
  <si>
    <t>Cliente50-Cliente45</t>
  </si>
  <si>
    <t>Cliente50-Cliente46</t>
  </si>
  <si>
    <t>Cliente50-Cliente47</t>
  </si>
  <si>
    <t>Cliente50-Cliente48</t>
  </si>
  <si>
    <t>Cliente50-Cliente49</t>
  </si>
  <si>
    <t>Cliente50-Cliente50</t>
  </si>
  <si>
    <t>Cliente50-Cliente51</t>
  </si>
  <si>
    <t>Cliente51-Cliente1</t>
  </si>
  <si>
    <t>Cliente51-Cliente2</t>
  </si>
  <si>
    <t>Cliente51-Cliente3</t>
  </si>
  <si>
    <t>Cliente51-Cliente4</t>
  </si>
  <si>
    <t>Cliente51-Cliente5</t>
  </si>
  <si>
    <t>Cliente51-Cliente6</t>
  </si>
  <si>
    <t>Cliente51-Cliente7</t>
  </si>
  <si>
    <t>Cliente51-Cliente8</t>
  </si>
  <si>
    <t>Cliente51-Cliente9</t>
  </si>
  <si>
    <t>Cliente51-Cliente10</t>
  </si>
  <si>
    <t>Cliente51-Cliente11</t>
  </si>
  <si>
    <t>Cliente51-Cliente12</t>
  </si>
  <si>
    <t>Cliente51-Cliente13</t>
  </si>
  <si>
    <t>Cliente51-Cliente14</t>
  </si>
  <si>
    <t>Cliente51-Cliente15</t>
  </si>
  <si>
    <t>Cliente51-Cliente16</t>
  </si>
  <si>
    <t>Cliente51-Cliente17</t>
  </si>
  <si>
    <t>Cliente51-Cliente18</t>
  </si>
  <si>
    <t>Cliente51-Cliente19</t>
  </si>
  <si>
    <t>Cliente51-Cliente20</t>
  </si>
  <si>
    <t>Cliente51-Cliente21</t>
  </si>
  <si>
    <t>Cliente51-Cliente22</t>
  </si>
  <si>
    <t>Cliente51-Cliente23</t>
  </si>
  <si>
    <t>Cliente51-Cliente24</t>
  </si>
  <si>
    <t>Cliente51-Cliente25</t>
  </si>
  <si>
    <t>Cliente51-Cliente26</t>
  </si>
  <si>
    <t>Cliente51-Cliente27</t>
  </si>
  <si>
    <t>Cliente51-Cliente28</t>
  </si>
  <si>
    <t>Cliente51-Cliente29</t>
  </si>
  <si>
    <t>Cliente51-Cliente30</t>
  </si>
  <si>
    <t>Cliente51-Cliente31</t>
  </si>
  <si>
    <t>Cliente51-Cliente32</t>
  </si>
  <si>
    <t>Cliente51-Cliente33</t>
  </si>
  <si>
    <t>Cliente51-Cliente34</t>
  </si>
  <si>
    <t>Cliente51-Cliente35</t>
  </si>
  <si>
    <t>Cliente51-Cliente36</t>
  </si>
  <si>
    <t>Cliente51-Cliente37</t>
  </si>
  <si>
    <t>Cliente51-Cliente38</t>
  </si>
  <si>
    <t>Cliente51-Cliente39</t>
  </si>
  <si>
    <t>Cliente51-Cliente40</t>
  </si>
  <si>
    <t>Cliente51-Cliente41</t>
  </si>
  <si>
    <t>Cliente51-Cliente42</t>
  </si>
  <si>
    <t>Cliente51-Cliente43</t>
  </si>
  <si>
    <t>Cliente51-Cliente44</t>
  </si>
  <si>
    <t>Cliente51-Cliente45</t>
  </si>
  <si>
    <t>Cliente51-Cliente46</t>
  </si>
  <si>
    <t>Cliente51-Cliente47</t>
  </si>
  <si>
    <t>Cliente51-Cliente48</t>
  </si>
  <si>
    <t>Cliente51-Cliente49</t>
  </si>
  <si>
    <t>Cliente51-Cliente50</t>
  </si>
  <si>
    <t>Cliente51-Cliente51</t>
  </si>
  <si>
    <t>3423909-3423909</t>
  </si>
  <si>
    <t>3423909-Cliente1</t>
  </si>
  <si>
    <t>3423909-Cliente2</t>
  </si>
  <si>
    <t>3423909-Cliente3</t>
  </si>
  <si>
    <t>3423909-Cliente4</t>
  </si>
  <si>
    <t>3423909-Cliente5</t>
  </si>
  <si>
    <t>3423909-Cliente6</t>
  </si>
  <si>
    <t>3423909-Cliente7</t>
  </si>
  <si>
    <t>3423909-Cliente8</t>
  </si>
  <si>
    <t>3423909-Cliente9</t>
  </si>
  <si>
    <t>3423909-Cliente10</t>
  </si>
  <si>
    <t>3423909-Cliente11</t>
  </si>
  <si>
    <t>3423909-Cliente12</t>
  </si>
  <si>
    <t>3423909-Cliente13</t>
  </si>
  <si>
    <t>3423909-Cliente14</t>
  </si>
  <si>
    <t>3423909-Cliente15</t>
  </si>
  <si>
    <t>3423909-Cliente16</t>
  </si>
  <si>
    <t>3423909-Cliente17</t>
  </si>
  <si>
    <t>3423909-Cliente18</t>
  </si>
  <si>
    <t>3423909-Cliente19</t>
  </si>
  <si>
    <t>3423909-Cliente20</t>
  </si>
  <si>
    <t>3423909-Cliente21</t>
  </si>
  <si>
    <t>3423909-Cliente22</t>
  </si>
  <si>
    <t>3423909-Cliente23</t>
  </si>
  <si>
    <t>3423909-Cliente24</t>
  </si>
  <si>
    <t>3423909-Cliente25</t>
  </si>
  <si>
    <t>3423909-Cliente26</t>
  </si>
  <si>
    <t>3423909-Cliente27</t>
  </si>
  <si>
    <t>3423909-Cliente28</t>
  </si>
  <si>
    <t>3423909-Cliente29</t>
  </si>
  <si>
    <t>3423909-Cliente30</t>
  </si>
  <si>
    <t>3423909-Cliente31</t>
  </si>
  <si>
    <t>3423909-Cliente32</t>
  </si>
  <si>
    <t>3423909-Cliente33</t>
  </si>
  <si>
    <t>3423909-Cliente34</t>
  </si>
  <si>
    <t>3423909-Cliente35</t>
  </si>
  <si>
    <t>3423909-Cliente36</t>
  </si>
  <si>
    <t>3423909-Cliente37</t>
  </si>
  <si>
    <t>3423909-Cliente38</t>
  </si>
  <si>
    <t>3423909-Cliente39</t>
  </si>
  <si>
    <t>3423909-Cliente40</t>
  </si>
  <si>
    <t>3423909-Cliente41</t>
  </si>
  <si>
    <t>3423909-Cliente42</t>
  </si>
  <si>
    <t>3423909-Cliente43</t>
  </si>
  <si>
    <t>3423909-Cliente44</t>
  </si>
  <si>
    <t>3423909-Cliente45</t>
  </si>
  <si>
    <t>3423909-Cliente46</t>
  </si>
  <si>
    <t>3423909-Cliente47</t>
  </si>
  <si>
    <t>3423909-Cliente48</t>
  </si>
  <si>
    <t>3423909-Cliente49</t>
  </si>
  <si>
    <t>3423909-Cliente50</t>
  </si>
  <si>
    <t>3423909-Cliente51</t>
  </si>
  <si>
    <t>Cliente1-3423909</t>
  </si>
  <si>
    <t>Cliente2-3423909</t>
  </si>
  <si>
    <t>Cliente3-3423909</t>
  </si>
  <si>
    <t>Cliente4-3423909</t>
  </si>
  <si>
    <t>Cliente5-3423909</t>
  </si>
  <si>
    <t>Cliente6-3423909</t>
  </si>
  <si>
    <t>Cliente7-3423909</t>
  </si>
  <si>
    <t>Cliente8-3423909</t>
  </si>
  <si>
    <t>Cliente9-3423909</t>
  </si>
  <si>
    <t>Cliente10-3423909</t>
  </si>
  <si>
    <t>Cliente11-3423909</t>
  </si>
  <si>
    <t>Cliente12-3423909</t>
  </si>
  <si>
    <t>Cliente13-3423909</t>
  </si>
  <si>
    <t>Cliente14-3423909</t>
  </si>
  <si>
    <t>Cliente15-3423909</t>
  </si>
  <si>
    <t>Cliente16-3423909</t>
  </si>
  <si>
    <t>Cliente17-3423909</t>
  </si>
  <si>
    <t>Cliente18-3423909</t>
  </si>
  <si>
    <t>Cliente19-3423909</t>
  </si>
  <si>
    <t>Cliente20-3423909</t>
  </si>
  <si>
    <t>Cliente21-3423909</t>
  </si>
  <si>
    <t>Cliente22-3423909</t>
  </si>
  <si>
    <t>Cliente23-3423909</t>
  </si>
  <si>
    <t>Cliente24-3423909</t>
  </si>
  <si>
    <t>Cliente25-3423909</t>
  </si>
  <si>
    <t>Cliente26-3423909</t>
  </si>
  <si>
    <t>Cliente27-3423909</t>
  </si>
  <si>
    <t>Cliente28-3423909</t>
  </si>
  <si>
    <t>Cliente29-3423909</t>
  </si>
  <si>
    <t>Cliente30-3423909</t>
  </si>
  <si>
    <t>Cliente31-3423909</t>
  </si>
  <si>
    <t>Cliente32-3423909</t>
  </si>
  <si>
    <t>Cliente33-3423909</t>
  </si>
  <si>
    <t>Cliente34-3423909</t>
  </si>
  <si>
    <t>Cliente35-3423909</t>
  </si>
  <si>
    <t>Cliente36-3423909</t>
  </si>
  <si>
    <t>Cliente37-3423909</t>
  </si>
  <si>
    <t>Cliente38-3423909</t>
  </si>
  <si>
    <t>Cliente39-3423909</t>
  </si>
  <si>
    <t>Cliente40-3423909</t>
  </si>
  <si>
    <t>Cliente41-3423909</t>
  </si>
  <si>
    <t>Cliente42-3423909</t>
  </si>
  <si>
    <t>Cliente43-3423909</t>
  </si>
  <si>
    <t>Cliente44-3423909</t>
  </si>
  <si>
    <t>Cliente45-3423909</t>
  </si>
  <si>
    <t>Cliente46-3423909</t>
  </si>
  <si>
    <t>Cliente47-3423909</t>
  </si>
  <si>
    <t>Cliente48-3423909</t>
  </si>
  <si>
    <t>Cliente49-3423909</t>
  </si>
  <si>
    <t>Cliente50-3423909</t>
  </si>
  <si>
    <t>Cliente51-3423909</t>
  </si>
  <si>
    <t>3423909-3403208</t>
  </si>
  <si>
    <t>3403208-3423909</t>
  </si>
  <si>
    <t>3403208-3403208</t>
  </si>
  <si>
    <t>3403208-Cliente1</t>
  </si>
  <si>
    <t>3403208-Cliente2</t>
  </si>
  <si>
    <t>3403208-Cliente3</t>
  </si>
  <si>
    <t>3403208-Cliente4</t>
  </si>
  <si>
    <t>3403208-Cliente5</t>
  </si>
  <si>
    <t>3403208-Cliente6</t>
  </si>
  <si>
    <t>3403208-Cliente7</t>
  </si>
  <si>
    <t>3403208-Cliente8</t>
  </si>
  <si>
    <t>3403208-Cliente9</t>
  </si>
  <si>
    <t>3403208-Cliente10</t>
  </si>
  <si>
    <t>3403208-Cliente11</t>
  </si>
  <si>
    <t>3403208-Cliente12</t>
  </si>
  <si>
    <t>3403208-Cliente13</t>
  </si>
  <si>
    <t>3403208-Cliente14</t>
  </si>
  <si>
    <t>3403208-Cliente15</t>
  </si>
  <si>
    <t>3403208-Cliente16</t>
  </si>
  <si>
    <t>3403208-Cliente17</t>
  </si>
  <si>
    <t>3403208-Cliente18</t>
  </si>
  <si>
    <t>3403208-Cliente19</t>
  </si>
  <si>
    <t>3403208-Cliente20</t>
  </si>
  <si>
    <t>3403208-Cliente21</t>
  </si>
  <si>
    <t>3403208-Cliente22</t>
  </si>
  <si>
    <t>3403208-Cliente23</t>
  </si>
  <si>
    <t>3403208-Cliente24</t>
  </si>
  <si>
    <t>3403208-Cliente25</t>
  </si>
  <si>
    <t>3403208-Cliente26</t>
  </si>
  <si>
    <t>3403208-Cliente27</t>
  </si>
  <si>
    <t>3403208-Cliente28</t>
  </si>
  <si>
    <t>3403208-Cliente29</t>
  </si>
  <si>
    <t>3403208-Cliente30</t>
  </si>
  <si>
    <t>3403208-Cliente31</t>
  </si>
  <si>
    <t>3403208-Cliente32</t>
  </si>
  <si>
    <t>3403208-Cliente33</t>
  </si>
  <si>
    <t>3403208-Cliente34</t>
  </si>
  <si>
    <t>3403208-Cliente35</t>
  </si>
  <si>
    <t>3403208-Cliente36</t>
  </si>
  <si>
    <t>3403208-Cliente37</t>
  </si>
  <si>
    <t>3403208-Cliente38</t>
  </si>
  <si>
    <t>3403208-Cliente39</t>
  </si>
  <si>
    <t>3403208-Cliente40</t>
  </si>
  <si>
    <t>3403208-Cliente41</t>
  </si>
  <si>
    <t>3403208-Cliente42</t>
  </si>
  <si>
    <t>3403208-Cliente43</t>
  </si>
  <si>
    <t>3403208-Cliente44</t>
  </si>
  <si>
    <t>3403208-Cliente45</t>
  </si>
  <si>
    <t>3403208-Cliente46</t>
  </si>
  <si>
    <t>3403208-Cliente47</t>
  </si>
  <si>
    <t>3403208-Cliente48</t>
  </si>
  <si>
    <t>3403208-Cliente49</t>
  </si>
  <si>
    <t>3403208-Cliente50</t>
  </si>
  <si>
    <t>3403208-Cliente51</t>
  </si>
  <si>
    <t>Cliente1-3403208</t>
  </si>
  <si>
    <t>Cliente2-3403208</t>
  </si>
  <si>
    <t>Cliente3-3403208</t>
  </si>
  <si>
    <t>Cliente4-3403208</t>
  </si>
  <si>
    <t>Cliente5-3403208</t>
  </si>
  <si>
    <t>Cliente6-3403208</t>
  </si>
  <si>
    <t>Cliente7-3403208</t>
  </si>
  <si>
    <t>Cliente8-3403208</t>
  </si>
  <si>
    <t>Cliente9-3403208</t>
  </si>
  <si>
    <t>Cliente10-3403208</t>
  </si>
  <si>
    <t>Cliente11-3403208</t>
  </si>
  <si>
    <t>Cliente12-3403208</t>
  </si>
  <si>
    <t>Cliente13-3403208</t>
  </si>
  <si>
    <t>Cliente14-3403208</t>
  </si>
  <si>
    <t>Cliente15-3403208</t>
  </si>
  <si>
    <t>Cliente16-3403208</t>
  </si>
  <si>
    <t>Cliente17-3403208</t>
  </si>
  <si>
    <t>Cliente18-3403208</t>
  </si>
  <si>
    <t>Cliente19-3403208</t>
  </si>
  <si>
    <t>Cliente20-3403208</t>
  </si>
  <si>
    <t>Cliente21-3403208</t>
  </si>
  <si>
    <t>Cliente22-3403208</t>
  </si>
  <si>
    <t>Cliente23-3403208</t>
  </si>
  <si>
    <t>Cliente24-3403208</t>
  </si>
  <si>
    <t>Cliente25-3403208</t>
  </si>
  <si>
    <t>Cliente26-3403208</t>
  </si>
  <si>
    <t>Cliente27-3403208</t>
  </si>
  <si>
    <t>Cliente28-3403208</t>
  </si>
  <si>
    <t>Cliente29-3403208</t>
  </si>
  <si>
    <t>Cliente30-3403208</t>
  </si>
  <si>
    <t>Cliente31-3403208</t>
  </si>
  <si>
    <t>Cliente32-3403208</t>
  </si>
  <si>
    <t>Cliente33-3403208</t>
  </si>
  <si>
    <t>Cliente34-3403208</t>
  </si>
  <si>
    <t>Cliente35-3403208</t>
  </si>
  <si>
    <t>Cliente36-3403208</t>
  </si>
  <si>
    <t>Cliente37-3403208</t>
  </si>
  <si>
    <t>Cliente38-3403208</t>
  </si>
  <si>
    <t>Cliente39-3403208</t>
  </si>
  <si>
    <t>Cliente40-3403208</t>
  </si>
  <si>
    <t>Cliente41-3403208</t>
  </si>
  <si>
    <t>Cliente42-3403208</t>
  </si>
  <si>
    <t>Cliente43-3403208</t>
  </si>
  <si>
    <t>Cliente44-3403208</t>
  </si>
  <si>
    <t>Cliente45-3403208</t>
  </si>
  <si>
    <t>Cliente46-3403208</t>
  </si>
  <si>
    <t>Cliente47-3403208</t>
  </si>
  <si>
    <t>Cliente48-3403208</t>
  </si>
  <si>
    <t>Cliente49-3403208</t>
  </si>
  <si>
    <t>Cliente50-3403208</t>
  </si>
  <si>
    <t>Cliente51-3403208</t>
  </si>
  <si>
    <t>3423909-3424402</t>
  </si>
  <si>
    <t>3403208-3424402</t>
  </si>
  <si>
    <t>3424402-3423909</t>
  </si>
  <si>
    <t>3424402-3403208</t>
  </si>
  <si>
    <t>3424402-3424402</t>
  </si>
  <si>
    <t>3424402-Cliente1</t>
  </si>
  <si>
    <t>3424402-Cliente2</t>
  </si>
  <si>
    <t>3424402-Cliente3</t>
  </si>
  <si>
    <t>3424402-Cliente4</t>
  </si>
  <si>
    <t>3424402-Cliente5</t>
  </si>
  <si>
    <t>3424402-Cliente6</t>
  </si>
  <si>
    <t>3424402-Cliente7</t>
  </si>
  <si>
    <t>3424402-Cliente8</t>
  </si>
  <si>
    <t>3424402-Cliente9</t>
  </si>
  <si>
    <t>3424402-Cliente10</t>
  </si>
  <si>
    <t>3424402-Cliente11</t>
  </si>
  <si>
    <t>3424402-Cliente12</t>
  </si>
  <si>
    <t>3424402-Cliente13</t>
  </si>
  <si>
    <t>3424402-Cliente14</t>
  </si>
  <si>
    <t>3424402-Cliente15</t>
  </si>
  <si>
    <t>3424402-Cliente16</t>
  </si>
  <si>
    <t>3424402-Cliente17</t>
  </si>
  <si>
    <t>3424402-Cliente18</t>
  </si>
  <si>
    <t>3424402-Cliente19</t>
  </si>
  <si>
    <t>3424402-Cliente20</t>
  </si>
  <si>
    <t>3424402-Cliente21</t>
  </si>
  <si>
    <t>3424402-Cliente22</t>
  </si>
  <si>
    <t>3424402-Cliente23</t>
  </si>
  <si>
    <t>3424402-Cliente24</t>
  </si>
  <si>
    <t>3424402-Cliente25</t>
  </si>
  <si>
    <t>3424402-Cliente26</t>
  </si>
  <si>
    <t>3424402-Cliente27</t>
  </si>
  <si>
    <t>3424402-Cliente28</t>
  </si>
  <si>
    <t>3424402-Cliente29</t>
  </si>
  <si>
    <t>3424402-Cliente30</t>
  </si>
  <si>
    <t>3424402-Cliente31</t>
  </si>
  <si>
    <t>3424402-Cliente32</t>
  </si>
  <si>
    <t>3424402-Cliente33</t>
  </si>
  <si>
    <t>3424402-Cliente34</t>
  </si>
  <si>
    <t>3424402-Cliente35</t>
  </si>
  <si>
    <t>3424402-Cliente36</t>
  </si>
  <si>
    <t>3424402-Cliente37</t>
  </si>
  <si>
    <t>3424402-Cliente38</t>
  </si>
  <si>
    <t>3424402-Cliente39</t>
  </si>
  <si>
    <t>3424402-Cliente40</t>
  </si>
  <si>
    <t>3424402-Cliente41</t>
  </si>
  <si>
    <t>3424402-Cliente42</t>
  </si>
  <si>
    <t>3424402-Cliente43</t>
  </si>
  <si>
    <t>3424402-Cliente44</t>
  </si>
  <si>
    <t>3424402-Cliente45</t>
  </si>
  <si>
    <t>3424402-Cliente46</t>
  </si>
  <si>
    <t>3424402-Cliente47</t>
  </si>
  <si>
    <t>3424402-Cliente48</t>
  </si>
  <si>
    <t>3424402-Cliente49</t>
  </si>
  <si>
    <t>3424402-Cliente50</t>
  </si>
  <si>
    <t>3424402-Cliente51</t>
  </si>
  <si>
    <t>Cliente1-3424402</t>
  </si>
  <si>
    <t>Cliente2-3424402</t>
  </si>
  <si>
    <t>Cliente3-3424402</t>
  </si>
  <si>
    <t>Cliente4-3424402</t>
  </si>
  <si>
    <t>Cliente5-3424402</t>
  </si>
  <si>
    <t>Cliente6-3424402</t>
  </si>
  <si>
    <t>Cliente7-3424402</t>
  </si>
  <si>
    <t>Cliente8-3424402</t>
  </si>
  <si>
    <t>Cliente9-3424402</t>
  </si>
  <si>
    <t>Cliente10-3424402</t>
  </si>
  <si>
    <t>Cliente11-3424402</t>
  </si>
  <si>
    <t>Cliente12-3424402</t>
  </si>
  <si>
    <t>Cliente13-3424402</t>
  </si>
  <si>
    <t>Cliente14-3424402</t>
  </si>
  <si>
    <t>Cliente15-3424402</t>
  </si>
  <si>
    <t>Cliente16-3424402</t>
  </si>
  <si>
    <t>Cliente17-3424402</t>
  </si>
  <si>
    <t>Cliente18-3424402</t>
  </si>
  <si>
    <t>Cliente19-3424402</t>
  </si>
  <si>
    <t>Cliente20-3424402</t>
  </si>
  <si>
    <t>Cliente21-3424402</t>
  </si>
  <si>
    <t>Cliente22-3424402</t>
  </si>
  <si>
    <t>Cliente23-3424402</t>
  </si>
  <si>
    <t>Cliente24-3424402</t>
  </si>
  <si>
    <t>Cliente25-3424402</t>
  </si>
  <si>
    <t>Cliente26-3424402</t>
  </si>
  <si>
    <t>Cliente27-3424402</t>
  </si>
  <si>
    <t>Cliente28-3424402</t>
  </si>
  <si>
    <t>Cliente29-3424402</t>
  </si>
  <si>
    <t>Cliente30-3424402</t>
  </si>
  <si>
    <t>Cliente31-3424402</t>
  </si>
  <si>
    <t>Cliente32-3424402</t>
  </si>
  <si>
    <t>Cliente33-3424402</t>
  </si>
  <si>
    <t>Cliente34-3424402</t>
  </si>
  <si>
    <t>Cliente35-3424402</t>
  </si>
  <si>
    <t>Cliente36-3424402</t>
  </si>
  <si>
    <t>Cliente37-3424402</t>
  </si>
  <si>
    <t>Cliente38-3424402</t>
  </si>
  <si>
    <t>Cliente39-3424402</t>
  </si>
  <si>
    <t>Cliente40-3424402</t>
  </si>
  <si>
    <t>Cliente41-3424402</t>
  </si>
  <si>
    <t>Cliente42-3424402</t>
  </si>
  <si>
    <t>Cliente43-3424402</t>
  </si>
  <si>
    <t>Cliente44-3424402</t>
  </si>
  <si>
    <t>Cliente45-3424402</t>
  </si>
  <si>
    <t>Cliente46-3424402</t>
  </si>
  <si>
    <t>Cliente47-3424402</t>
  </si>
  <si>
    <t>Cliente48-3424402</t>
  </si>
  <si>
    <t>Cliente49-3424402</t>
  </si>
  <si>
    <t>Cliente50-3424402</t>
  </si>
  <si>
    <t>Cliente51-3424402</t>
  </si>
  <si>
    <t>-Cliente24187</t>
  </si>
  <si>
    <t>129,Cliente248</t>
  </si>
  <si>
    <t>-23,Cliente2461</t>
  </si>
  <si>
    <t>-23,3Cliente245</t>
  </si>
  <si>
    <t>-Cliente25178418</t>
  </si>
  <si>
    <t>52,Cliente2592</t>
  </si>
  <si>
    <t>-47,2Cliente255</t>
  </si>
  <si>
    <t>8,Cliente2567</t>
  </si>
  <si>
    <t>-23,Cliente2543</t>
  </si>
  <si>
    <t>-23,5Cliente265</t>
  </si>
  <si>
    <t>-23,Cliente2667</t>
  </si>
  <si>
    <t>-4817Cliente2722</t>
  </si>
  <si>
    <t>-23,Cliente2732</t>
  </si>
  <si>
    <t>-23,5Cliente275</t>
  </si>
  <si>
    <t>-Cliente28713588</t>
  </si>
  <si>
    <t>-23,Cliente2846</t>
  </si>
  <si>
    <t>-23,58Cliente28</t>
  </si>
  <si>
    <t>-23,6Cliente286</t>
  </si>
  <si>
    <t>-23,Cliente2955</t>
  </si>
  <si>
    <t>-23,Cliente2913</t>
  </si>
  <si>
    <t>-23,Cliente2988</t>
  </si>
  <si>
    <t>-47,3Cliente299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</si>
</sst>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h]:mm"/>
    <numFmt numFmtId="166" formatCode="0.000000"/>
  </numFmts>
  <fonts count="28"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s>
  <fills count="38">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s>
  <borders count="21">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style="thick">
        <color indexed="9"/>
      </top>
      <bottom/>
      <diagonal/>
    </border>
    <border>
      <left/>
      <right style="thin">
        <color indexed="23"/>
      </right>
      <top/>
      <bottom/>
      <diagonal/>
    </border>
    <border>
      <left/>
      <right style="thin">
        <color indexed="23"/>
      </right>
      <top style="thin">
        <color indexed="23"/>
      </top>
      <bottom/>
      <diagonal/>
    </border>
    <border>
      <left/>
      <right style="thin">
        <color indexed="23"/>
      </right>
      <top style="thick">
        <color indexed="9"/>
      </top>
      <bottom/>
      <diagonal/>
    </border>
    <border>
      <left/>
      <right style="thin">
        <color indexed="23"/>
      </right>
      <top style="thin">
        <color indexed="23"/>
      </top>
      <bottom style="thin">
        <color indexed="23"/>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63">
    <xf numFmtId="0" fontId="0" fillId="0" borderId="0" xfId="0"/>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2" fillId="34" borderId="0" xfId="0" applyFont="1" applyFill="1"/>
    <xf numFmtId="0" fontId="0" fillId="0" borderId="0" xfId="0" applyAlignment="1">
      <alignment vertical="top" wrapText="1"/>
    </xf>
    <xf numFmtId="0" fontId="21" fillId="0" borderId="0" xfId="0" applyFont="1"/>
    <xf numFmtId="20" fontId="21" fillId="0" borderId="0" xfId="0" applyNumberFormat="1" applyFont="1"/>
    <xf numFmtId="0" fontId="22" fillId="2" borderId="0" xfId="0" applyFont="1" applyFill="1"/>
    <xf numFmtId="165" fontId="22" fillId="36" borderId="0" xfId="0" applyNumberFormat="1" applyFont="1" applyFill="1"/>
    <xf numFmtId="0" fontId="22" fillId="2" borderId="1" xfId="0" applyFont="1" applyFill="1" applyBorder="1"/>
    <xf numFmtId="165" fontId="22" fillId="37" borderId="1" xfId="0" applyNumberFormat="1" applyFont="1" applyFill="1" applyBorder="1"/>
    <xf numFmtId="0" fontId="22" fillId="2" borderId="15" xfId="0" applyFont="1" applyFill="1" applyBorder="1"/>
    <xf numFmtId="165" fontId="22" fillId="37" borderId="15" xfId="0" applyNumberFormat="1" applyFont="1" applyFill="1" applyBorder="1"/>
    <xf numFmtId="165" fontId="22" fillId="36" borderId="15" xfId="0" applyNumberFormat="1" applyFont="1" applyFill="1" applyBorder="1"/>
    <xf numFmtId="0" fontId="22" fillId="2" borderId="16" xfId="0" applyFont="1" applyFill="1" applyBorder="1"/>
    <xf numFmtId="0" fontId="21" fillId="0" borderId="17" xfId="0" applyFont="1" applyBorder="1"/>
    <xf numFmtId="0" fontId="22" fillId="36" borderId="17" xfId="0" applyFont="1" applyFill="1" applyBorder="1"/>
    <xf numFmtId="0" fontId="22" fillId="37" borderId="18" xfId="0" applyFont="1" applyFill="1" applyBorder="1"/>
    <xf numFmtId="0" fontId="22" fillId="36" borderId="18" xfId="0" applyFont="1" applyFill="1" applyBorder="1"/>
    <xf numFmtId="0" fontId="22" fillId="37" borderId="19" xfId="0" applyFont="1" applyFill="1" applyBorder="1"/>
    <xf numFmtId="164" fontId="22" fillId="36" borderId="17" xfId="0" applyNumberFormat="1" applyFont="1" applyFill="1" applyBorder="1"/>
    <xf numFmtId="164" fontId="22" fillId="37" borderId="18" xfId="0" applyNumberFormat="1" applyFont="1" applyFill="1" applyBorder="1"/>
    <xf numFmtId="164" fontId="22" fillId="36" borderId="18" xfId="0" applyNumberFormat="1" applyFont="1" applyFill="1" applyBorder="1"/>
    <xf numFmtId="164" fontId="22" fillId="37" borderId="19" xfId="0" applyNumberFormat="1" applyFont="1" applyFill="1" applyBorder="1"/>
    <xf numFmtId="20" fontId="22" fillId="36" borderId="17" xfId="0" applyNumberFormat="1" applyFont="1" applyFill="1" applyBorder="1"/>
    <xf numFmtId="20" fontId="22" fillId="37" borderId="18" xfId="0" applyNumberFormat="1" applyFont="1" applyFill="1" applyBorder="1"/>
    <xf numFmtId="20" fontId="22" fillId="36" borderId="18" xfId="0" applyNumberFormat="1" applyFont="1" applyFill="1" applyBorder="1"/>
    <xf numFmtId="20" fontId="22" fillId="37" borderId="19" xfId="0" applyNumberFormat="1" applyFont="1" applyFill="1" applyBorder="1"/>
    <xf numFmtId="165" fontId="22" fillId="37" borderId="18" xfId="0" applyNumberFormat="1" applyFont="1" applyFill="1" applyBorder="1"/>
    <xf numFmtId="165" fontId="22" fillId="36" borderId="18" xfId="0" applyNumberFormat="1" applyFont="1" applyFill="1" applyBorder="1"/>
    <xf numFmtId="165" fontId="22" fillId="37" borderId="19" xfId="0" applyNumberFormat="1" applyFont="1" applyFill="1" applyBorder="1"/>
    <xf numFmtId="0" fontId="22" fillId="2" borderId="17" xfId="0" applyFont="1" applyFill="1" applyBorder="1"/>
    <xf numFmtId="165" fontId="22" fillId="2" borderId="17" xfId="0" applyNumberFormat="1" applyFont="1" applyFill="1" applyBorder="1"/>
    <xf numFmtId="0" fontId="22" fillId="2" borderId="18" xfId="0" applyFont="1" applyFill="1" applyBorder="1"/>
    <xf numFmtId="165" fontId="22" fillId="2" borderId="18" xfId="0" applyNumberFormat="1" applyFont="1" applyFill="1" applyBorder="1"/>
    <xf numFmtId="2" fontId="22" fillId="36" borderId="0" xfId="0" applyNumberFormat="1" applyFont="1" applyFill="1"/>
    <xf numFmtId="166" fontId="22" fillId="36" borderId="0" xfId="0" applyNumberFormat="1" applyFont="1" applyFill="1"/>
    <xf numFmtId="2" fontId="22" fillId="37" borderId="1" xfId="0" applyNumberFormat="1" applyFont="1" applyFill="1" applyBorder="1"/>
    <xf numFmtId="166" fontId="22" fillId="37" borderId="1" xfId="0" applyNumberFormat="1" applyFont="1" applyFill="1" applyBorder="1"/>
    <xf numFmtId="2" fontId="22" fillId="37" borderId="15" xfId="0" applyNumberFormat="1" applyFont="1" applyFill="1" applyBorder="1"/>
    <xf numFmtId="166" fontId="22" fillId="37" borderId="15" xfId="0" applyNumberFormat="1" applyFont="1" applyFill="1" applyBorder="1"/>
    <xf numFmtId="2" fontId="22" fillId="36" borderId="15" xfId="0" applyNumberFormat="1" applyFont="1" applyFill="1" applyBorder="1"/>
    <xf numFmtId="166" fontId="22" fillId="36" borderId="15" xfId="0" applyNumberFormat="1" applyFont="1" applyFill="1" applyBorder="1"/>
    <xf numFmtId="0" fontId="22" fillId="37" borderId="20" xfId="0" applyFont="1" applyFill="1" applyBorder="1"/>
    <xf numFmtId="164" fontId="22" fillId="37" borderId="20" xfId="0" applyNumberFormat="1" applyFont="1" applyFill="1" applyBorder="1"/>
    <xf numFmtId="20" fontId="22" fillId="37" borderId="20" xfId="0" applyNumberFormat="1" applyFont="1" applyFill="1" applyBorder="1"/>
    <xf numFmtId="165" fontId="22" fillId="37" borderId="20" xfId="0" applyNumberFormat="1" applyFont="1" applyFill="1" applyBorder="1"/>
    <xf numFmtId="0" fontId="2" fillId="2" borderId="0" xfId="0" applyFont="1" applyFill="1"/>
    <xf numFmtId="0" fontId="0" fillId="0" borderId="0" xfId="0" applyAlignment="1">
      <alignment horizontal="center"/>
    </xf>
    <xf numFmtId="0" fontId="21" fillId="0" borderId="0" xfId="0" applyFont="1" applyAlignment="1">
      <alignment horizontal="center"/>
    </xf>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374">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bingmapsportal.com/%20adresinden%20&#252;cretsiz%20deneme%20anahtar&#305;%20edinebilirsiniz."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4"/>
  <sheetViews>
    <sheetView view="pageLayout" zoomScaleNormal="100" workbookViewId="0">
      <selection activeCell="A4" sqref="A4"/>
    </sheetView>
  </sheetViews>
  <sheetFormatPr defaultColWidth="9.140625" defaultRowHeight="15" x14ac:dyDescent="0.25"/>
  <cols>
    <col min="1" max="1" width="80.28515625" customWidth="1"/>
  </cols>
  <sheetData>
    <row r="1" spans="1:1" x14ac:dyDescent="0.25">
      <c r="A1" t="s">
        <v>4070</v>
      </c>
    </row>
    <row r="2" spans="1:1" x14ac:dyDescent="0.25">
      <c r="A2" t="s">
        <v>4071</v>
      </c>
    </row>
    <row r="4" spans="1:1" ht="150" x14ac:dyDescent="0.25">
      <c r="A4" s="17" t="s">
        <v>4072</v>
      </c>
    </row>
  </sheetData>
  <pageMargins left="0.7" right="0.7" top="0.75" bottom="0.75" header="0.3" footer="0.3"/>
  <pageSetup paperSize="9" orientation="portrait" r:id="rId1"/>
  <headerFooter>
    <oddHeader>&amp;C&amp;K00+000Bismillahirrahmanirrahim
Allahumme salli ala rasulina Muhammed</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26"/>
  <sheetViews>
    <sheetView zoomScaleNormal="100" workbookViewId="0">
      <selection activeCell="C3" sqref="C3"/>
    </sheetView>
  </sheetViews>
  <sheetFormatPr defaultColWidth="9.140625" defaultRowHeight="15" x14ac:dyDescent="0.25"/>
  <cols>
    <col min="1" max="1" width="23.7109375" bestFit="1" customWidth="1"/>
    <col min="2" max="2" width="37.7109375" bestFit="1" customWidth="1"/>
    <col min="3" max="3" width="67.85546875" bestFit="1" customWidth="1"/>
    <col min="4" max="4" width="77.7109375" bestFit="1" customWidth="1"/>
  </cols>
  <sheetData>
    <row r="1" spans="1:4" s="4" customFormat="1" x14ac:dyDescent="0.25">
      <c r="A1" s="60" t="s">
        <v>132</v>
      </c>
      <c r="B1" s="60" t="s">
        <v>138</v>
      </c>
      <c r="C1" s="60" t="s">
        <v>142</v>
      </c>
      <c r="D1" s="60" t="s">
        <v>151</v>
      </c>
    </row>
    <row r="2" spans="1:4" x14ac:dyDescent="0.25">
      <c r="A2" s="13" t="s">
        <v>1078</v>
      </c>
      <c r="B2" s="14" t="s">
        <v>112</v>
      </c>
      <c r="C2" s="15" t="s">
        <v>43</v>
      </c>
      <c r="D2" s="14" t="s">
        <v>117</v>
      </c>
    </row>
    <row r="3" spans="1:4" x14ac:dyDescent="0.25">
      <c r="A3" s="2"/>
      <c r="B3" s="2" t="s">
        <v>1605</v>
      </c>
      <c r="C3" s="5" t="s">
        <v>4267</v>
      </c>
      <c r="D3" s="2" t="s">
        <v>1758</v>
      </c>
    </row>
    <row r="5" spans="1:4" x14ac:dyDescent="0.25">
      <c r="A5" s="3" t="s">
        <v>1082</v>
      </c>
      <c r="B5" s="2" t="s">
        <v>1384</v>
      </c>
      <c r="C5" s="5">
        <v>3</v>
      </c>
      <c r="D5" s="2" t="s">
        <v>4000</v>
      </c>
    </row>
    <row r="6" spans="1:4" x14ac:dyDescent="0.25">
      <c r="A6" s="1"/>
      <c r="B6" s="1" t="s">
        <v>1600</v>
      </c>
      <c r="C6" s="6">
        <v>51</v>
      </c>
      <c r="D6" s="1" t="s">
        <v>4001</v>
      </c>
    </row>
    <row r="8" spans="1:4" x14ac:dyDescent="0.25">
      <c r="A8" s="3" t="s">
        <v>458</v>
      </c>
      <c r="B8" s="2" t="s">
        <v>1120</v>
      </c>
      <c r="C8" s="5" t="s">
        <v>1103</v>
      </c>
      <c r="D8" s="2" t="s">
        <v>1615</v>
      </c>
    </row>
    <row r="9" spans="1:4" x14ac:dyDescent="0.25">
      <c r="A9" s="1"/>
      <c r="B9" s="1" t="s">
        <v>1131</v>
      </c>
      <c r="C9" s="6" t="s">
        <v>1105</v>
      </c>
      <c r="D9" s="1"/>
    </row>
    <row r="10" spans="1:4" x14ac:dyDescent="0.25">
      <c r="A10" s="1"/>
      <c r="B10" s="1" t="s">
        <v>4239</v>
      </c>
      <c r="C10" s="6" t="s">
        <v>4237</v>
      </c>
      <c r="D10" s="1"/>
    </row>
    <row r="11" spans="1:4" x14ac:dyDescent="0.25">
      <c r="A11" s="1"/>
      <c r="B11" s="1" t="s">
        <v>1106</v>
      </c>
      <c r="C11" s="6" t="s">
        <v>1136</v>
      </c>
      <c r="D11" s="1" t="s">
        <v>1614</v>
      </c>
    </row>
    <row r="12" spans="1:4" x14ac:dyDescent="0.25">
      <c r="A12" s="1"/>
      <c r="B12" s="1" t="s">
        <v>4022</v>
      </c>
      <c r="C12" s="6">
        <v>3</v>
      </c>
      <c r="D12" s="1" t="s">
        <v>4002</v>
      </c>
    </row>
    <row r="13" spans="1:4" x14ac:dyDescent="0.25">
      <c r="A13" s="1"/>
      <c r="B13" s="1" t="s">
        <v>1102</v>
      </c>
      <c r="C13" s="6">
        <v>70</v>
      </c>
      <c r="D13" s="1"/>
    </row>
    <row r="15" spans="1:4" x14ac:dyDescent="0.25">
      <c r="A15" s="3" t="s">
        <v>461</v>
      </c>
      <c r="B15" s="2" t="s">
        <v>1601</v>
      </c>
      <c r="C15" s="5">
        <v>1</v>
      </c>
      <c r="D15" s="2"/>
    </row>
    <row r="17" spans="1:4" x14ac:dyDescent="0.25">
      <c r="A17" s="3" t="s">
        <v>464</v>
      </c>
      <c r="B17" s="2" t="s">
        <v>1126</v>
      </c>
      <c r="C17" s="5" t="s">
        <v>1757</v>
      </c>
      <c r="D17" s="2"/>
    </row>
    <row r="18" spans="1:4" x14ac:dyDescent="0.25">
      <c r="A18" s="1"/>
      <c r="B18" s="1" t="s">
        <v>1640</v>
      </c>
      <c r="C18" s="6" t="s">
        <v>877</v>
      </c>
      <c r="D18" s="1"/>
    </row>
    <row r="19" spans="1:4" x14ac:dyDescent="0.25">
      <c r="A19" s="1"/>
      <c r="B19" s="1" t="s">
        <v>23</v>
      </c>
      <c r="C19" s="6" t="s">
        <v>169</v>
      </c>
      <c r="D19" s="1" t="s">
        <v>1139</v>
      </c>
    </row>
    <row r="21" spans="1:4" x14ac:dyDescent="0.25">
      <c r="A21" s="3" t="s">
        <v>1089</v>
      </c>
      <c r="B21" s="2" t="s">
        <v>1646</v>
      </c>
      <c r="C21" s="5" t="s">
        <v>26</v>
      </c>
      <c r="D21" s="2"/>
    </row>
    <row r="22" spans="1:4" x14ac:dyDescent="0.25">
      <c r="A22" s="1"/>
      <c r="B22" s="1" t="s">
        <v>1143</v>
      </c>
      <c r="C22" s="6" t="s">
        <v>1142</v>
      </c>
      <c r="D22" s="1"/>
    </row>
    <row r="24" spans="1:4" x14ac:dyDescent="0.25">
      <c r="A24" s="3" t="s">
        <v>414</v>
      </c>
      <c r="B24" s="2" t="s">
        <v>1648</v>
      </c>
      <c r="C24" s="5" t="s">
        <v>1755</v>
      </c>
      <c r="D24" s="2"/>
    </row>
    <row r="25" spans="1:4" x14ac:dyDescent="0.25">
      <c r="A25" s="1"/>
      <c r="B25" s="1" t="s">
        <v>1624</v>
      </c>
      <c r="C25" s="6" t="s">
        <v>169</v>
      </c>
      <c r="D25" s="1"/>
    </row>
    <row r="26" spans="1:4" x14ac:dyDescent="0.25">
      <c r="A26" s="1"/>
      <c r="B26" s="1" t="s">
        <v>176</v>
      </c>
      <c r="C26" s="6">
        <v>60</v>
      </c>
      <c r="D26" s="1" t="str">
        <f>CONCATENATE("Recomendação: pelo menos", 60 * CEILING(C6 * C6 * C6 / 100000, 1),"  segundos")</f>
        <v>Recomendação: pelo menos120  segundos</v>
      </c>
    </row>
  </sheetData>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27"/>
  <sheetViews>
    <sheetView zoomScaleNormal="100" workbookViewId="0">
      <selection activeCell="A19" sqref="A19"/>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7" t="s">
        <v>36</v>
      </c>
      <c r="B1" s="7" t="s">
        <v>37</v>
      </c>
      <c r="C1" s="8" t="s">
        <v>38</v>
      </c>
      <c r="D1" s="8" t="s">
        <v>39</v>
      </c>
      <c r="E1" s="8" t="s">
        <v>40</v>
      </c>
      <c r="F1" s="8" t="s">
        <v>41</v>
      </c>
      <c r="G1" s="8" t="s">
        <v>42</v>
      </c>
      <c r="H1" s="8" t="s">
        <v>43</v>
      </c>
      <c r="I1" s="8" t="s">
        <v>44</v>
      </c>
      <c r="J1" s="8" t="s">
        <v>2300</v>
      </c>
      <c r="K1" s="8" t="s">
        <v>2301</v>
      </c>
      <c r="L1" s="8" t="s">
        <v>2302</v>
      </c>
      <c r="M1" s="8" t="s">
        <v>2303</v>
      </c>
      <c r="N1" s="8" t="s">
        <v>3463</v>
      </c>
      <c r="O1" s="8" t="s">
        <v>3464</v>
      </c>
    </row>
    <row r="2" spans="1:15" x14ac:dyDescent="0.25">
      <c r="A2" s="9" t="s">
        <v>339</v>
      </c>
      <c r="B2" s="9" t="s">
        <v>340</v>
      </c>
      <c r="C2" s="5" t="s">
        <v>375</v>
      </c>
      <c r="D2" s="5" t="s">
        <v>340</v>
      </c>
      <c r="E2" s="5" t="s">
        <v>399</v>
      </c>
      <c r="F2" s="5" t="s">
        <v>418</v>
      </c>
      <c r="G2" s="5" t="s">
        <v>435</v>
      </c>
      <c r="H2" s="5" t="s">
        <v>340</v>
      </c>
      <c r="I2" s="5" t="s">
        <v>340</v>
      </c>
      <c r="J2" s="5" t="s">
        <v>340</v>
      </c>
      <c r="K2" s="5" t="s">
        <v>2334</v>
      </c>
      <c r="L2" s="5" t="s">
        <v>2358</v>
      </c>
      <c r="M2" s="5" t="s">
        <v>2383</v>
      </c>
      <c r="N2" s="5" t="s">
        <v>3788</v>
      </c>
      <c r="O2" s="5" t="s">
        <v>3891</v>
      </c>
    </row>
    <row r="3" spans="1:15" x14ac:dyDescent="0.25">
      <c r="A3" s="9" t="s">
        <v>62</v>
      </c>
      <c r="B3" s="9" t="s">
        <v>45</v>
      </c>
      <c r="C3" s="5" t="s">
        <v>46</v>
      </c>
      <c r="D3" s="5" t="s">
        <v>47</v>
      </c>
      <c r="E3" s="5" t="s">
        <v>48</v>
      </c>
      <c r="F3" s="5" t="s">
        <v>49</v>
      </c>
      <c r="G3" s="5" t="s">
        <v>50</v>
      </c>
      <c r="H3" s="5" t="s">
        <v>51</v>
      </c>
      <c r="I3" s="5" t="s">
        <v>52</v>
      </c>
      <c r="J3" s="5" t="s">
        <v>2311</v>
      </c>
      <c r="K3" s="5" t="s">
        <v>2335</v>
      </c>
      <c r="L3" s="5" t="s">
        <v>2359</v>
      </c>
      <c r="M3" s="5" t="s">
        <v>2384</v>
      </c>
      <c r="N3" s="5" t="s">
        <v>3964</v>
      </c>
      <c r="O3" s="5" t="s">
        <v>3980</v>
      </c>
    </row>
    <row r="4" spans="1:15" x14ac:dyDescent="0.25">
      <c r="A4" s="9" t="s">
        <v>53</v>
      </c>
      <c r="B4" s="9" t="s">
        <v>54</v>
      </c>
      <c r="C4" s="5" t="s">
        <v>55</v>
      </c>
      <c r="D4" s="5" t="s">
        <v>56</v>
      </c>
      <c r="E4" s="5" t="s">
        <v>57</v>
      </c>
      <c r="F4" s="5" t="s">
        <v>58</v>
      </c>
      <c r="G4" s="5" t="s">
        <v>59</v>
      </c>
      <c r="H4" s="5" t="s">
        <v>60</v>
      </c>
      <c r="I4" s="5" t="s">
        <v>61</v>
      </c>
      <c r="J4" s="5" t="s">
        <v>2312</v>
      </c>
      <c r="K4" s="5" t="s">
        <v>2336</v>
      </c>
      <c r="L4" s="5" t="s">
        <v>2360</v>
      </c>
      <c r="M4" s="5" t="s">
        <v>2385</v>
      </c>
      <c r="N4" s="5" t="s">
        <v>3965</v>
      </c>
      <c r="O4" s="5" t="s">
        <v>3981</v>
      </c>
    </row>
    <row r="5" spans="1:15" x14ac:dyDescent="0.25">
      <c r="A5" s="9" t="s">
        <v>66</v>
      </c>
      <c r="B5" s="9" t="s">
        <v>341</v>
      </c>
      <c r="C5" s="5" t="s">
        <v>363</v>
      </c>
      <c r="D5" s="5" t="s">
        <v>381</v>
      </c>
      <c r="E5" s="5" t="s">
        <v>400</v>
      </c>
      <c r="F5" s="5" t="s">
        <v>419</v>
      </c>
      <c r="G5" s="5" t="s">
        <v>436</v>
      </c>
      <c r="H5" s="5" t="s">
        <v>454</v>
      </c>
      <c r="I5" s="5" t="s">
        <v>470</v>
      </c>
      <c r="J5" s="5" t="s">
        <v>2313</v>
      </c>
      <c r="K5" s="5" t="s">
        <v>2337</v>
      </c>
      <c r="L5" s="5" t="s">
        <v>2361</v>
      </c>
      <c r="M5" s="5" t="s">
        <v>2386</v>
      </c>
      <c r="N5" s="5" t="s">
        <v>3601</v>
      </c>
      <c r="O5" s="5" t="s">
        <v>2313</v>
      </c>
    </row>
    <row r="6" spans="1:15" x14ac:dyDescent="0.25">
      <c r="A6" s="9" t="s">
        <v>63</v>
      </c>
      <c r="B6" s="9" t="s">
        <v>342</v>
      </c>
      <c r="C6" s="5" t="s">
        <v>379</v>
      </c>
      <c r="D6" s="5" t="s">
        <v>382</v>
      </c>
      <c r="E6" s="5" t="s">
        <v>401</v>
      </c>
      <c r="F6" s="5" t="s">
        <v>420</v>
      </c>
      <c r="G6" s="5" t="s">
        <v>437</v>
      </c>
      <c r="H6" s="5" t="s">
        <v>455</v>
      </c>
      <c r="I6" s="5" t="s">
        <v>471</v>
      </c>
      <c r="J6" s="5" t="s">
        <v>2314</v>
      </c>
      <c r="K6" s="5" t="s">
        <v>2338</v>
      </c>
      <c r="L6" s="5" t="s">
        <v>2362</v>
      </c>
      <c r="M6" s="5" t="s">
        <v>2387</v>
      </c>
      <c r="N6" s="5" t="s">
        <v>3598</v>
      </c>
      <c r="O6" s="5" t="s">
        <v>3982</v>
      </c>
    </row>
    <row r="7" spans="1:15" x14ac:dyDescent="0.25">
      <c r="A7" s="9" t="s">
        <v>64</v>
      </c>
      <c r="B7" s="9" t="s">
        <v>344</v>
      </c>
      <c r="C7" s="5" t="s">
        <v>1839</v>
      </c>
      <c r="D7" s="5" t="s">
        <v>383</v>
      </c>
      <c r="E7" s="5" t="s">
        <v>402</v>
      </c>
      <c r="F7" s="5" t="s">
        <v>421</v>
      </c>
      <c r="G7" s="5" t="s">
        <v>438</v>
      </c>
      <c r="H7" s="5" t="s">
        <v>456</v>
      </c>
      <c r="I7" s="5" t="s">
        <v>472</v>
      </c>
      <c r="J7" s="5" t="s">
        <v>2315</v>
      </c>
      <c r="K7" s="5" t="s">
        <v>2339</v>
      </c>
      <c r="L7" s="5" t="s">
        <v>2363</v>
      </c>
      <c r="M7" s="5" t="s">
        <v>2388</v>
      </c>
      <c r="N7" s="5" t="s">
        <v>3966</v>
      </c>
      <c r="O7" s="5" t="s">
        <v>3983</v>
      </c>
    </row>
    <row r="8" spans="1:15" x14ac:dyDescent="0.25">
      <c r="A8" s="9" t="s">
        <v>65</v>
      </c>
      <c r="B8" s="9" t="s">
        <v>343</v>
      </c>
      <c r="C8" s="5" t="s">
        <v>364</v>
      </c>
      <c r="D8" s="5" t="s">
        <v>384</v>
      </c>
      <c r="E8" s="5" t="s">
        <v>403</v>
      </c>
      <c r="F8" s="5" t="s">
        <v>422</v>
      </c>
      <c r="G8" s="5" t="s">
        <v>439</v>
      </c>
      <c r="H8" s="5" t="s">
        <v>457</v>
      </c>
      <c r="I8" s="5" t="s">
        <v>473</v>
      </c>
      <c r="J8" s="5" t="s">
        <v>2316</v>
      </c>
      <c r="K8" s="5" t="s">
        <v>2340</v>
      </c>
      <c r="L8" s="5" t="s">
        <v>2364</v>
      </c>
      <c r="M8" s="5" t="s">
        <v>2389</v>
      </c>
      <c r="N8" s="5" t="s">
        <v>3967</v>
      </c>
      <c r="O8" s="5" t="s">
        <v>3984</v>
      </c>
    </row>
    <row r="9" spans="1:15" x14ac:dyDescent="0.25">
      <c r="A9" s="9" t="s">
        <v>70</v>
      </c>
      <c r="B9" s="9" t="s">
        <v>345</v>
      </c>
      <c r="C9" s="5" t="s">
        <v>365</v>
      </c>
      <c r="D9" s="5" t="s">
        <v>385</v>
      </c>
      <c r="E9" s="5" t="s">
        <v>404</v>
      </c>
      <c r="F9" s="5" t="s">
        <v>345</v>
      </c>
      <c r="G9" s="5" t="s">
        <v>440</v>
      </c>
      <c r="H9" s="5" t="s">
        <v>458</v>
      </c>
      <c r="I9" s="5" t="s">
        <v>474</v>
      </c>
      <c r="J9" s="5" t="s">
        <v>2317</v>
      </c>
      <c r="K9" s="5" t="s">
        <v>2341</v>
      </c>
      <c r="L9" s="5" t="s">
        <v>2365</v>
      </c>
      <c r="M9" s="5" t="s">
        <v>2390</v>
      </c>
      <c r="N9" s="5" t="s">
        <v>3604</v>
      </c>
      <c r="O9" s="5" t="s">
        <v>2317</v>
      </c>
    </row>
    <row r="10" spans="1:15" x14ac:dyDescent="0.25">
      <c r="A10" s="9" t="s">
        <v>67</v>
      </c>
      <c r="B10" s="9" t="s">
        <v>346</v>
      </c>
      <c r="C10" s="5" t="s">
        <v>380</v>
      </c>
      <c r="D10" s="5" t="s">
        <v>386</v>
      </c>
      <c r="E10" s="5" t="s">
        <v>405</v>
      </c>
      <c r="F10" s="5" t="s">
        <v>423</v>
      </c>
      <c r="G10" s="5" t="s">
        <v>441</v>
      </c>
      <c r="H10" s="5" t="s">
        <v>459</v>
      </c>
      <c r="I10" s="5" t="s">
        <v>475</v>
      </c>
      <c r="J10" s="5" t="s">
        <v>2318</v>
      </c>
      <c r="K10" s="5" t="s">
        <v>2342</v>
      </c>
      <c r="L10" s="5" t="s">
        <v>2366</v>
      </c>
      <c r="M10" s="5" t="s">
        <v>2391</v>
      </c>
      <c r="N10" s="5" t="s">
        <v>3968</v>
      </c>
      <c r="O10" s="5" t="s">
        <v>3985</v>
      </c>
    </row>
    <row r="11" spans="1:15" x14ac:dyDescent="0.25">
      <c r="A11" s="9" t="s">
        <v>68</v>
      </c>
      <c r="B11" s="9" t="s">
        <v>347</v>
      </c>
      <c r="C11" s="5" t="s">
        <v>1838</v>
      </c>
      <c r="D11" s="5" t="s">
        <v>387</v>
      </c>
      <c r="E11" s="5" t="s">
        <v>406</v>
      </c>
      <c r="F11" s="5" t="s">
        <v>424</v>
      </c>
      <c r="G11" s="5" t="s">
        <v>442</v>
      </c>
      <c r="H11" s="5" t="s">
        <v>460</v>
      </c>
      <c r="I11" s="5" t="s">
        <v>476</v>
      </c>
      <c r="J11" s="5" t="s">
        <v>2319</v>
      </c>
      <c r="K11" s="5" t="s">
        <v>2343</v>
      </c>
      <c r="L11" s="5" t="s">
        <v>2367</v>
      </c>
      <c r="M11" s="5" t="s">
        <v>2392</v>
      </c>
      <c r="N11" s="5" t="s">
        <v>3969</v>
      </c>
      <c r="O11" s="5" t="s">
        <v>3986</v>
      </c>
    </row>
    <row r="12" spans="1:15" x14ac:dyDescent="0.25">
      <c r="A12" s="9" t="s">
        <v>72</v>
      </c>
      <c r="B12" s="9" t="s">
        <v>348</v>
      </c>
      <c r="C12" s="5" t="s">
        <v>366</v>
      </c>
      <c r="D12" s="5" t="s">
        <v>388</v>
      </c>
      <c r="E12" s="5" t="s">
        <v>407</v>
      </c>
      <c r="F12" s="5" t="s">
        <v>425</v>
      </c>
      <c r="G12" s="5" t="s">
        <v>443</v>
      </c>
      <c r="H12" s="5" t="s">
        <v>461</v>
      </c>
      <c r="I12" s="5" t="s">
        <v>477</v>
      </c>
      <c r="J12" s="5" t="s">
        <v>2320</v>
      </c>
      <c r="K12" s="5" t="s">
        <v>2344</v>
      </c>
      <c r="L12" s="5" t="s">
        <v>2368</v>
      </c>
      <c r="M12" s="5" t="s">
        <v>2393</v>
      </c>
      <c r="N12" s="5" t="s">
        <v>3607</v>
      </c>
      <c r="O12" s="5" t="s">
        <v>3987</v>
      </c>
    </row>
    <row r="13" spans="1:15" x14ac:dyDescent="0.25">
      <c r="A13" s="9" t="s">
        <v>69</v>
      </c>
      <c r="B13" s="9" t="s">
        <v>350</v>
      </c>
      <c r="C13" s="5" t="s">
        <v>367</v>
      </c>
      <c r="D13" s="5" t="s">
        <v>389</v>
      </c>
      <c r="E13" s="5" t="s">
        <v>408</v>
      </c>
      <c r="F13" s="5" t="s">
        <v>426</v>
      </c>
      <c r="G13" s="5" t="s">
        <v>444</v>
      </c>
      <c r="H13" s="5" t="s">
        <v>462</v>
      </c>
      <c r="I13" s="5" t="s">
        <v>478</v>
      </c>
      <c r="J13" s="5" t="s">
        <v>2321</v>
      </c>
      <c r="K13" s="5" t="s">
        <v>2345</v>
      </c>
      <c r="L13" s="5" t="s">
        <v>2369</v>
      </c>
      <c r="M13" s="5" t="s">
        <v>2394</v>
      </c>
      <c r="N13" s="5" t="s">
        <v>3970</v>
      </c>
      <c r="O13" s="5" t="s">
        <v>3988</v>
      </c>
    </row>
    <row r="14" spans="1:15" x14ac:dyDescent="0.25">
      <c r="A14" s="9" t="s">
        <v>71</v>
      </c>
      <c r="B14" s="9" t="s">
        <v>349</v>
      </c>
      <c r="C14" s="5" t="s">
        <v>368</v>
      </c>
      <c r="D14" s="5" t="s">
        <v>390</v>
      </c>
      <c r="E14" s="5" t="s">
        <v>409</v>
      </c>
      <c r="F14" s="5" t="s">
        <v>427</v>
      </c>
      <c r="G14" s="5" t="s">
        <v>445</v>
      </c>
      <c r="H14" s="5" t="s">
        <v>463</v>
      </c>
      <c r="I14" s="5" t="s">
        <v>479</v>
      </c>
      <c r="J14" s="5" t="s">
        <v>2322</v>
      </c>
      <c r="K14" s="5" t="s">
        <v>2346</v>
      </c>
      <c r="L14" s="5" t="s">
        <v>2370</v>
      </c>
      <c r="M14" s="5" t="s">
        <v>2395</v>
      </c>
      <c r="N14" s="5" t="s">
        <v>3971</v>
      </c>
      <c r="O14" s="5" t="s">
        <v>3989</v>
      </c>
    </row>
    <row r="15" spans="1:15" x14ac:dyDescent="0.25">
      <c r="A15" s="9" t="s">
        <v>75</v>
      </c>
      <c r="B15" s="9" t="s">
        <v>351</v>
      </c>
      <c r="C15" s="5" t="s">
        <v>369</v>
      </c>
      <c r="D15" s="5" t="s">
        <v>391</v>
      </c>
      <c r="E15" s="5" t="s">
        <v>410</v>
      </c>
      <c r="F15" s="5" t="s">
        <v>351</v>
      </c>
      <c r="G15" s="5" t="s">
        <v>446</v>
      </c>
      <c r="H15" s="5" t="s">
        <v>464</v>
      </c>
      <c r="I15" s="5" t="s">
        <v>480</v>
      </c>
      <c r="J15" s="5" t="s">
        <v>2323</v>
      </c>
      <c r="K15" s="5" t="s">
        <v>2347</v>
      </c>
      <c r="L15" s="5" t="s">
        <v>2371</v>
      </c>
      <c r="M15" s="5" t="s">
        <v>2396</v>
      </c>
      <c r="N15" s="5" t="s">
        <v>3609</v>
      </c>
      <c r="O15" s="5" t="s">
        <v>3510</v>
      </c>
    </row>
    <row r="16" spans="1:15" x14ac:dyDescent="0.25">
      <c r="A16" s="9" t="s">
        <v>73</v>
      </c>
      <c r="B16" s="9" t="s">
        <v>355</v>
      </c>
      <c r="C16" s="5" t="s">
        <v>376</v>
      </c>
      <c r="D16" s="5" t="s">
        <v>392</v>
      </c>
      <c r="E16" s="5" t="s">
        <v>411</v>
      </c>
      <c r="F16" s="5" t="s">
        <v>428</v>
      </c>
      <c r="G16" s="5" t="s">
        <v>447</v>
      </c>
      <c r="H16" s="5" t="s">
        <v>465</v>
      </c>
      <c r="I16" s="5" t="s">
        <v>481</v>
      </c>
      <c r="J16" s="5" t="s">
        <v>2324</v>
      </c>
      <c r="K16" s="5" t="s">
        <v>2348</v>
      </c>
      <c r="L16" s="5" t="s">
        <v>2372</v>
      </c>
      <c r="M16" s="5" t="s">
        <v>2397</v>
      </c>
      <c r="N16" s="5" t="s">
        <v>3972</v>
      </c>
      <c r="O16" s="5" t="s">
        <v>3990</v>
      </c>
    </row>
    <row r="17" spans="1:15" x14ac:dyDescent="0.25">
      <c r="A17" s="9" t="s">
        <v>78</v>
      </c>
      <c r="B17" s="9" t="s">
        <v>353</v>
      </c>
      <c r="C17" s="5" t="s">
        <v>370</v>
      </c>
      <c r="D17" s="5" t="s">
        <v>393</v>
      </c>
      <c r="E17" s="5" t="s">
        <v>412</v>
      </c>
      <c r="F17" s="5" t="s">
        <v>352</v>
      </c>
      <c r="G17" s="5" t="s">
        <v>448</v>
      </c>
      <c r="H17" s="5" t="s">
        <v>466</v>
      </c>
      <c r="I17" s="5" t="s">
        <v>482</v>
      </c>
      <c r="J17" s="5" t="s">
        <v>2325</v>
      </c>
      <c r="K17" s="5" t="s">
        <v>2349</v>
      </c>
      <c r="L17" s="5" t="s">
        <v>2373</v>
      </c>
      <c r="M17" s="5" t="s">
        <v>2398</v>
      </c>
      <c r="N17" s="5" t="s">
        <v>3612</v>
      </c>
      <c r="O17" s="5" t="s">
        <v>2325</v>
      </c>
    </row>
    <row r="18" spans="1:15" x14ac:dyDescent="0.25">
      <c r="A18" s="9" t="s">
        <v>74</v>
      </c>
      <c r="B18" s="9" t="s">
        <v>354</v>
      </c>
      <c r="C18" s="5" t="s">
        <v>377</v>
      </c>
      <c r="D18" s="5" t="s">
        <v>394</v>
      </c>
      <c r="E18" s="5" t="s">
        <v>413</v>
      </c>
      <c r="F18" s="5" t="s">
        <v>429</v>
      </c>
      <c r="G18" s="5" t="s">
        <v>449</v>
      </c>
      <c r="H18" s="5" t="s">
        <v>467</v>
      </c>
      <c r="I18" s="5" t="s">
        <v>483</v>
      </c>
      <c r="J18" s="5" t="s">
        <v>2326</v>
      </c>
      <c r="K18" s="5" t="s">
        <v>2350</v>
      </c>
      <c r="L18" s="5" t="s">
        <v>2374</v>
      </c>
      <c r="M18" s="5" t="s">
        <v>2399</v>
      </c>
      <c r="N18" s="5" t="s">
        <v>3973</v>
      </c>
      <c r="O18" s="5" t="s">
        <v>3991</v>
      </c>
    </row>
    <row r="19" spans="1:15" x14ac:dyDescent="0.25">
      <c r="A19" s="9" t="s">
        <v>76</v>
      </c>
      <c r="B19" s="9" t="s">
        <v>4087</v>
      </c>
      <c r="C19" s="5" t="s">
        <v>4089</v>
      </c>
      <c r="D19" s="5" t="s">
        <v>4090</v>
      </c>
      <c r="E19" s="5" t="s">
        <v>4091</v>
      </c>
      <c r="F19" s="5" t="s">
        <v>4092</v>
      </c>
      <c r="G19" s="5" t="s">
        <v>4093</v>
      </c>
      <c r="H19" s="5" t="s">
        <v>4094</v>
      </c>
      <c r="I19" s="5" t="s">
        <v>4095</v>
      </c>
      <c r="J19" s="5" t="s">
        <v>4096</v>
      </c>
      <c r="K19" s="5" t="s">
        <v>4097</v>
      </c>
      <c r="L19" s="5" t="s">
        <v>4098</v>
      </c>
      <c r="M19" s="5" t="s">
        <v>4099</v>
      </c>
      <c r="N19" s="5" t="s">
        <v>4100</v>
      </c>
      <c r="O19" s="5" t="s">
        <v>4101</v>
      </c>
    </row>
    <row r="20" spans="1:15" x14ac:dyDescent="0.25">
      <c r="A20" s="9" t="s">
        <v>356</v>
      </c>
      <c r="B20" s="9" t="s">
        <v>357</v>
      </c>
      <c r="C20" s="5" t="s">
        <v>371</v>
      </c>
      <c r="D20" s="5" t="s">
        <v>395</v>
      </c>
      <c r="E20" s="5" t="s">
        <v>414</v>
      </c>
      <c r="F20" s="5" t="s">
        <v>430</v>
      </c>
      <c r="G20" s="5" t="s">
        <v>450</v>
      </c>
      <c r="H20" s="5" t="s">
        <v>357</v>
      </c>
      <c r="I20" s="5" t="s">
        <v>484</v>
      </c>
      <c r="J20" s="5" t="s">
        <v>2327</v>
      </c>
      <c r="K20" s="5" t="s">
        <v>2351</v>
      </c>
      <c r="L20" s="5" t="s">
        <v>2375</v>
      </c>
      <c r="M20" s="5" t="s">
        <v>357</v>
      </c>
      <c r="N20" s="5" t="s">
        <v>3974</v>
      </c>
      <c r="O20" s="5" t="s">
        <v>3992</v>
      </c>
    </row>
    <row r="21" spans="1:15" x14ac:dyDescent="0.25">
      <c r="A21" s="9" t="s">
        <v>77</v>
      </c>
      <c r="B21" s="9" t="s">
        <v>360</v>
      </c>
      <c r="C21" s="5" t="s">
        <v>378</v>
      </c>
      <c r="D21" s="5" t="s">
        <v>396</v>
      </c>
      <c r="E21" s="5" t="s">
        <v>415</v>
      </c>
      <c r="F21" s="5" t="s">
        <v>431</v>
      </c>
      <c r="G21" s="5" t="s">
        <v>451</v>
      </c>
      <c r="H21" s="5" t="s">
        <v>360</v>
      </c>
      <c r="I21" s="5" t="s">
        <v>485</v>
      </c>
      <c r="J21" s="5" t="s">
        <v>2328</v>
      </c>
      <c r="K21" s="5" t="s">
        <v>2352</v>
      </c>
      <c r="L21" s="5" t="s">
        <v>2376</v>
      </c>
      <c r="M21" s="5" t="s">
        <v>2400</v>
      </c>
      <c r="N21" s="5" t="s">
        <v>3975</v>
      </c>
      <c r="O21" s="5" t="s">
        <v>3993</v>
      </c>
    </row>
    <row r="22" spans="1:15" x14ac:dyDescent="0.25">
      <c r="A22" s="9" t="s">
        <v>85</v>
      </c>
      <c r="B22" s="9" t="s">
        <v>361</v>
      </c>
      <c r="C22" s="5" t="s">
        <v>372</v>
      </c>
      <c r="D22" s="5" t="s">
        <v>397</v>
      </c>
      <c r="E22" s="5" t="s">
        <v>416</v>
      </c>
      <c r="F22" s="5" t="s">
        <v>432</v>
      </c>
      <c r="G22" s="5" t="s">
        <v>452</v>
      </c>
      <c r="H22" s="5" t="s">
        <v>468</v>
      </c>
      <c r="I22" s="5" t="s">
        <v>486</v>
      </c>
      <c r="J22" s="5" t="s">
        <v>2329</v>
      </c>
      <c r="K22" s="5" t="s">
        <v>2353</v>
      </c>
      <c r="L22" s="5" t="s">
        <v>2377</v>
      </c>
      <c r="M22" s="5" t="s">
        <v>2401</v>
      </c>
      <c r="N22" s="5" t="s">
        <v>3976</v>
      </c>
      <c r="O22" s="5" t="s">
        <v>3994</v>
      </c>
    </row>
    <row r="23" spans="1:15" x14ac:dyDescent="0.25">
      <c r="A23" s="9" t="s">
        <v>86</v>
      </c>
      <c r="B23" s="9" t="s">
        <v>359</v>
      </c>
      <c r="C23" s="5" t="s">
        <v>373</v>
      </c>
      <c r="D23" s="5" t="s">
        <v>398</v>
      </c>
      <c r="E23" s="5" t="s">
        <v>417</v>
      </c>
      <c r="F23" s="5" t="s">
        <v>433</v>
      </c>
      <c r="G23" s="5" t="s">
        <v>453</v>
      </c>
      <c r="H23" s="5" t="s">
        <v>469</v>
      </c>
      <c r="I23" s="5" t="s">
        <v>487</v>
      </c>
      <c r="J23" s="5" t="s">
        <v>2330</v>
      </c>
      <c r="K23" s="5" t="s">
        <v>2354</v>
      </c>
      <c r="L23" s="5" t="s">
        <v>2378</v>
      </c>
      <c r="M23" s="5" t="s">
        <v>2402</v>
      </c>
      <c r="N23" s="5" t="s">
        <v>3977</v>
      </c>
      <c r="O23" s="5" t="s">
        <v>3995</v>
      </c>
    </row>
    <row r="24" spans="1:15" x14ac:dyDescent="0.25">
      <c r="A24" s="9" t="s">
        <v>358</v>
      </c>
      <c r="B24" s="9" t="s">
        <v>79</v>
      </c>
      <c r="C24" s="5" t="s">
        <v>80</v>
      </c>
      <c r="D24" s="5" t="s">
        <v>81</v>
      </c>
      <c r="E24" s="5" t="s">
        <v>79</v>
      </c>
      <c r="F24" s="5" t="s">
        <v>79</v>
      </c>
      <c r="G24" s="5" t="s">
        <v>82</v>
      </c>
      <c r="H24" s="5" t="s">
        <v>83</v>
      </c>
      <c r="I24" s="5" t="s">
        <v>84</v>
      </c>
      <c r="J24" s="5" t="s">
        <v>79</v>
      </c>
      <c r="K24" s="5" t="s">
        <v>84</v>
      </c>
      <c r="L24" s="5" t="s">
        <v>2379</v>
      </c>
      <c r="M24" s="5" t="s">
        <v>2403</v>
      </c>
      <c r="N24" s="5" t="s">
        <v>3978</v>
      </c>
      <c r="O24" s="5" t="s">
        <v>3996</v>
      </c>
    </row>
    <row r="25" spans="1:15" x14ac:dyDescent="0.25">
      <c r="A25" s="9" t="s">
        <v>94</v>
      </c>
      <c r="B25" s="9" t="s">
        <v>119</v>
      </c>
      <c r="C25" s="5" t="s">
        <v>120</v>
      </c>
      <c r="D25" s="5" t="s">
        <v>121</v>
      </c>
      <c r="E25" s="5" t="s">
        <v>122</v>
      </c>
      <c r="F25" s="5" t="s">
        <v>123</v>
      </c>
      <c r="G25" s="5" t="s">
        <v>124</v>
      </c>
      <c r="H25" s="5" t="s">
        <v>125</v>
      </c>
      <c r="I25" s="5" t="s">
        <v>126</v>
      </c>
      <c r="J25" s="5" t="s">
        <v>2331</v>
      </c>
      <c r="K25" s="5" t="s">
        <v>2355</v>
      </c>
      <c r="L25" s="5" t="s">
        <v>2380</v>
      </c>
      <c r="M25" s="5" t="s">
        <v>2404</v>
      </c>
      <c r="N25" s="5" t="s">
        <v>3979</v>
      </c>
      <c r="O25" s="5" t="s">
        <v>3997</v>
      </c>
    </row>
    <row r="26" spans="1:15" x14ac:dyDescent="0.25">
      <c r="A26" s="9" t="s">
        <v>362</v>
      </c>
      <c r="B26" s="9" t="s">
        <v>87</v>
      </c>
      <c r="C26" s="5" t="s">
        <v>374</v>
      </c>
      <c r="D26" s="5" t="s">
        <v>88</v>
      </c>
      <c r="E26" s="5" t="s">
        <v>89</v>
      </c>
      <c r="F26" s="5" t="s">
        <v>90</v>
      </c>
      <c r="G26" s="5" t="s">
        <v>91</v>
      </c>
      <c r="H26" s="5" t="s">
        <v>92</v>
      </c>
      <c r="I26" s="5" t="s">
        <v>93</v>
      </c>
      <c r="J26" s="5" t="s">
        <v>2332</v>
      </c>
      <c r="K26" s="5" t="s">
        <v>2356</v>
      </c>
      <c r="L26" s="5" t="s">
        <v>2381</v>
      </c>
      <c r="M26" s="5" t="s">
        <v>2405</v>
      </c>
      <c r="N26" s="5" t="s">
        <v>3943</v>
      </c>
      <c r="O26" s="5" t="s">
        <v>3908</v>
      </c>
    </row>
    <row r="27" spans="1:15" x14ac:dyDescent="0.25">
      <c r="A27" s="9" t="s">
        <v>4088</v>
      </c>
      <c r="B27" s="9" t="s">
        <v>95</v>
      </c>
      <c r="C27" s="5" t="s">
        <v>96</v>
      </c>
      <c r="D27" s="5" t="s">
        <v>97</v>
      </c>
      <c r="E27" s="5" t="s">
        <v>98</v>
      </c>
      <c r="F27" s="5" t="s">
        <v>434</v>
      </c>
      <c r="G27" s="5" t="s">
        <v>99</v>
      </c>
      <c r="H27" s="5" t="s">
        <v>100</v>
      </c>
      <c r="I27" s="5" t="s">
        <v>101</v>
      </c>
      <c r="J27" s="5" t="s">
        <v>2333</v>
      </c>
      <c r="K27" s="5" t="s">
        <v>2357</v>
      </c>
      <c r="L27" s="5" t="s">
        <v>2382</v>
      </c>
      <c r="M27" s="5" t="s">
        <v>2406</v>
      </c>
      <c r="N27" s="5" t="s">
        <v>3620</v>
      </c>
      <c r="O27" s="5" t="s">
        <v>3520</v>
      </c>
    </row>
  </sheetData>
  <dataValidations count="1">
    <dataValidation type="list" allowBlank="1" showInputMessage="1" showErrorMessage="1" sqref="B1" xr:uid="{00000000-0002-0000-0200-000000000000}">
      <formula1>$B$1:$D$1</formula1>
    </dataValidation>
  </dataValidation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XFA292"/>
  <sheetViews>
    <sheetView topLeftCell="A265" zoomScaleNormal="100" workbookViewId="0">
      <selection activeCell="B291" sqref="B291"/>
    </sheetView>
  </sheetViews>
  <sheetFormatPr defaultColWidth="65.7109375" defaultRowHeight="15" x14ac:dyDescent="0.25"/>
  <sheetData>
    <row r="1" spans="1:16381" ht="15.75" thickBot="1" x14ac:dyDescent="0.3">
      <c r="A1" s="7" t="s">
        <v>37</v>
      </c>
      <c r="B1" s="8" t="s">
        <v>38</v>
      </c>
      <c r="C1" s="8" t="s">
        <v>39</v>
      </c>
      <c r="D1" s="8" t="s">
        <v>40</v>
      </c>
      <c r="E1" s="8" t="s">
        <v>41</v>
      </c>
      <c r="F1" s="8" t="s">
        <v>42</v>
      </c>
      <c r="G1" s="8" t="s">
        <v>43</v>
      </c>
      <c r="H1" s="8" t="s">
        <v>44</v>
      </c>
      <c r="I1" s="8" t="s">
        <v>2300</v>
      </c>
      <c r="J1" s="8" t="s">
        <v>2301</v>
      </c>
      <c r="K1" s="8" t="s">
        <v>2302</v>
      </c>
      <c r="L1" s="8" t="s">
        <v>2303</v>
      </c>
      <c r="M1" s="8" t="s">
        <v>3463</v>
      </c>
      <c r="N1" s="8" t="s">
        <v>3464</v>
      </c>
    </row>
    <row r="2" spans="1:16381" x14ac:dyDescent="0.25">
      <c r="A2" s="9" t="s">
        <v>1882</v>
      </c>
      <c r="B2" s="5" t="s">
        <v>1925</v>
      </c>
      <c r="C2" s="5" t="s">
        <v>1968</v>
      </c>
      <c r="D2" s="5" t="s">
        <v>2013</v>
      </c>
      <c r="E2" s="5" t="s">
        <v>2058</v>
      </c>
      <c r="F2" s="5" t="s">
        <v>2103</v>
      </c>
      <c r="G2" s="5" t="s">
        <v>2147</v>
      </c>
      <c r="H2" s="5" t="s">
        <v>2192</v>
      </c>
      <c r="I2" s="5" t="s">
        <v>2719</v>
      </c>
      <c r="J2" s="5" t="s">
        <v>2616</v>
      </c>
      <c r="K2" s="5" t="s">
        <v>2511</v>
      </c>
      <c r="L2" s="5" t="s">
        <v>3559</v>
      </c>
      <c r="M2" s="5" t="s">
        <v>3561</v>
      </c>
      <c r="N2" s="5" t="s">
        <v>3560</v>
      </c>
    </row>
    <row r="3" spans="1:16381" x14ac:dyDescent="0.25">
      <c r="A3" s="9" t="s">
        <v>1866</v>
      </c>
      <c r="B3" s="5" t="s">
        <v>1910</v>
      </c>
      <c r="C3" s="5" t="s">
        <v>1952</v>
      </c>
      <c r="D3" s="5" t="s">
        <v>1997</v>
      </c>
      <c r="E3" s="5" t="s">
        <v>2042</v>
      </c>
      <c r="F3" s="5" t="s">
        <v>2087</v>
      </c>
      <c r="G3" s="5" t="s">
        <v>2131</v>
      </c>
      <c r="H3" s="5" t="s">
        <v>2176</v>
      </c>
      <c r="I3" s="5" t="s">
        <v>2720</v>
      </c>
      <c r="J3" s="5" t="s">
        <v>2617</v>
      </c>
      <c r="K3" s="5" t="s">
        <v>2512</v>
      </c>
      <c r="L3" s="5" t="s">
        <v>2407</v>
      </c>
      <c r="M3" s="5" t="s">
        <v>3562</v>
      </c>
      <c r="N3" s="5" t="s">
        <v>3465</v>
      </c>
    </row>
    <row r="4" spans="1:16381" x14ac:dyDescent="0.25">
      <c r="A4" s="9" t="s">
        <v>1865</v>
      </c>
      <c r="B4" s="5" t="s">
        <v>1909</v>
      </c>
      <c r="C4" s="5" t="s">
        <v>1951</v>
      </c>
      <c r="D4" s="5" t="s">
        <v>1996</v>
      </c>
      <c r="E4" s="5" t="s">
        <v>2041</v>
      </c>
      <c r="F4" s="5" t="s">
        <v>2086</v>
      </c>
      <c r="G4" s="5" t="s">
        <v>2130</v>
      </c>
      <c r="H4" s="5" t="s">
        <v>2175</v>
      </c>
      <c r="I4" s="5" t="s">
        <v>2721</v>
      </c>
      <c r="J4" s="5" t="s">
        <v>2618</v>
      </c>
      <c r="K4" s="5" t="s">
        <v>2513</v>
      </c>
      <c r="L4" s="5" t="s">
        <v>2408</v>
      </c>
      <c r="M4" s="5" t="s">
        <v>3563</v>
      </c>
      <c r="N4" s="5" t="s">
        <v>3466</v>
      </c>
    </row>
    <row r="5" spans="1:16381" x14ac:dyDescent="0.25">
      <c r="A5" s="9" t="s">
        <v>2207</v>
      </c>
      <c r="B5" s="5" t="s">
        <v>2280</v>
      </c>
      <c r="C5" s="5" t="s">
        <v>2222</v>
      </c>
      <c r="D5" s="5" t="s">
        <v>2229</v>
      </c>
      <c r="E5" s="5" t="s">
        <v>2236</v>
      </c>
      <c r="F5" s="5" t="s">
        <v>2243</v>
      </c>
      <c r="G5" s="5" t="s">
        <v>2250</v>
      </c>
      <c r="H5" s="5" t="s">
        <v>2257</v>
      </c>
      <c r="I5" s="5" t="s">
        <v>2722</v>
      </c>
      <c r="J5" s="5" t="s">
        <v>2619</v>
      </c>
      <c r="K5" s="5" t="s">
        <v>2514</v>
      </c>
      <c r="L5" s="5" t="s">
        <v>2409</v>
      </c>
      <c r="M5" s="5" t="s">
        <v>3564</v>
      </c>
      <c r="N5" s="5" t="s">
        <v>2722</v>
      </c>
    </row>
    <row r="6" spans="1:16381" x14ac:dyDescent="0.25">
      <c r="A6" s="9" t="s">
        <v>1877</v>
      </c>
      <c r="B6" s="5" t="s">
        <v>1920</v>
      </c>
      <c r="C6" s="5" t="s">
        <v>1963</v>
      </c>
      <c r="D6" s="5" t="s">
        <v>2008</v>
      </c>
      <c r="E6" s="5" t="s">
        <v>2053</v>
      </c>
      <c r="F6" s="5" t="s">
        <v>2098</v>
      </c>
      <c r="G6" s="5" t="s">
        <v>2142</v>
      </c>
      <c r="H6" s="5" t="s">
        <v>2187</v>
      </c>
      <c r="I6" s="5" t="s">
        <v>2723</v>
      </c>
      <c r="J6" s="5" t="s">
        <v>2620</v>
      </c>
      <c r="K6" s="5" t="s">
        <v>2515</v>
      </c>
      <c r="L6" s="5" t="s">
        <v>2410</v>
      </c>
      <c r="M6" s="5" t="s">
        <v>3565</v>
      </c>
      <c r="N6" s="5" t="s">
        <v>3467</v>
      </c>
    </row>
    <row r="7" spans="1:16381" x14ac:dyDescent="0.25">
      <c r="A7" s="9" t="s">
        <v>1871</v>
      </c>
      <c r="B7" s="5" t="s">
        <v>1915</v>
      </c>
      <c r="C7" s="5" t="s">
        <v>1957</v>
      </c>
      <c r="D7" s="5" t="s">
        <v>2002</v>
      </c>
      <c r="E7" s="5" t="s">
        <v>2047</v>
      </c>
      <c r="F7" s="5" t="s">
        <v>2092</v>
      </c>
      <c r="G7" s="5" t="s">
        <v>2136</v>
      </c>
      <c r="H7" s="5" t="s">
        <v>2181</v>
      </c>
      <c r="I7" s="5" t="s">
        <v>2724</v>
      </c>
      <c r="J7" s="5" t="s">
        <v>2621</v>
      </c>
      <c r="K7" s="5" t="s">
        <v>2516</v>
      </c>
      <c r="L7" s="5" t="s">
        <v>2411</v>
      </c>
      <c r="M7" s="5" t="s">
        <v>3566</v>
      </c>
      <c r="N7" s="5" t="s">
        <v>3468</v>
      </c>
    </row>
    <row r="8" spans="1:16381" x14ac:dyDescent="0.25">
      <c r="A8" s="9" t="s">
        <v>1870</v>
      </c>
      <c r="B8" s="5" t="s">
        <v>1914</v>
      </c>
      <c r="C8" s="5" t="s">
        <v>1956</v>
      </c>
      <c r="D8" s="5" t="s">
        <v>2001</v>
      </c>
      <c r="E8" s="5" t="s">
        <v>2046</v>
      </c>
      <c r="F8" s="5" t="s">
        <v>2091</v>
      </c>
      <c r="G8" s="5" t="s">
        <v>2135</v>
      </c>
      <c r="H8" s="5" t="s">
        <v>2180</v>
      </c>
      <c r="I8" s="5" t="s">
        <v>2725</v>
      </c>
      <c r="J8" s="5" t="s">
        <v>2622</v>
      </c>
      <c r="K8" s="5" t="s">
        <v>2517</v>
      </c>
      <c r="L8" s="5" t="s">
        <v>2412</v>
      </c>
      <c r="M8" s="5" t="s">
        <v>3567</v>
      </c>
      <c r="N8" s="5" t="s">
        <v>3469</v>
      </c>
    </row>
    <row r="9" spans="1:16381" x14ac:dyDescent="0.25">
      <c r="A9" s="9" t="s">
        <v>1869</v>
      </c>
      <c r="B9" s="5" t="s">
        <v>1913</v>
      </c>
      <c r="C9" s="5" t="s">
        <v>1955</v>
      </c>
      <c r="D9" s="5" t="s">
        <v>2000</v>
      </c>
      <c r="E9" s="5" t="s">
        <v>2045</v>
      </c>
      <c r="F9" s="5" t="s">
        <v>2090</v>
      </c>
      <c r="G9" s="5" t="s">
        <v>2134</v>
      </c>
      <c r="H9" s="5" t="s">
        <v>2179</v>
      </c>
      <c r="I9" s="5" t="s">
        <v>2726</v>
      </c>
      <c r="J9" s="5" t="s">
        <v>2623</v>
      </c>
      <c r="K9" s="5" t="s">
        <v>2518</v>
      </c>
      <c r="L9" s="5" t="s">
        <v>2413</v>
      </c>
      <c r="M9" s="5" t="s">
        <v>3568</v>
      </c>
      <c r="N9" s="5" t="s">
        <v>3470</v>
      </c>
    </row>
    <row r="10" spans="1:16381" x14ac:dyDescent="0.25">
      <c r="A10" s="9" t="s">
        <v>1876</v>
      </c>
      <c r="B10" s="5" t="s">
        <v>2282</v>
      </c>
      <c r="C10" s="5" t="s">
        <v>1962</v>
      </c>
      <c r="D10" s="5" t="s">
        <v>2007</v>
      </c>
      <c r="E10" s="5" t="s">
        <v>2052</v>
      </c>
      <c r="F10" s="5" t="s">
        <v>2097</v>
      </c>
      <c r="G10" s="5" t="s">
        <v>2141</v>
      </c>
      <c r="H10" s="5" t="s">
        <v>2186</v>
      </c>
      <c r="I10" s="5" t="s">
        <v>2727</v>
      </c>
      <c r="J10" s="5" t="s">
        <v>2624</v>
      </c>
      <c r="K10" s="5" t="s">
        <v>2519</v>
      </c>
      <c r="L10" s="5" t="s">
        <v>2414</v>
      </c>
      <c r="M10" s="5" t="s">
        <v>3569</v>
      </c>
      <c r="N10" s="5" t="s">
        <v>3471</v>
      </c>
    </row>
    <row r="11" spans="1:16381" x14ac:dyDescent="0.25">
      <c r="A11" s="9" t="s">
        <v>488</v>
      </c>
      <c r="B11" s="5" t="s">
        <v>634</v>
      </c>
      <c r="C11" s="5" t="s">
        <v>712</v>
      </c>
      <c r="D11" s="5" t="s">
        <v>803</v>
      </c>
      <c r="E11" s="5" t="s">
        <v>894</v>
      </c>
      <c r="F11" s="5" t="s">
        <v>982</v>
      </c>
      <c r="G11" s="5" t="s">
        <v>1072</v>
      </c>
      <c r="H11" s="5" t="s">
        <v>1152</v>
      </c>
      <c r="I11" s="5" t="s">
        <v>2728</v>
      </c>
      <c r="J11" s="5" t="s">
        <v>2625</v>
      </c>
      <c r="K11" s="5" t="s">
        <v>2520</v>
      </c>
      <c r="L11" s="5" t="s">
        <v>2415</v>
      </c>
      <c r="M11" s="5" t="s">
        <v>3570</v>
      </c>
      <c r="N11" s="5" t="s">
        <v>3472</v>
      </c>
    </row>
    <row r="12" spans="1:16381" x14ac:dyDescent="0.25">
      <c r="A12" s="9" t="s">
        <v>1881</v>
      </c>
      <c r="B12" s="5" t="s">
        <v>1924</v>
      </c>
      <c r="C12" s="5" t="s">
        <v>1967</v>
      </c>
      <c r="D12" s="5" t="s">
        <v>2012</v>
      </c>
      <c r="E12" s="5" t="s">
        <v>2057</v>
      </c>
      <c r="F12" s="5" t="s">
        <v>2102</v>
      </c>
      <c r="G12" s="5" t="s">
        <v>2146</v>
      </c>
      <c r="H12" s="5" t="s">
        <v>2191</v>
      </c>
      <c r="I12" s="5" t="s">
        <v>2729</v>
      </c>
      <c r="J12" s="5" t="s">
        <v>2626</v>
      </c>
      <c r="K12" s="5" t="s">
        <v>2521</v>
      </c>
      <c r="L12" s="5" t="s">
        <v>2416</v>
      </c>
      <c r="M12" s="5" t="s">
        <v>3571</v>
      </c>
      <c r="N12" s="5" t="s">
        <v>3473</v>
      </c>
      <c r="P12" s="11"/>
      <c r="Q12" s="10"/>
      <c r="T12" s="11"/>
      <c r="U12" s="10"/>
      <c r="X12" s="11"/>
      <c r="Y12" s="10"/>
      <c r="AB12" s="11"/>
      <c r="AC12" s="10"/>
      <c r="AF12" s="11"/>
      <c r="AG12" s="10"/>
      <c r="AJ12" s="11"/>
      <c r="AK12" s="10"/>
      <c r="AN12" s="11"/>
      <c r="AO12" s="10"/>
      <c r="AR12" s="11"/>
      <c r="AS12" s="10"/>
      <c r="AV12" s="11"/>
      <c r="AW12" s="10"/>
      <c r="AZ12" s="11"/>
      <c r="BA12" s="10"/>
      <c r="BD12" s="11"/>
      <c r="BE12" s="10"/>
      <c r="BH12" s="11"/>
      <c r="BI12" s="10"/>
      <c r="BL12" s="11"/>
      <c r="BM12" s="10"/>
      <c r="BP12" s="11"/>
      <c r="BQ12" s="10"/>
      <c r="BT12" s="11"/>
      <c r="BU12" s="10"/>
      <c r="BX12" s="11"/>
      <c r="BY12" s="10"/>
      <c r="CB12" s="11"/>
      <c r="CC12" s="10"/>
      <c r="CF12" s="11"/>
      <c r="CG12" s="10"/>
      <c r="CJ12" s="11"/>
      <c r="CK12" s="10"/>
      <c r="CN12" s="11"/>
      <c r="CO12" s="10"/>
      <c r="CR12" s="11"/>
      <c r="CS12" s="10"/>
      <c r="CV12" s="11"/>
      <c r="CW12" s="10"/>
      <c r="CZ12" s="11"/>
      <c r="DA12" s="10"/>
      <c r="DD12" s="11"/>
      <c r="DE12" s="10"/>
      <c r="DH12" s="11"/>
      <c r="DI12" s="10"/>
      <c r="DL12" s="11"/>
      <c r="DM12" s="10"/>
      <c r="DP12" s="11"/>
      <c r="DQ12" s="10"/>
      <c r="DT12" s="11"/>
      <c r="DU12" s="10"/>
      <c r="DX12" s="11"/>
      <c r="DY12" s="10"/>
      <c r="EB12" s="11"/>
      <c r="EC12" s="10"/>
      <c r="EF12" s="11"/>
      <c r="EG12" s="10"/>
      <c r="EJ12" s="11"/>
      <c r="EK12" s="10"/>
      <c r="EN12" s="11"/>
      <c r="EO12" s="10"/>
      <c r="ER12" s="11"/>
      <c r="ES12" s="10"/>
      <c r="EV12" s="11"/>
      <c r="EW12" s="10"/>
      <c r="EZ12" s="11"/>
      <c r="FA12" s="10"/>
      <c r="FD12" s="11"/>
      <c r="FE12" s="10"/>
      <c r="FH12" s="11"/>
      <c r="FI12" s="10"/>
      <c r="FL12" s="11"/>
      <c r="FM12" s="10"/>
      <c r="FP12" s="11"/>
      <c r="FQ12" s="10"/>
      <c r="FT12" s="11"/>
      <c r="FU12" s="10"/>
      <c r="FX12" s="11"/>
      <c r="FY12" s="10"/>
      <c r="GB12" s="11"/>
      <c r="GC12" s="10"/>
      <c r="GF12" s="11"/>
      <c r="GG12" s="10"/>
      <c r="GJ12" s="11"/>
      <c r="GK12" s="10"/>
      <c r="GN12" s="11"/>
      <c r="GO12" s="10"/>
      <c r="GR12" s="11"/>
      <c r="GS12" s="10"/>
      <c r="GV12" s="11"/>
      <c r="GW12" s="10"/>
      <c r="GZ12" s="11"/>
      <c r="HA12" s="10"/>
      <c r="HD12" s="11"/>
      <c r="HE12" s="10"/>
      <c r="HH12" s="11"/>
      <c r="HI12" s="10"/>
      <c r="HL12" s="11"/>
      <c r="HM12" s="10"/>
      <c r="HP12" s="11"/>
      <c r="HQ12" s="10"/>
      <c r="HT12" s="11"/>
      <c r="HU12" s="10"/>
      <c r="HX12" s="11"/>
      <c r="HY12" s="10"/>
      <c r="IB12" s="11"/>
      <c r="IC12" s="10"/>
      <c r="IF12" s="11"/>
      <c r="IG12" s="10"/>
      <c r="IJ12" s="11"/>
      <c r="IK12" s="10"/>
      <c r="IN12" s="11"/>
      <c r="IO12" s="10"/>
      <c r="IR12" s="11"/>
      <c r="IS12" s="10"/>
      <c r="IV12" s="11"/>
      <c r="IW12" s="10"/>
      <c r="IZ12" s="11"/>
      <c r="JA12" s="10"/>
      <c r="JD12" s="11"/>
      <c r="JE12" s="10"/>
      <c r="JH12" s="11"/>
      <c r="JI12" s="10"/>
      <c r="JL12" s="11"/>
      <c r="JM12" s="10"/>
      <c r="JP12" s="11"/>
      <c r="JQ12" s="10"/>
      <c r="JT12" s="11"/>
      <c r="JU12" s="10"/>
      <c r="JX12" s="11"/>
      <c r="JY12" s="10"/>
      <c r="KB12" s="11"/>
      <c r="KC12" s="10"/>
      <c r="KF12" s="11"/>
      <c r="KG12" s="10"/>
      <c r="KJ12" s="11"/>
      <c r="KK12" s="10"/>
      <c r="KN12" s="11"/>
      <c r="KO12" s="10"/>
      <c r="KR12" s="11"/>
      <c r="KS12" s="10"/>
      <c r="KV12" s="11"/>
      <c r="KW12" s="10"/>
      <c r="KZ12" s="11"/>
      <c r="LA12" s="10"/>
      <c r="LD12" s="11"/>
      <c r="LE12" s="10"/>
      <c r="LH12" s="11"/>
      <c r="LI12" s="10"/>
      <c r="LL12" s="11"/>
      <c r="LM12" s="10"/>
      <c r="LP12" s="11"/>
      <c r="LQ12" s="10"/>
      <c r="LT12" s="11"/>
      <c r="LU12" s="10"/>
      <c r="LX12" s="11"/>
      <c r="LY12" s="10"/>
      <c r="MB12" s="11"/>
      <c r="MC12" s="10"/>
      <c r="MF12" s="11"/>
      <c r="MG12" s="10"/>
      <c r="MJ12" s="11"/>
      <c r="MK12" s="10"/>
      <c r="MN12" s="11"/>
      <c r="MO12" s="10"/>
      <c r="MR12" s="11"/>
      <c r="MS12" s="10"/>
      <c r="MV12" s="11"/>
      <c r="MW12" s="10"/>
      <c r="MZ12" s="11"/>
      <c r="NA12" s="10"/>
      <c r="ND12" s="11"/>
      <c r="NE12" s="10"/>
      <c r="NH12" s="11"/>
      <c r="NI12" s="10"/>
      <c r="NL12" s="11"/>
      <c r="NM12" s="10"/>
      <c r="NP12" s="11"/>
      <c r="NQ12" s="10"/>
      <c r="NT12" s="11"/>
      <c r="NU12" s="10"/>
      <c r="NX12" s="11"/>
      <c r="NY12" s="10"/>
      <c r="OB12" s="11"/>
      <c r="OC12" s="10"/>
      <c r="OF12" s="11"/>
      <c r="OG12" s="10"/>
      <c r="OJ12" s="11"/>
      <c r="OK12" s="10"/>
      <c r="ON12" s="11"/>
      <c r="OO12" s="10"/>
      <c r="OR12" s="11"/>
      <c r="OS12" s="10"/>
      <c r="OV12" s="11"/>
      <c r="OW12" s="10"/>
      <c r="OZ12" s="11"/>
      <c r="PA12" s="10"/>
      <c r="PD12" s="11"/>
      <c r="PE12" s="10"/>
      <c r="PH12" s="11"/>
      <c r="PI12" s="10"/>
      <c r="PL12" s="11"/>
      <c r="PM12" s="10"/>
      <c r="PP12" s="11"/>
      <c r="PQ12" s="10"/>
      <c r="PT12" s="11"/>
      <c r="PU12" s="10"/>
      <c r="PX12" s="11"/>
      <c r="PY12" s="10"/>
      <c r="QB12" s="11"/>
      <c r="QC12" s="10"/>
      <c r="QF12" s="11"/>
      <c r="QG12" s="10"/>
      <c r="QJ12" s="11"/>
      <c r="QK12" s="10"/>
      <c r="QN12" s="11"/>
      <c r="QO12" s="10"/>
      <c r="QR12" s="11"/>
      <c r="QS12" s="10"/>
      <c r="QV12" s="11"/>
      <c r="QW12" s="10"/>
      <c r="QZ12" s="11"/>
      <c r="RA12" s="10"/>
      <c r="RD12" s="11"/>
      <c r="RE12" s="10"/>
      <c r="RH12" s="11"/>
      <c r="RI12" s="10"/>
      <c r="RL12" s="11"/>
      <c r="RM12" s="10"/>
      <c r="RP12" s="11"/>
      <c r="RQ12" s="10"/>
      <c r="RT12" s="11"/>
      <c r="RU12" s="10"/>
      <c r="RX12" s="11"/>
      <c r="RY12" s="10"/>
      <c r="SB12" s="11"/>
      <c r="SC12" s="10"/>
      <c r="SF12" s="11"/>
      <c r="SG12" s="10"/>
      <c r="SJ12" s="11"/>
      <c r="SK12" s="10"/>
      <c r="SN12" s="11"/>
      <c r="SO12" s="10"/>
      <c r="SR12" s="11"/>
      <c r="SS12" s="10"/>
      <c r="SV12" s="11"/>
      <c r="SW12" s="10"/>
      <c r="SZ12" s="11"/>
      <c r="TA12" s="10"/>
      <c r="TD12" s="11"/>
      <c r="TE12" s="10"/>
      <c r="TH12" s="11"/>
      <c r="TI12" s="10"/>
      <c r="TL12" s="11"/>
      <c r="TM12" s="10"/>
      <c r="TP12" s="11"/>
      <c r="TQ12" s="10"/>
      <c r="TT12" s="11"/>
      <c r="TU12" s="10"/>
      <c r="TX12" s="11"/>
      <c r="TY12" s="10"/>
      <c r="UB12" s="11"/>
      <c r="UC12" s="10"/>
      <c r="UF12" s="11"/>
      <c r="UG12" s="10"/>
      <c r="UJ12" s="11"/>
      <c r="UK12" s="10"/>
      <c r="UN12" s="11"/>
      <c r="UO12" s="10"/>
      <c r="UR12" s="11"/>
      <c r="US12" s="10"/>
      <c r="UV12" s="11"/>
      <c r="UW12" s="10"/>
      <c r="UZ12" s="11"/>
      <c r="VA12" s="10"/>
      <c r="VD12" s="11"/>
      <c r="VE12" s="10"/>
      <c r="VH12" s="11"/>
      <c r="VI12" s="10"/>
      <c r="VL12" s="11"/>
      <c r="VM12" s="10"/>
      <c r="VP12" s="11"/>
      <c r="VQ12" s="10"/>
      <c r="VT12" s="11"/>
      <c r="VU12" s="10"/>
      <c r="VX12" s="11"/>
      <c r="VY12" s="10"/>
      <c r="WB12" s="11"/>
      <c r="WC12" s="10"/>
      <c r="WF12" s="11"/>
      <c r="WG12" s="10"/>
      <c r="WJ12" s="11"/>
      <c r="WK12" s="10"/>
      <c r="WN12" s="11"/>
      <c r="WO12" s="10"/>
      <c r="WR12" s="11"/>
      <c r="WS12" s="10"/>
      <c r="WV12" s="11"/>
      <c r="WW12" s="10"/>
      <c r="WZ12" s="11"/>
      <c r="XA12" s="10"/>
      <c r="XD12" s="11"/>
      <c r="XE12" s="10"/>
      <c r="XH12" s="11"/>
      <c r="XI12" s="10"/>
      <c r="XL12" s="11"/>
      <c r="XM12" s="10"/>
      <c r="XP12" s="11"/>
      <c r="XQ12" s="10"/>
      <c r="XT12" s="11"/>
      <c r="XU12" s="10"/>
      <c r="XX12" s="11"/>
      <c r="XY12" s="10"/>
      <c r="YB12" s="11"/>
      <c r="YC12" s="10"/>
      <c r="YF12" s="11"/>
      <c r="YG12" s="10"/>
      <c r="YJ12" s="11"/>
      <c r="YK12" s="10"/>
      <c r="YN12" s="11"/>
      <c r="YO12" s="10"/>
      <c r="YR12" s="11"/>
      <c r="YS12" s="10"/>
      <c r="YV12" s="11"/>
      <c r="YW12" s="10"/>
      <c r="YZ12" s="11"/>
      <c r="ZA12" s="10"/>
      <c r="ZD12" s="11"/>
      <c r="ZE12" s="10"/>
      <c r="ZH12" s="11"/>
      <c r="ZI12" s="10"/>
      <c r="ZL12" s="11"/>
      <c r="ZM12" s="10"/>
      <c r="ZP12" s="11"/>
      <c r="ZQ12" s="10"/>
      <c r="ZT12" s="11"/>
      <c r="ZU12" s="10"/>
      <c r="ZX12" s="11"/>
      <c r="ZY12" s="10"/>
      <c r="AAB12" s="11"/>
      <c r="AAC12" s="10"/>
      <c r="AAF12" s="11"/>
      <c r="AAG12" s="10"/>
      <c r="AAJ12" s="11"/>
      <c r="AAK12" s="10"/>
      <c r="AAN12" s="11"/>
      <c r="AAO12" s="10"/>
      <c r="AAR12" s="11"/>
      <c r="AAS12" s="10"/>
      <c r="AAV12" s="11"/>
      <c r="AAW12" s="10"/>
      <c r="AAZ12" s="11"/>
      <c r="ABA12" s="10"/>
      <c r="ABD12" s="11"/>
      <c r="ABE12" s="10"/>
      <c r="ABH12" s="11"/>
      <c r="ABI12" s="10"/>
      <c r="ABL12" s="11"/>
      <c r="ABM12" s="10"/>
      <c r="ABP12" s="11"/>
      <c r="ABQ12" s="10"/>
      <c r="ABT12" s="11"/>
      <c r="ABU12" s="10"/>
      <c r="ABX12" s="11"/>
      <c r="ABY12" s="10"/>
      <c r="ACB12" s="11"/>
      <c r="ACC12" s="10"/>
      <c r="ACF12" s="11"/>
      <c r="ACG12" s="10"/>
      <c r="ACJ12" s="11"/>
      <c r="ACK12" s="10"/>
      <c r="ACN12" s="11"/>
      <c r="ACO12" s="10"/>
      <c r="ACR12" s="11"/>
      <c r="ACS12" s="10"/>
      <c r="ACV12" s="11"/>
      <c r="ACW12" s="10"/>
      <c r="ACZ12" s="11"/>
      <c r="ADA12" s="10"/>
      <c r="ADD12" s="11"/>
      <c r="ADE12" s="10"/>
      <c r="ADH12" s="11"/>
      <c r="ADI12" s="10"/>
      <c r="ADL12" s="11"/>
      <c r="ADM12" s="10"/>
      <c r="ADP12" s="11"/>
      <c r="ADQ12" s="10"/>
      <c r="ADT12" s="11"/>
      <c r="ADU12" s="10"/>
      <c r="ADX12" s="11"/>
      <c r="ADY12" s="10"/>
      <c r="AEB12" s="11"/>
      <c r="AEC12" s="10"/>
      <c r="AEF12" s="11"/>
      <c r="AEG12" s="10"/>
      <c r="AEJ12" s="11"/>
      <c r="AEK12" s="10"/>
      <c r="AEN12" s="11"/>
      <c r="AEO12" s="10"/>
      <c r="AER12" s="11"/>
      <c r="AES12" s="10"/>
      <c r="AEV12" s="11"/>
      <c r="AEW12" s="10"/>
      <c r="AEZ12" s="11"/>
      <c r="AFA12" s="10"/>
      <c r="AFD12" s="11"/>
      <c r="AFE12" s="10"/>
      <c r="AFH12" s="11"/>
      <c r="AFI12" s="10"/>
      <c r="AFL12" s="11"/>
      <c r="AFM12" s="10"/>
      <c r="AFP12" s="11"/>
      <c r="AFQ12" s="10"/>
      <c r="AFT12" s="11"/>
      <c r="AFU12" s="10"/>
      <c r="AFX12" s="11"/>
      <c r="AFY12" s="10"/>
      <c r="AGB12" s="11"/>
      <c r="AGC12" s="10"/>
      <c r="AGF12" s="11"/>
      <c r="AGG12" s="10"/>
      <c r="AGJ12" s="11"/>
      <c r="AGK12" s="10"/>
      <c r="AGN12" s="11"/>
      <c r="AGO12" s="10"/>
      <c r="AGR12" s="11"/>
      <c r="AGS12" s="10"/>
      <c r="AGV12" s="11"/>
      <c r="AGW12" s="10"/>
      <c r="AGZ12" s="11"/>
      <c r="AHA12" s="10"/>
      <c r="AHD12" s="11"/>
      <c r="AHE12" s="10"/>
      <c r="AHH12" s="11"/>
      <c r="AHI12" s="10"/>
      <c r="AHL12" s="11"/>
      <c r="AHM12" s="10"/>
      <c r="AHP12" s="11"/>
      <c r="AHQ12" s="10"/>
      <c r="AHT12" s="11"/>
      <c r="AHU12" s="10"/>
      <c r="AHX12" s="11"/>
      <c r="AHY12" s="10"/>
      <c r="AIB12" s="11"/>
      <c r="AIC12" s="10"/>
      <c r="AIF12" s="11"/>
      <c r="AIG12" s="10"/>
      <c r="AIJ12" s="11"/>
      <c r="AIK12" s="10"/>
      <c r="AIN12" s="11"/>
      <c r="AIO12" s="10"/>
      <c r="AIR12" s="11"/>
      <c r="AIS12" s="10"/>
      <c r="AIV12" s="11"/>
      <c r="AIW12" s="10"/>
      <c r="AIZ12" s="11"/>
      <c r="AJA12" s="10"/>
      <c r="AJD12" s="11"/>
      <c r="AJE12" s="10"/>
      <c r="AJH12" s="11"/>
      <c r="AJI12" s="10"/>
      <c r="AJL12" s="11"/>
      <c r="AJM12" s="10"/>
      <c r="AJP12" s="11"/>
      <c r="AJQ12" s="10"/>
      <c r="AJT12" s="11"/>
      <c r="AJU12" s="10"/>
      <c r="AJX12" s="11"/>
      <c r="AJY12" s="10"/>
      <c r="AKB12" s="11"/>
      <c r="AKC12" s="10"/>
      <c r="AKF12" s="11"/>
      <c r="AKG12" s="10"/>
      <c r="AKJ12" s="11"/>
      <c r="AKK12" s="10"/>
      <c r="AKN12" s="11"/>
      <c r="AKO12" s="10"/>
      <c r="AKR12" s="11"/>
      <c r="AKS12" s="10"/>
      <c r="AKV12" s="11"/>
      <c r="AKW12" s="10"/>
      <c r="AKZ12" s="11"/>
      <c r="ALA12" s="10"/>
      <c r="ALD12" s="11"/>
      <c r="ALE12" s="10"/>
      <c r="ALH12" s="11"/>
      <c r="ALI12" s="10"/>
      <c r="ALL12" s="11"/>
      <c r="ALM12" s="10"/>
      <c r="ALP12" s="11"/>
      <c r="ALQ12" s="10"/>
      <c r="ALT12" s="11"/>
      <c r="ALU12" s="10"/>
      <c r="ALX12" s="11"/>
      <c r="ALY12" s="10"/>
      <c r="AMB12" s="11"/>
      <c r="AMC12" s="10"/>
      <c r="AMF12" s="11"/>
      <c r="AMG12" s="10"/>
      <c r="AMJ12" s="11"/>
      <c r="AMK12" s="10"/>
      <c r="AMN12" s="11"/>
      <c r="AMO12" s="10"/>
      <c r="AMR12" s="11"/>
      <c r="AMS12" s="10"/>
      <c r="AMV12" s="11"/>
      <c r="AMW12" s="10"/>
      <c r="AMZ12" s="11"/>
      <c r="ANA12" s="10"/>
      <c r="AND12" s="11"/>
      <c r="ANE12" s="10"/>
      <c r="ANH12" s="11"/>
      <c r="ANI12" s="10"/>
      <c r="ANL12" s="11"/>
      <c r="ANM12" s="10"/>
      <c r="ANP12" s="11"/>
      <c r="ANQ12" s="10"/>
      <c r="ANT12" s="11"/>
      <c r="ANU12" s="10"/>
      <c r="ANX12" s="11"/>
      <c r="ANY12" s="10"/>
      <c r="AOB12" s="11"/>
      <c r="AOC12" s="10"/>
      <c r="AOF12" s="11"/>
      <c r="AOG12" s="10"/>
      <c r="AOJ12" s="11"/>
      <c r="AOK12" s="10"/>
      <c r="AON12" s="11"/>
      <c r="AOO12" s="10"/>
      <c r="AOR12" s="11"/>
      <c r="AOS12" s="10"/>
      <c r="AOV12" s="11"/>
      <c r="AOW12" s="10"/>
      <c r="AOZ12" s="11"/>
      <c r="APA12" s="10"/>
      <c r="APD12" s="11"/>
      <c r="APE12" s="10"/>
      <c r="APH12" s="11"/>
      <c r="API12" s="10"/>
      <c r="APL12" s="11"/>
      <c r="APM12" s="10"/>
      <c r="APP12" s="11"/>
      <c r="APQ12" s="10"/>
      <c r="APT12" s="11"/>
      <c r="APU12" s="10"/>
      <c r="APX12" s="11"/>
      <c r="APY12" s="10"/>
      <c r="AQB12" s="11"/>
      <c r="AQC12" s="10"/>
      <c r="AQF12" s="11"/>
      <c r="AQG12" s="10"/>
      <c r="AQJ12" s="11"/>
      <c r="AQK12" s="10"/>
      <c r="AQN12" s="11"/>
      <c r="AQO12" s="10"/>
      <c r="AQR12" s="11"/>
      <c r="AQS12" s="10"/>
      <c r="AQV12" s="11"/>
      <c r="AQW12" s="10"/>
      <c r="AQZ12" s="11"/>
      <c r="ARA12" s="10"/>
      <c r="ARD12" s="11"/>
      <c r="ARE12" s="10"/>
      <c r="ARH12" s="11"/>
      <c r="ARI12" s="10"/>
      <c r="ARL12" s="11"/>
      <c r="ARM12" s="10"/>
      <c r="ARP12" s="11"/>
      <c r="ARQ12" s="10"/>
      <c r="ART12" s="11"/>
      <c r="ARU12" s="10"/>
      <c r="ARX12" s="11"/>
      <c r="ARY12" s="10"/>
      <c r="ASB12" s="11"/>
      <c r="ASC12" s="10"/>
      <c r="ASF12" s="11"/>
      <c r="ASG12" s="10"/>
      <c r="ASJ12" s="11"/>
      <c r="ASK12" s="10"/>
      <c r="ASN12" s="11"/>
      <c r="ASO12" s="10"/>
      <c r="ASR12" s="11"/>
      <c r="ASS12" s="10"/>
      <c r="ASV12" s="11"/>
      <c r="ASW12" s="10"/>
      <c r="ASZ12" s="11"/>
      <c r="ATA12" s="10"/>
      <c r="ATD12" s="11"/>
      <c r="ATE12" s="10"/>
      <c r="ATH12" s="11"/>
      <c r="ATI12" s="10"/>
      <c r="ATL12" s="11"/>
      <c r="ATM12" s="10"/>
      <c r="ATP12" s="11"/>
      <c r="ATQ12" s="10"/>
      <c r="ATT12" s="11"/>
      <c r="ATU12" s="10"/>
      <c r="ATX12" s="11"/>
      <c r="ATY12" s="10"/>
      <c r="AUB12" s="11"/>
      <c r="AUC12" s="10"/>
      <c r="AUF12" s="11"/>
      <c r="AUG12" s="10"/>
      <c r="AUJ12" s="11"/>
      <c r="AUK12" s="10"/>
      <c r="AUN12" s="11"/>
      <c r="AUO12" s="10"/>
      <c r="AUR12" s="11"/>
      <c r="AUS12" s="10"/>
      <c r="AUV12" s="11"/>
      <c r="AUW12" s="10"/>
      <c r="AUZ12" s="11"/>
      <c r="AVA12" s="10"/>
      <c r="AVD12" s="11"/>
      <c r="AVE12" s="10"/>
      <c r="AVH12" s="11"/>
      <c r="AVI12" s="10"/>
      <c r="AVL12" s="11"/>
      <c r="AVM12" s="10"/>
      <c r="AVP12" s="11"/>
      <c r="AVQ12" s="10"/>
      <c r="AVT12" s="11"/>
      <c r="AVU12" s="10"/>
      <c r="AVX12" s="11"/>
      <c r="AVY12" s="10"/>
      <c r="AWB12" s="11"/>
      <c r="AWC12" s="10"/>
      <c r="AWF12" s="11"/>
      <c r="AWG12" s="10"/>
      <c r="AWJ12" s="11"/>
      <c r="AWK12" s="10"/>
      <c r="AWN12" s="11"/>
      <c r="AWO12" s="10"/>
      <c r="AWR12" s="11"/>
      <c r="AWS12" s="10"/>
      <c r="AWV12" s="11"/>
      <c r="AWW12" s="10"/>
      <c r="AWZ12" s="11"/>
      <c r="AXA12" s="10"/>
      <c r="AXD12" s="11"/>
      <c r="AXE12" s="10"/>
      <c r="AXH12" s="11"/>
      <c r="AXI12" s="10"/>
      <c r="AXL12" s="11"/>
      <c r="AXM12" s="10"/>
      <c r="AXP12" s="11"/>
      <c r="AXQ12" s="10"/>
      <c r="AXT12" s="11"/>
      <c r="AXU12" s="10"/>
      <c r="AXX12" s="11"/>
      <c r="AXY12" s="10"/>
      <c r="AYB12" s="11"/>
      <c r="AYC12" s="10"/>
      <c r="AYF12" s="11"/>
      <c r="AYG12" s="10"/>
      <c r="AYJ12" s="11"/>
      <c r="AYK12" s="10"/>
      <c r="AYN12" s="11"/>
      <c r="AYO12" s="10"/>
      <c r="AYR12" s="11"/>
      <c r="AYS12" s="10"/>
      <c r="AYV12" s="11"/>
      <c r="AYW12" s="10"/>
      <c r="AYZ12" s="11"/>
      <c r="AZA12" s="10"/>
      <c r="AZD12" s="11"/>
      <c r="AZE12" s="10"/>
      <c r="AZH12" s="11"/>
      <c r="AZI12" s="10"/>
      <c r="AZL12" s="11"/>
      <c r="AZM12" s="10"/>
      <c r="AZP12" s="11"/>
      <c r="AZQ12" s="10"/>
      <c r="AZT12" s="11"/>
      <c r="AZU12" s="10"/>
      <c r="AZX12" s="11"/>
      <c r="AZY12" s="10"/>
      <c r="BAB12" s="11"/>
      <c r="BAC12" s="10"/>
      <c r="BAF12" s="11"/>
      <c r="BAG12" s="10"/>
      <c r="BAJ12" s="11"/>
      <c r="BAK12" s="10"/>
      <c r="BAN12" s="11"/>
      <c r="BAO12" s="10"/>
      <c r="BAR12" s="11"/>
      <c r="BAS12" s="10"/>
      <c r="BAV12" s="11"/>
      <c r="BAW12" s="10"/>
      <c r="BAZ12" s="11"/>
      <c r="BBA12" s="10"/>
      <c r="BBD12" s="11"/>
      <c r="BBE12" s="10"/>
      <c r="BBH12" s="11"/>
      <c r="BBI12" s="10"/>
      <c r="BBL12" s="11"/>
      <c r="BBM12" s="10"/>
      <c r="BBP12" s="11"/>
      <c r="BBQ12" s="10"/>
      <c r="BBT12" s="11"/>
      <c r="BBU12" s="10"/>
      <c r="BBX12" s="11"/>
      <c r="BBY12" s="10"/>
      <c r="BCB12" s="11"/>
      <c r="BCC12" s="10"/>
      <c r="BCF12" s="11"/>
      <c r="BCG12" s="10"/>
      <c r="BCJ12" s="11"/>
      <c r="BCK12" s="10"/>
      <c r="BCN12" s="11"/>
      <c r="BCO12" s="10"/>
      <c r="BCR12" s="11"/>
      <c r="BCS12" s="10"/>
      <c r="BCV12" s="11"/>
      <c r="BCW12" s="10"/>
      <c r="BCZ12" s="11"/>
      <c r="BDA12" s="10"/>
      <c r="BDD12" s="11"/>
      <c r="BDE12" s="10"/>
      <c r="BDH12" s="11"/>
      <c r="BDI12" s="10"/>
      <c r="BDL12" s="11"/>
      <c r="BDM12" s="10"/>
      <c r="BDP12" s="11"/>
      <c r="BDQ12" s="10"/>
      <c r="BDT12" s="11"/>
      <c r="BDU12" s="10"/>
      <c r="BDX12" s="11"/>
      <c r="BDY12" s="10"/>
      <c r="BEB12" s="11"/>
      <c r="BEC12" s="10"/>
      <c r="BEF12" s="11"/>
      <c r="BEG12" s="10"/>
      <c r="BEJ12" s="11"/>
      <c r="BEK12" s="10"/>
      <c r="BEN12" s="11"/>
      <c r="BEO12" s="10"/>
      <c r="BER12" s="11"/>
      <c r="BES12" s="10"/>
      <c r="BEV12" s="11"/>
      <c r="BEW12" s="10"/>
      <c r="BEZ12" s="11"/>
      <c r="BFA12" s="10"/>
      <c r="BFD12" s="11"/>
      <c r="BFE12" s="10"/>
      <c r="BFH12" s="11"/>
      <c r="BFI12" s="10"/>
      <c r="BFL12" s="11"/>
      <c r="BFM12" s="10"/>
      <c r="BFP12" s="11"/>
      <c r="BFQ12" s="10"/>
      <c r="BFT12" s="11"/>
      <c r="BFU12" s="10"/>
      <c r="BFX12" s="11"/>
      <c r="BFY12" s="10"/>
      <c r="BGB12" s="11"/>
      <c r="BGC12" s="10"/>
      <c r="BGF12" s="11"/>
      <c r="BGG12" s="10"/>
      <c r="BGJ12" s="11"/>
      <c r="BGK12" s="10"/>
      <c r="BGN12" s="11"/>
      <c r="BGO12" s="10"/>
      <c r="BGR12" s="11"/>
      <c r="BGS12" s="10"/>
      <c r="BGV12" s="11"/>
      <c r="BGW12" s="10"/>
      <c r="BGZ12" s="11"/>
      <c r="BHA12" s="10"/>
      <c r="BHD12" s="11"/>
      <c r="BHE12" s="10"/>
      <c r="BHH12" s="11"/>
      <c r="BHI12" s="10"/>
      <c r="BHL12" s="11"/>
      <c r="BHM12" s="10"/>
      <c r="BHP12" s="11"/>
      <c r="BHQ12" s="10"/>
      <c r="BHT12" s="11"/>
      <c r="BHU12" s="10"/>
      <c r="BHX12" s="11"/>
      <c r="BHY12" s="10"/>
      <c r="BIB12" s="11"/>
      <c r="BIC12" s="10"/>
      <c r="BIF12" s="11"/>
      <c r="BIG12" s="10"/>
      <c r="BIJ12" s="11"/>
      <c r="BIK12" s="10"/>
      <c r="BIN12" s="11"/>
      <c r="BIO12" s="10"/>
      <c r="BIR12" s="11"/>
      <c r="BIS12" s="10"/>
      <c r="BIV12" s="11"/>
      <c r="BIW12" s="10"/>
      <c r="BIZ12" s="11"/>
      <c r="BJA12" s="10"/>
      <c r="BJD12" s="11"/>
      <c r="BJE12" s="10"/>
      <c r="BJH12" s="11"/>
      <c r="BJI12" s="10"/>
      <c r="BJL12" s="11"/>
      <c r="BJM12" s="10"/>
      <c r="BJP12" s="11"/>
      <c r="BJQ12" s="10"/>
      <c r="BJT12" s="11"/>
      <c r="BJU12" s="10"/>
      <c r="BJX12" s="11"/>
      <c r="BJY12" s="10"/>
      <c r="BKB12" s="11"/>
      <c r="BKC12" s="10"/>
      <c r="BKF12" s="11"/>
      <c r="BKG12" s="10"/>
      <c r="BKJ12" s="11"/>
      <c r="BKK12" s="10"/>
      <c r="BKN12" s="11"/>
      <c r="BKO12" s="10"/>
      <c r="BKR12" s="11"/>
      <c r="BKS12" s="10"/>
      <c r="BKV12" s="11"/>
      <c r="BKW12" s="10"/>
      <c r="BKZ12" s="11"/>
      <c r="BLA12" s="10"/>
      <c r="BLD12" s="11"/>
      <c r="BLE12" s="10"/>
      <c r="BLH12" s="11"/>
      <c r="BLI12" s="10"/>
      <c r="BLL12" s="11"/>
      <c r="BLM12" s="10"/>
      <c r="BLP12" s="11"/>
      <c r="BLQ12" s="10"/>
      <c r="BLT12" s="11"/>
      <c r="BLU12" s="10"/>
      <c r="BLX12" s="11"/>
      <c r="BLY12" s="10"/>
      <c r="BMB12" s="11"/>
      <c r="BMC12" s="10"/>
      <c r="BMF12" s="11"/>
      <c r="BMG12" s="10"/>
      <c r="BMJ12" s="11"/>
      <c r="BMK12" s="10"/>
      <c r="BMN12" s="11"/>
      <c r="BMO12" s="10"/>
      <c r="BMR12" s="11"/>
      <c r="BMS12" s="10"/>
      <c r="BMV12" s="11"/>
      <c r="BMW12" s="10"/>
      <c r="BMZ12" s="11"/>
      <c r="BNA12" s="10"/>
      <c r="BND12" s="11"/>
      <c r="BNE12" s="10"/>
      <c r="BNH12" s="11"/>
      <c r="BNI12" s="10"/>
      <c r="BNL12" s="11"/>
      <c r="BNM12" s="10"/>
      <c r="BNP12" s="11"/>
      <c r="BNQ12" s="10"/>
      <c r="BNT12" s="11"/>
      <c r="BNU12" s="10"/>
      <c r="BNX12" s="11"/>
      <c r="BNY12" s="10"/>
      <c r="BOB12" s="11"/>
      <c r="BOC12" s="10"/>
      <c r="BOF12" s="11"/>
      <c r="BOG12" s="10"/>
      <c r="BOJ12" s="11"/>
      <c r="BOK12" s="10"/>
      <c r="BON12" s="11"/>
      <c r="BOO12" s="10"/>
      <c r="BOR12" s="11"/>
      <c r="BOS12" s="10"/>
      <c r="BOV12" s="11"/>
      <c r="BOW12" s="10"/>
      <c r="BOZ12" s="11"/>
      <c r="BPA12" s="10"/>
      <c r="BPD12" s="11"/>
      <c r="BPE12" s="10"/>
      <c r="BPH12" s="11"/>
      <c r="BPI12" s="10"/>
      <c r="BPL12" s="11"/>
      <c r="BPM12" s="10"/>
      <c r="BPP12" s="11"/>
      <c r="BPQ12" s="10"/>
      <c r="BPT12" s="11"/>
      <c r="BPU12" s="10"/>
      <c r="BPX12" s="11"/>
      <c r="BPY12" s="10"/>
      <c r="BQB12" s="11"/>
      <c r="BQC12" s="10"/>
      <c r="BQF12" s="11"/>
      <c r="BQG12" s="10"/>
      <c r="BQJ12" s="11"/>
      <c r="BQK12" s="10"/>
      <c r="BQN12" s="11"/>
      <c r="BQO12" s="10"/>
      <c r="BQR12" s="11"/>
      <c r="BQS12" s="10"/>
      <c r="BQV12" s="11"/>
      <c r="BQW12" s="10"/>
      <c r="BQZ12" s="11"/>
      <c r="BRA12" s="10"/>
      <c r="BRD12" s="11"/>
      <c r="BRE12" s="10"/>
      <c r="BRH12" s="11"/>
      <c r="BRI12" s="10"/>
      <c r="BRL12" s="11"/>
      <c r="BRM12" s="10"/>
      <c r="BRP12" s="11"/>
      <c r="BRQ12" s="10"/>
      <c r="BRT12" s="11"/>
      <c r="BRU12" s="10"/>
      <c r="BRX12" s="11"/>
      <c r="BRY12" s="10"/>
      <c r="BSB12" s="11"/>
      <c r="BSC12" s="10"/>
      <c r="BSF12" s="11"/>
      <c r="BSG12" s="10"/>
      <c r="BSJ12" s="11"/>
      <c r="BSK12" s="10"/>
      <c r="BSN12" s="11"/>
      <c r="BSO12" s="10"/>
      <c r="BSR12" s="11"/>
      <c r="BSS12" s="10"/>
      <c r="BSV12" s="11"/>
      <c r="BSW12" s="10"/>
      <c r="BSZ12" s="11"/>
      <c r="BTA12" s="10"/>
      <c r="BTD12" s="11"/>
      <c r="BTE12" s="10"/>
      <c r="BTH12" s="11"/>
      <c r="BTI12" s="10"/>
      <c r="BTL12" s="11"/>
      <c r="BTM12" s="10"/>
      <c r="BTP12" s="11"/>
      <c r="BTQ12" s="10"/>
      <c r="BTT12" s="11"/>
      <c r="BTU12" s="10"/>
      <c r="BTX12" s="11"/>
      <c r="BTY12" s="10"/>
      <c r="BUB12" s="11"/>
      <c r="BUC12" s="10"/>
      <c r="BUF12" s="11"/>
      <c r="BUG12" s="10"/>
      <c r="BUJ12" s="11"/>
      <c r="BUK12" s="10"/>
      <c r="BUN12" s="11"/>
      <c r="BUO12" s="10"/>
      <c r="BUR12" s="11"/>
      <c r="BUS12" s="10"/>
      <c r="BUV12" s="11"/>
      <c r="BUW12" s="10"/>
      <c r="BUZ12" s="11"/>
      <c r="BVA12" s="10"/>
      <c r="BVD12" s="11"/>
      <c r="BVE12" s="10"/>
      <c r="BVH12" s="11"/>
      <c r="BVI12" s="10"/>
      <c r="BVL12" s="11"/>
      <c r="BVM12" s="10"/>
      <c r="BVP12" s="11"/>
      <c r="BVQ12" s="10"/>
      <c r="BVT12" s="11"/>
      <c r="BVU12" s="10"/>
      <c r="BVX12" s="11"/>
      <c r="BVY12" s="10"/>
      <c r="BWB12" s="11"/>
      <c r="BWC12" s="10"/>
      <c r="BWF12" s="11"/>
      <c r="BWG12" s="10"/>
      <c r="BWJ12" s="11"/>
      <c r="BWK12" s="10"/>
      <c r="BWN12" s="11"/>
      <c r="BWO12" s="10"/>
      <c r="BWR12" s="11"/>
      <c r="BWS12" s="10"/>
      <c r="BWV12" s="11"/>
      <c r="BWW12" s="10"/>
      <c r="BWZ12" s="11"/>
      <c r="BXA12" s="10"/>
      <c r="BXD12" s="11"/>
      <c r="BXE12" s="10"/>
      <c r="BXH12" s="11"/>
      <c r="BXI12" s="10"/>
      <c r="BXL12" s="11"/>
      <c r="BXM12" s="10"/>
      <c r="BXP12" s="11"/>
      <c r="BXQ12" s="10"/>
      <c r="BXT12" s="11"/>
      <c r="BXU12" s="10"/>
      <c r="BXX12" s="11"/>
      <c r="BXY12" s="10"/>
      <c r="BYB12" s="11"/>
      <c r="BYC12" s="10"/>
      <c r="BYF12" s="11"/>
      <c r="BYG12" s="10"/>
      <c r="BYJ12" s="11"/>
      <c r="BYK12" s="10"/>
      <c r="BYN12" s="11"/>
      <c r="BYO12" s="10"/>
      <c r="BYR12" s="11"/>
      <c r="BYS12" s="10"/>
      <c r="BYV12" s="11"/>
      <c r="BYW12" s="10"/>
      <c r="BYZ12" s="11"/>
      <c r="BZA12" s="10"/>
      <c r="BZD12" s="11"/>
      <c r="BZE12" s="10"/>
      <c r="BZH12" s="11"/>
      <c r="BZI12" s="10"/>
      <c r="BZL12" s="11"/>
      <c r="BZM12" s="10"/>
      <c r="BZP12" s="11"/>
      <c r="BZQ12" s="10"/>
      <c r="BZT12" s="11"/>
      <c r="BZU12" s="10"/>
      <c r="BZX12" s="11"/>
      <c r="BZY12" s="10"/>
      <c r="CAB12" s="11"/>
      <c r="CAC12" s="10"/>
      <c r="CAF12" s="11"/>
      <c r="CAG12" s="10"/>
      <c r="CAJ12" s="11"/>
      <c r="CAK12" s="10"/>
      <c r="CAN12" s="11"/>
      <c r="CAO12" s="10"/>
      <c r="CAR12" s="11"/>
      <c r="CAS12" s="10"/>
      <c r="CAV12" s="11"/>
      <c r="CAW12" s="10"/>
      <c r="CAZ12" s="11"/>
      <c r="CBA12" s="10"/>
      <c r="CBD12" s="11"/>
      <c r="CBE12" s="10"/>
      <c r="CBH12" s="11"/>
      <c r="CBI12" s="10"/>
      <c r="CBL12" s="11"/>
      <c r="CBM12" s="10"/>
      <c r="CBP12" s="11"/>
      <c r="CBQ12" s="10"/>
      <c r="CBT12" s="11"/>
      <c r="CBU12" s="10"/>
      <c r="CBX12" s="11"/>
      <c r="CBY12" s="10"/>
      <c r="CCB12" s="11"/>
      <c r="CCC12" s="10"/>
      <c r="CCF12" s="11"/>
      <c r="CCG12" s="10"/>
      <c r="CCJ12" s="11"/>
      <c r="CCK12" s="10"/>
      <c r="CCN12" s="11"/>
      <c r="CCO12" s="10"/>
      <c r="CCR12" s="11"/>
      <c r="CCS12" s="10"/>
      <c r="CCV12" s="11"/>
      <c r="CCW12" s="10"/>
      <c r="CCZ12" s="11"/>
      <c r="CDA12" s="10"/>
      <c r="CDD12" s="11"/>
      <c r="CDE12" s="10"/>
      <c r="CDH12" s="11"/>
      <c r="CDI12" s="10"/>
      <c r="CDL12" s="11"/>
      <c r="CDM12" s="10"/>
      <c r="CDP12" s="11"/>
      <c r="CDQ12" s="10"/>
      <c r="CDT12" s="11"/>
      <c r="CDU12" s="10"/>
      <c r="CDX12" s="11"/>
      <c r="CDY12" s="10"/>
      <c r="CEB12" s="11"/>
      <c r="CEC12" s="10"/>
      <c r="CEF12" s="11"/>
      <c r="CEG12" s="10"/>
      <c r="CEJ12" s="11"/>
      <c r="CEK12" s="10"/>
      <c r="CEN12" s="11"/>
      <c r="CEO12" s="10"/>
      <c r="CER12" s="11"/>
      <c r="CES12" s="10"/>
      <c r="CEV12" s="11"/>
      <c r="CEW12" s="10"/>
      <c r="CEZ12" s="11"/>
      <c r="CFA12" s="10"/>
      <c r="CFD12" s="11"/>
      <c r="CFE12" s="10"/>
      <c r="CFH12" s="11"/>
      <c r="CFI12" s="10"/>
      <c r="CFL12" s="11"/>
      <c r="CFM12" s="10"/>
      <c r="CFP12" s="11"/>
      <c r="CFQ12" s="10"/>
      <c r="CFT12" s="11"/>
      <c r="CFU12" s="10"/>
      <c r="CFX12" s="11"/>
      <c r="CFY12" s="10"/>
      <c r="CGB12" s="11"/>
      <c r="CGC12" s="10"/>
      <c r="CGF12" s="11"/>
      <c r="CGG12" s="10"/>
      <c r="CGJ12" s="11"/>
      <c r="CGK12" s="10"/>
      <c r="CGN12" s="11"/>
      <c r="CGO12" s="10"/>
      <c r="CGR12" s="11"/>
      <c r="CGS12" s="10"/>
      <c r="CGV12" s="11"/>
      <c r="CGW12" s="10"/>
      <c r="CGZ12" s="11"/>
      <c r="CHA12" s="10"/>
      <c r="CHD12" s="11"/>
      <c r="CHE12" s="10"/>
      <c r="CHH12" s="11"/>
      <c r="CHI12" s="10"/>
      <c r="CHL12" s="11"/>
      <c r="CHM12" s="10"/>
      <c r="CHP12" s="11"/>
      <c r="CHQ12" s="10"/>
      <c r="CHT12" s="11"/>
      <c r="CHU12" s="10"/>
      <c r="CHX12" s="11"/>
      <c r="CHY12" s="10"/>
      <c r="CIB12" s="11"/>
      <c r="CIC12" s="10"/>
      <c r="CIF12" s="11"/>
      <c r="CIG12" s="10"/>
      <c r="CIJ12" s="11"/>
      <c r="CIK12" s="10"/>
      <c r="CIN12" s="11"/>
      <c r="CIO12" s="10"/>
      <c r="CIR12" s="11"/>
      <c r="CIS12" s="10"/>
      <c r="CIV12" s="11"/>
      <c r="CIW12" s="10"/>
      <c r="CIZ12" s="11"/>
      <c r="CJA12" s="10"/>
      <c r="CJD12" s="11"/>
      <c r="CJE12" s="10"/>
      <c r="CJH12" s="11"/>
      <c r="CJI12" s="10"/>
      <c r="CJL12" s="11"/>
      <c r="CJM12" s="10"/>
      <c r="CJP12" s="11"/>
      <c r="CJQ12" s="10"/>
      <c r="CJT12" s="11"/>
      <c r="CJU12" s="10"/>
      <c r="CJX12" s="11"/>
      <c r="CJY12" s="10"/>
      <c r="CKB12" s="11"/>
      <c r="CKC12" s="10"/>
      <c r="CKF12" s="11"/>
      <c r="CKG12" s="10"/>
      <c r="CKJ12" s="11"/>
      <c r="CKK12" s="10"/>
      <c r="CKN12" s="11"/>
      <c r="CKO12" s="10"/>
      <c r="CKR12" s="11"/>
      <c r="CKS12" s="10"/>
      <c r="CKV12" s="11"/>
      <c r="CKW12" s="10"/>
      <c r="CKZ12" s="11"/>
      <c r="CLA12" s="10"/>
      <c r="CLD12" s="11"/>
      <c r="CLE12" s="10"/>
      <c r="CLH12" s="11"/>
      <c r="CLI12" s="10"/>
      <c r="CLL12" s="11"/>
      <c r="CLM12" s="10"/>
      <c r="CLP12" s="11"/>
      <c r="CLQ12" s="10"/>
      <c r="CLT12" s="11"/>
      <c r="CLU12" s="10"/>
      <c r="CLX12" s="11"/>
      <c r="CLY12" s="10"/>
      <c r="CMB12" s="11"/>
      <c r="CMC12" s="10"/>
      <c r="CMF12" s="11"/>
      <c r="CMG12" s="10"/>
      <c r="CMJ12" s="11"/>
      <c r="CMK12" s="10"/>
      <c r="CMN12" s="11"/>
      <c r="CMO12" s="10"/>
      <c r="CMR12" s="11"/>
      <c r="CMS12" s="10"/>
      <c r="CMV12" s="11"/>
      <c r="CMW12" s="10"/>
      <c r="CMZ12" s="11"/>
      <c r="CNA12" s="10"/>
      <c r="CND12" s="11"/>
      <c r="CNE12" s="10"/>
      <c r="CNH12" s="11"/>
      <c r="CNI12" s="10"/>
      <c r="CNL12" s="11"/>
      <c r="CNM12" s="10"/>
      <c r="CNP12" s="11"/>
      <c r="CNQ12" s="10"/>
      <c r="CNT12" s="11"/>
      <c r="CNU12" s="10"/>
      <c r="CNX12" s="11"/>
      <c r="CNY12" s="10"/>
      <c r="COB12" s="11"/>
      <c r="COC12" s="10"/>
      <c r="COF12" s="11"/>
      <c r="COG12" s="10"/>
      <c r="COJ12" s="11"/>
      <c r="COK12" s="10"/>
      <c r="CON12" s="11"/>
      <c r="COO12" s="10"/>
      <c r="COR12" s="11"/>
      <c r="COS12" s="10"/>
      <c r="COV12" s="11"/>
      <c r="COW12" s="10"/>
      <c r="COZ12" s="11"/>
      <c r="CPA12" s="10"/>
      <c r="CPD12" s="11"/>
      <c r="CPE12" s="10"/>
      <c r="CPH12" s="11"/>
      <c r="CPI12" s="10"/>
      <c r="CPL12" s="11"/>
      <c r="CPM12" s="10"/>
      <c r="CPP12" s="11"/>
      <c r="CPQ12" s="10"/>
      <c r="CPT12" s="11"/>
      <c r="CPU12" s="10"/>
      <c r="CPX12" s="11"/>
      <c r="CPY12" s="10"/>
      <c r="CQB12" s="11"/>
      <c r="CQC12" s="10"/>
      <c r="CQF12" s="11"/>
      <c r="CQG12" s="10"/>
      <c r="CQJ12" s="11"/>
      <c r="CQK12" s="10"/>
      <c r="CQN12" s="11"/>
      <c r="CQO12" s="10"/>
      <c r="CQR12" s="11"/>
      <c r="CQS12" s="10"/>
      <c r="CQV12" s="11"/>
      <c r="CQW12" s="10"/>
      <c r="CQZ12" s="11"/>
      <c r="CRA12" s="10"/>
      <c r="CRD12" s="11"/>
      <c r="CRE12" s="10"/>
      <c r="CRH12" s="11"/>
      <c r="CRI12" s="10"/>
      <c r="CRL12" s="11"/>
      <c r="CRM12" s="10"/>
      <c r="CRP12" s="11"/>
      <c r="CRQ12" s="10"/>
      <c r="CRT12" s="11"/>
      <c r="CRU12" s="10"/>
      <c r="CRX12" s="11"/>
      <c r="CRY12" s="10"/>
      <c r="CSB12" s="11"/>
      <c r="CSC12" s="10"/>
      <c r="CSF12" s="11"/>
      <c r="CSG12" s="10"/>
      <c r="CSJ12" s="11"/>
      <c r="CSK12" s="10"/>
      <c r="CSN12" s="11"/>
      <c r="CSO12" s="10"/>
      <c r="CSR12" s="11"/>
      <c r="CSS12" s="10"/>
      <c r="CSV12" s="11"/>
      <c r="CSW12" s="10"/>
      <c r="CSZ12" s="11"/>
      <c r="CTA12" s="10"/>
      <c r="CTD12" s="11"/>
      <c r="CTE12" s="10"/>
      <c r="CTH12" s="11"/>
      <c r="CTI12" s="10"/>
      <c r="CTL12" s="11"/>
      <c r="CTM12" s="10"/>
      <c r="CTP12" s="11"/>
      <c r="CTQ12" s="10"/>
      <c r="CTT12" s="11"/>
      <c r="CTU12" s="10"/>
      <c r="CTX12" s="11"/>
      <c r="CTY12" s="10"/>
      <c r="CUB12" s="11"/>
      <c r="CUC12" s="10"/>
      <c r="CUF12" s="11"/>
      <c r="CUG12" s="10"/>
      <c r="CUJ12" s="11"/>
      <c r="CUK12" s="10"/>
      <c r="CUN12" s="11"/>
      <c r="CUO12" s="10"/>
      <c r="CUR12" s="11"/>
      <c r="CUS12" s="10"/>
      <c r="CUV12" s="11"/>
      <c r="CUW12" s="10"/>
      <c r="CUZ12" s="11"/>
      <c r="CVA12" s="10"/>
      <c r="CVD12" s="11"/>
      <c r="CVE12" s="10"/>
      <c r="CVH12" s="11"/>
      <c r="CVI12" s="10"/>
      <c r="CVL12" s="11"/>
      <c r="CVM12" s="10"/>
      <c r="CVP12" s="11"/>
      <c r="CVQ12" s="10"/>
      <c r="CVT12" s="11"/>
      <c r="CVU12" s="10"/>
      <c r="CVX12" s="11"/>
      <c r="CVY12" s="10"/>
      <c r="CWB12" s="11"/>
      <c r="CWC12" s="10"/>
      <c r="CWF12" s="11"/>
      <c r="CWG12" s="10"/>
      <c r="CWJ12" s="11"/>
      <c r="CWK12" s="10"/>
      <c r="CWN12" s="11"/>
      <c r="CWO12" s="10"/>
      <c r="CWR12" s="11"/>
      <c r="CWS12" s="10"/>
      <c r="CWV12" s="11"/>
      <c r="CWW12" s="10"/>
      <c r="CWZ12" s="11"/>
      <c r="CXA12" s="10"/>
      <c r="CXD12" s="11"/>
      <c r="CXE12" s="10"/>
      <c r="CXH12" s="11"/>
      <c r="CXI12" s="10"/>
      <c r="CXL12" s="11"/>
      <c r="CXM12" s="10"/>
      <c r="CXP12" s="11"/>
      <c r="CXQ12" s="10"/>
      <c r="CXT12" s="11"/>
      <c r="CXU12" s="10"/>
      <c r="CXX12" s="11"/>
      <c r="CXY12" s="10"/>
      <c r="CYB12" s="11"/>
      <c r="CYC12" s="10"/>
      <c r="CYF12" s="11"/>
      <c r="CYG12" s="10"/>
      <c r="CYJ12" s="11"/>
      <c r="CYK12" s="10"/>
      <c r="CYN12" s="11"/>
      <c r="CYO12" s="10"/>
      <c r="CYR12" s="11"/>
      <c r="CYS12" s="10"/>
      <c r="CYV12" s="11"/>
      <c r="CYW12" s="10"/>
      <c r="CYZ12" s="11"/>
      <c r="CZA12" s="10"/>
      <c r="CZD12" s="11"/>
      <c r="CZE12" s="10"/>
      <c r="CZH12" s="11"/>
      <c r="CZI12" s="10"/>
      <c r="CZL12" s="11"/>
      <c r="CZM12" s="10"/>
      <c r="CZP12" s="11"/>
      <c r="CZQ12" s="10"/>
      <c r="CZT12" s="11"/>
      <c r="CZU12" s="10"/>
      <c r="CZX12" s="11"/>
      <c r="CZY12" s="10"/>
      <c r="DAB12" s="11"/>
      <c r="DAC12" s="10"/>
      <c r="DAF12" s="11"/>
      <c r="DAG12" s="10"/>
      <c r="DAJ12" s="11"/>
      <c r="DAK12" s="10"/>
      <c r="DAN12" s="11"/>
      <c r="DAO12" s="10"/>
      <c r="DAR12" s="11"/>
      <c r="DAS12" s="10"/>
      <c r="DAV12" s="11"/>
      <c r="DAW12" s="10"/>
      <c r="DAZ12" s="11"/>
      <c r="DBA12" s="10"/>
      <c r="DBD12" s="11"/>
      <c r="DBE12" s="10"/>
      <c r="DBH12" s="11"/>
      <c r="DBI12" s="10"/>
      <c r="DBL12" s="11"/>
      <c r="DBM12" s="10"/>
      <c r="DBP12" s="11"/>
      <c r="DBQ12" s="10"/>
      <c r="DBT12" s="11"/>
      <c r="DBU12" s="10"/>
      <c r="DBX12" s="11"/>
      <c r="DBY12" s="10"/>
      <c r="DCB12" s="11"/>
      <c r="DCC12" s="10"/>
      <c r="DCF12" s="11"/>
      <c r="DCG12" s="10"/>
      <c r="DCJ12" s="11"/>
      <c r="DCK12" s="10"/>
      <c r="DCN12" s="11"/>
      <c r="DCO12" s="10"/>
      <c r="DCR12" s="11"/>
      <c r="DCS12" s="10"/>
      <c r="DCV12" s="11"/>
      <c r="DCW12" s="10"/>
      <c r="DCZ12" s="11"/>
      <c r="DDA12" s="10"/>
      <c r="DDD12" s="11"/>
      <c r="DDE12" s="10"/>
      <c r="DDH12" s="11"/>
      <c r="DDI12" s="10"/>
      <c r="DDL12" s="11"/>
      <c r="DDM12" s="10"/>
      <c r="DDP12" s="11"/>
      <c r="DDQ12" s="10"/>
      <c r="DDT12" s="11"/>
      <c r="DDU12" s="10"/>
      <c r="DDX12" s="11"/>
      <c r="DDY12" s="10"/>
      <c r="DEB12" s="11"/>
      <c r="DEC12" s="10"/>
      <c r="DEF12" s="11"/>
      <c r="DEG12" s="10"/>
      <c r="DEJ12" s="11"/>
      <c r="DEK12" s="10"/>
      <c r="DEN12" s="11"/>
      <c r="DEO12" s="10"/>
      <c r="DER12" s="11"/>
      <c r="DES12" s="10"/>
      <c r="DEV12" s="11"/>
      <c r="DEW12" s="10"/>
      <c r="DEZ12" s="11"/>
      <c r="DFA12" s="10"/>
      <c r="DFD12" s="11"/>
      <c r="DFE12" s="10"/>
      <c r="DFH12" s="11"/>
      <c r="DFI12" s="10"/>
      <c r="DFL12" s="11"/>
      <c r="DFM12" s="10"/>
      <c r="DFP12" s="11"/>
      <c r="DFQ12" s="10"/>
      <c r="DFT12" s="11"/>
      <c r="DFU12" s="10"/>
      <c r="DFX12" s="11"/>
      <c r="DFY12" s="10"/>
      <c r="DGB12" s="11"/>
      <c r="DGC12" s="10"/>
      <c r="DGF12" s="11"/>
      <c r="DGG12" s="10"/>
      <c r="DGJ12" s="11"/>
      <c r="DGK12" s="10"/>
      <c r="DGN12" s="11"/>
      <c r="DGO12" s="10"/>
      <c r="DGR12" s="11"/>
      <c r="DGS12" s="10"/>
      <c r="DGV12" s="11"/>
      <c r="DGW12" s="10"/>
      <c r="DGZ12" s="11"/>
      <c r="DHA12" s="10"/>
      <c r="DHD12" s="11"/>
      <c r="DHE12" s="10"/>
      <c r="DHH12" s="11"/>
      <c r="DHI12" s="10"/>
      <c r="DHL12" s="11"/>
      <c r="DHM12" s="10"/>
      <c r="DHP12" s="11"/>
      <c r="DHQ12" s="10"/>
      <c r="DHT12" s="11"/>
      <c r="DHU12" s="10"/>
      <c r="DHX12" s="11"/>
      <c r="DHY12" s="10"/>
      <c r="DIB12" s="11"/>
      <c r="DIC12" s="10"/>
      <c r="DIF12" s="11"/>
      <c r="DIG12" s="10"/>
      <c r="DIJ12" s="11"/>
      <c r="DIK12" s="10"/>
      <c r="DIN12" s="11"/>
      <c r="DIO12" s="10"/>
      <c r="DIR12" s="11"/>
      <c r="DIS12" s="10"/>
      <c r="DIV12" s="11"/>
      <c r="DIW12" s="10"/>
      <c r="DIZ12" s="11"/>
      <c r="DJA12" s="10"/>
      <c r="DJD12" s="11"/>
      <c r="DJE12" s="10"/>
      <c r="DJH12" s="11"/>
      <c r="DJI12" s="10"/>
      <c r="DJL12" s="11"/>
      <c r="DJM12" s="10"/>
      <c r="DJP12" s="11"/>
      <c r="DJQ12" s="10"/>
      <c r="DJT12" s="11"/>
      <c r="DJU12" s="10"/>
      <c r="DJX12" s="11"/>
      <c r="DJY12" s="10"/>
      <c r="DKB12" s="11"/>
      <c r="DKC12" s="10"/>
      <c r="DKF12" s="11"/>
      <c r="DKG12" s="10"/>
      <c r="DKJ12" s="11"/>
      <c r="DKK12" s="10"/>
      <c r="DKN12" s="11"/>
      <c r="DKO12" s="10"/>
      <c r="DKR12" s="11"/>
      <c r="DKS12" s="10"/>
      <c r="DKV12" s="11"/>
      <c r="DKW12" s="10"/>
      <c r="DKZ12" s="11"/>
      <c r="DLA12" s="10"/>
      <c r="DLD12" s="11"/>
      <c r="DLE12" s="10"/>
      <c r="DLH12" s="11"/>
      <c r="DLI12" s="10"/>
      <c r="DLL12" s="11"/>
      <c r="DLM12" s="10"/>
      <c r="DLP12" s="11"/>
      <c r="DLQ12" s="10"/>
      <c r="DLT12" s="11"/>
      <c r="DLU12" s="10"/>
      <c r="DLX12" s="11"/>
      <c r="DLY12" s="10"/>
      <c r="DMB12" s="11"/>
      <c r="DMC12" s="10"/>
      <c r="DMF12" s="11"/>
      <c r="DMG12" s="10"/>
      <c r="DMJ12" s="11"/>
      <c r="DMK12" s="10"/>
      <c r="DMN12" s="11"/>
      <c r="DMO12" s="10"/>
      <c r="DMR12" s="11"/>
      <c r="DMS12" s="10"/>
      <c r="DMV12" s="11"/>
      <c r="DMW12" s="10"/>
      <c r="DMZ12" s="11"/>
      <c r="DNA12" s="10"/>
      <c r="DND12" s="11"/>
      <c r="DNE12" s="10"/>
      <c r="DNH12" s="11"/>
      <c r="DNI12" s="10"/>
      <c r="DNL12" s="11"/>
      <c r="DNM12" s="10"/>
      <c r="DNP12" s="11"/>
      <c r="DNQ12" s="10"/>
      <c r="DNT12" s="11"/>
      <c r="DNU12" s="10"/>
      <c r="DNX12" s="11"/>
      <c r="DNY12" s="10"/>
      <c r="DOB12" s="11"/>
      <c r="DOC12" s="10"/>
      <c r="DOF12" s="11"/>
      <c r="DOG12" s="10"/>
      <c r="DOJ12" s="11"/>
      <c r="DOK12" s="10"/>
      <c r="DON12" s="11"/>
      <c r="DOO12" s="10"/>
      <c r="DOR12" s="11"/>
      <c r="DOS12" s="10"/>
      <c r="DOV12" s="11"/>
      <c r="DOW12" s="10"/>
      <c r="DOZ12" s="11"/>
      <c r="DPA12" s="10"/>
      <c r="DPD12" s="11"/>
      <c r="DPE12" s="10"/>
      <c r="DPH12" s="11"/>
      <c r="DPI12" s="10"/>
      <c r="DPL12" s="11"/>
      <c r="DPM12" s="10"/>
      <c r="DPP12" s="11"/>
      <c r="DPQ12" s="10"/>
      <c r="DPT12" s="11"/>
      <c r="DPU12" s="10"/>
      <c r="DPX12" s="11"/>
      <c r="DPY12" s="10"/>
      <c r="DQB12" s="11"/>
      <c r="DQC12" s="10"/>
      <c r="DQF12" s="11"/>
      <c r="DQG12" s="10"/>
      <c r="DQJ12" s="11"/>
      <c r="DQK12" s="10"/>
      <c r="DQN12" s="11"/>
      <c r="DQO12" s="10"/>
      <c r="DQR12" s="11"/>
      <c r="DQS12" s="10"/>
      <c r="DQV12" s="11"/>
      <c r="DQW12" s="10"/>
      <c r="DQZ12" s="11"/>
      <c r="DRA12" s="10"/>
      <c r="DRD12" s="11"/>
      <c r="DRE12" s="10"/>
      <c r="DRH12" s="11"/>
      <c r="DRI12" s="10"/>
      <c r="DRL12" s="11"/>
      <c r="DRM12" s="10"/>
      <c r="DRP12" s="11"/>
      <c r="DRQ12" s="10"/>
      <c r="DRT12" s="11"/>
      <c r="DRU12" s="10"/>
      <c r="DRX12" s="11"/>
      <c r="DRY12" s="10"/>
      <c r="DSB12" s="11"/>
      <c r="DSC12" s="10"/>
      <c r="DSF12" s="11"/>
      <c r="DSG12" s="10"/>
      <c r="DSJ12" s="11"/>
      <c r="DSK12" s="10"/>
      <c r="DSN12" s="11"/>
      <c r="DSO12" s="10"/>
      <c r="DSR12" s="11"/>
      <c r="DSS12" s="10"/>
      <c r="DSV12" s="11"/>
      <c r="DSW12" s="10"/>
      <c r="DSZ12" s="11"/>
      <c r="DTA12" s="10"/>
      <c r="DTD12" s="11"/>
      <c r="DTE12" s="10"/>
      <c r="DTH12" s="11"/>
      <c r="DTI12" s="10"/>
      <c r="DTL12" s="11"/>
      <c r="DTM12" s="10"/>
      <c r="DTP12" s="11"/>
      <c r="DTQ12" s="10"/>
      <c r="DTT12" s="11"/>
      <c r="DTU12" s="10"/>
      <c r="DTX12" s="11"/>
      <c r="DTY12" s="10"/>
      <c r="DUB12" s="11"/>
      <c r="DUC12" s="10"/>
      <c r="DUF12" s="11"/>
      <c r="DUG12" s="10"/>
      <c r="DUJ12" s="11"/>
      <c r="DUK12" s="10"/>
      <c r="DUN12" s="11"/>
      <c r="DUO12" s="10"/>
      <c r="DUR12" s="11"/>
      <c r="DUS12" s="10"/>
      <c r="DUV12" s="11"/>
      <c r="DUW12" s="10"/>
      <c r="DUZ12" s="11"/>
      <c r="DVA12" s="10"/>
      <c r="DVD12" s="11"/>
      <c r="DVE12" s="10"/>
      <c r="DVH12" s="11"/>
      <c r="DVI12" s="10"/>
      <c r="DVL12" s="11"/>
      <c r="DVM12" s="10"/>
      <c r="DVP12" s="11"/>
      <c r="DVQ12" s="10"/>
      <c r="DVT12" s="11"/>
      <c r="DVU12" s="10"/>
      <c r="DVX12" s="11"/>
      <c r="DVY12" s="10"/>
      <c r="DWB12" s="11"/>
      <c r="DWC12" s="10"/>
      <c r="DWF12" s="11"/>
      <c r="DWG12" s="10"/>
      <c r="DWJ12" s="11"/>
      <c r="DWK12" s="10"/>
      <c r="DWN12" s="11"/>
      <c r="DWO12" s="10"/>
      <c r="DWR12" s="11"/>
      <c r="DWS12" s="10"/>
      <c r="DWV12" s="11"/>
      <c r="DWW12" s="10"/>
      <c r="DWZ12" s="11"/>
      <c r="DXA12" s="10"/>
      <c r="DXD12" s="11"/>
      <c r="DXE12" s="10"/>
      <c r="DXH12" s="11"/>
      <c r="DXI12" s="10"/>
      <c r="DXL12" s="11"/>
      <c r="DXM12" s="10"/>
      <c r="DXP12" s="11"/>
      <c r="DXQ12" s="10"/>
      <c r="DXT12" s="11"/>
      <c r="DXU12" s="10"/>
      <c r="DXX12" s="11"/>
      <c r="DXY12" s="10"/>
      <c r="DYB12" s="11"/>
      <c r="DYC12" s="10"/>
      <c r="DYF12" s="11"/>
      <c r="DYG12" s="10"/>
      <c r="DYJ12" s="11"/>
      <c r="DYK12" s="10"/>
      <c r="DYN12" s="11"/>
      <c r="DYO12" s="10"/>
      <c r="DYR12" s="11"/>
      <c r="DYS12" s="10"/>
      <c r="DYV12" s="11"/>
      <c r="DYW12" s="10"/>
      <c r="DYZ12" s="11"/>
      <c r="DZA12" s="10"/>
      <c r="DZD12" s="11"/>
      <c r="DZE12" s="10"/>
      <c r="DZH12" s="11"/>
      <c r="DZI12" s="10"/>
      <c r="DZL12" s="11"/>
      <c r="DZM12" s="10"/>
      <c r="DZP12" s="11"/>
      <c r="DZQ12" s="10"/>
      <c r="DZT12" s="11"/>
      <c r="DZU12" s="10"/>
      <c r="DZX12" s="11"/>
      <c r="DZY12" s="10"/>
      <c r="EAB12" s="11"/>
      <c r="EAC12" s="10"/>
      <c r="EAF12" s="11"/>
      <c r="EAG12" s="10"/>
      <c r="EAJ12" s="11"/>
      <c r="EAK12" s="10"/>
      <c r="EAN12" s="11"/>
      <c r="EAO12" s="10"/>
      <c r="EAR12" s="11"/>
      <c r="EAS12" s="10"/>
      <c r="EAV12" s="11"/>
      <c r="EAW12" s="10"/>
      <c r="EAZ12" s="11"/>
      <c r="EBA12" s="10"/>
      <c r="EBD12" s="11"/>
      <c r="EBE12" s="10"/>
      <c r="EBH12" s="11"/>
      <c r="EBI12" s="10"/>
      <c r="EBL12" s="11"/>
      <c r="EBM12" s="10"/>
      <c r="EBP12" s="11"/>
      <c r="EBQ12" s="10"/>
      <c r="EBT12" s="11"/>
      <c r="EBU12" s="10"/>
      <c r="EBX12" s="11"/>
      <c r="EBY12" s="10"/>
      <c r="ECB12" s="11"/>
      <c r="ECC12" s="10"/>
      <c r="ECF12" s="11"/>
      <c r="ECG12" s="10"/>
      <c r="ECJ12" s="11"/>
      <c r="ECK12" s="10"/>
      <c r="ECN12" s="11"/>
      <c r="ECO12" s="10"/>
      <c r="ECR12" s="11"/>
      <c r="ECS12" s="10"/>
      <c r="ECV12" s="11"/>
      <c r="ECW12" s="10"/>
      <c r="ECZ12" s="11"/>
      <c r="EDA12" s="10"/>
      <c r="EDD12" s="11"/>
      <c r="EDE12" s="10"/>
      <c r="EDH12" s="11"/>
      <c r="EDI12" s="10"/>
      <c r="EDL12" s="11"/>
      <c r="EDM12" s="10"/>
      <c r="EDP12" s="11"/>
      <c r="EDQ12" s="10"/>
      <c r="EDT12" s="11"/>
      <c r="EDU12" s="10"/>
      <c r="EDX12" s="11"/>
      <c r="EDY12" s="10"/>
      <c r="EEB12" s="11"/>
      <c r="EEC12" s="10"/>
      <c r="EEF12" s="11"/>
      <c r="EEG12" s="10"/>
      <c r="EEJ12" s="11"/>
      <c r="EEK12" s="10"/>
      <c r="EEN12" s="11"/>
      <c r="EEO12" s="10"/>
      <c r="EER12" s="11"/>
      <c r="EES12" s="10"/>
      <c r="EEV12" s="11"/>
      <c r="EEW12" s="10"/>
      <c r="EEZ12" s="11"/>
      <c r="EFA12" s="10"/>
      <c r="EFD12" s="11"/>
      <c r="EFE12" s="10"/>
      <c r="EFH12" s="11"/>
      <c r="EFI12" s="10"/>
      <c r="EFL12" s="11"/>
      <c r="EFM12" s="10"/>
      <c r="EFP12" s="11"/>
      <c r="EFQ12" s="10"/>
      <c r="EFT12" s="11"/>
      <c r="EFU12" s="10"/>
      <c r="EFX12" s="11"/>
      <c r="EFY12" s="10"/>
      <c r="EGB12" s="11"/>
      <c r="EGC12" s="10"/>
      <c r="EGF12" s="11"/>
      <c r="EGG12" s="10"/>
      <c r="EGJ12" s="11"/>
      <c r="EGK12" s="10"/>
      <c r="EGN12" s="11"/>
      <c r="EGO12" s="10"/>
      <c r="EGR12" s="11"/>
      <c r="EGS12" s="10"/>
      <c r="EGV12" s="11"/>
      <c r="EGW12" s="10"/>
      <c r="EGZ12" s="11"/>
      <c r="EHA12" s="10"/>
      <c r="EHD12" s="11"/>
      <c r="EHE12" s="10"/>
      <c r="EHH12" s="11"/>
      <c r="EHI12" s="10"/>
      <c r="EHL12" s="11"/>
      <c r="EHM12" s="10"/>
      <c r="EHP12" s="11"/>
      <c r="EHQ12" s="10"/>
      <c r="EHT12" s="11"/>
      <c r="EHU12" s="10"/>
      <c r="EHX12" s="11"/>
      <c r="EHY12" s="10"/>
      <c r="EIB12" s="11"/>
      <c r="EIC12" s="10"/>
      <c r="EIF12" s="11"/>
      <c r="EIG12" s="10"/>
      <c r="EIJ12" s="11"/>
      <c r="EIK12" s="10"/>
      <c r="EIN12" s="11"/>
      <c r="EIO12" s="10"/>
      <c r="EIR12" s="11"/>
      <c r="EIS12" s="10"/>
      <c r="EIV12" s="11"/>
      <c r="EIW12" s="10"/>
      <c r="EIZ12" s="11"/>
      <c r="EJA12" s="10"/>
      <c r="EJD12" s="11"/>
      <c r="EJE12" s="10"/>
      <c r="EJH12" s="11"/>
      <c r="EJI12" s="10"/>
      <c r="EJL12" s="11"/>
      <c r="EJM12" s="10"/>
      <c r="EJP12" s="11"/>
      <c r="EJQ12" s="10"/>
      <c r="EJT12" s="11"/>
      <c r="EJU12" s="10"/>
      <c r="EJX12" s="11"/>
      <c r="EJY12" s="10"/>
      <c r="EKB12" s="11"/>
      <c r="EKC12" s="10"/>
      <c r="EKF12" s="11"/>
      <c r="EKG12" s="10"/>
      <c r="EKJ12" s="11"/>
      <c r="EKK12" s="10"/>
      <c r="EKN12" s="11"/>
      <c r="EKO12" s="10"/>
      <c r="EKR12" s="11"/>
      <c r="EKS12" s="10"/>
      <c r="EKV12" s="11"/>
      <c r="EKW12" s="10"/>
      <c r="EKZ12" s="11"/>
      <c r="ELA12" s="10"/>
      <c r="ELD12" s="11"/>
      <c r="ELE12" s="10"/>
      <c r="ELH12" s="11"/>
      <c r="ELI12" s="10"/>
      <c r="ELL12" s="11"/>
      <c r="ELM12" s="10"/>
      <c r="ELP12" s="11"/>
      <c r="ELQ12" s="10"/>
      <c r="ELT12" s="11"/>
      <c r="ELU12" s="10"/>
      <c r="ELX12" s="11"/>
      <c r="ELY12" s="10"/>
      <c r="EMB12" s="11"/>
      <c r="EMC12" s="10"/>
      <c r="EMF12" s="11"/>
      <c r="EMG12" s="10"/>
      <c r="EMJ12" s="11"/>
      <c r="EMK12" s="10"/>
      <c r="EMN12" s="11"/>
      <c r="EMO12" s="10"/>
      <c r="EMR12" s="11"/>
      <c r="EMS12" s="10"/>
      <c r="EMV12" s="11"/>
      <c r="EMW12" s="10"/>
      <c r="EMZ12" s="11"/>
      <c r="ENA12" s="10"/>
      <c r="END12" s="11"/>
      <c r="ENE12" s="10"/>
      <c r="ENH12" s="11"/>
      <c r="ENI12" s="10"/>
      <c r="ENL12" s="11"/>
      <c r="ENM12" s="10"/>
      <c r="ENP12" s="11"/>
      <c r="ENQ12" s="10"/>
      <c r="ENT12" s="11"/>
      <c r="ENU12" s="10"/>
      <c r="ENX12" s="11"/>
      <c r="ENY12" s="10"/>
      <c r="EOB12" s="11"/>
      <c r="EOC12" s="10"/>
      <c r="EOF12" s="11"/>
      <c r="EOG12" s="10"/>
      <c r="EOJ12" s="11"/>
      <c r="EOK12" s="10"/>
      <c r="EON12" s="11"/>
      <c r="EOO12" s="10"/>
      <c r="EOR12" s="11"/>
      <c r="EOS12" s="10"/>
      <c r="EOV12" s="11"/>
      <c r="EOW12" s="10"/>
      <c r="EOZ12" s="11"/>
      <c r="EPA12" s="10"/>
      <c r="EPD12" s="11"/>
      <c r="EPE12" s="10"/>
      <c r="EPH12" s="11"/>
      <c r="EPI12" s="10"/>
      <c r="EPL12" s="11"/>
      <c r="EPM12" s="10"/>
      <c r="EPP12" s="11"/>
      <c r="EPQ12" s="10"/>
      <c r="EPT12" s="11"/>
      <c r="EPU12" s="10"/>
      <c r="EPX12" s="11"/>
      <c r="EPY12" s="10"/>
      <c r="EQB12" s="11"/>
      <c r="EQC12" s="10"/>
      <c r="EQF12" s="11"/>
      <c r="EQG12" s="10"/>
      <c r="EQJ12" s="11"/>
      <c r="EQK12" s="10"/>
      <c r="EQN12" s="11"/>
      <c r="EQO12" s="10"/>
      <c r="EQR12" s="11"/>
      <c r="EQS12" s="10"/>
      <c r="EQV12" s="11"/>
      <c r="EQW12" s="10"/>
      <c r="EQZ12" s="11"/>
      <c r="ERA12" s="10"/>
      <c r="ERD12" s="11"/>
      <c r="ERE12" s="10"/>
      <c r="ERH12" s="11"/>
      <c r="ERI12" s="10"/>
      <c r="ERL12" s="11"/>
      <c r="ERM12" s="10"/>
      <c r="ERP12" s="11"/>
      <c r="ERQ12" s="10"/>
      <c r="ERT12" s="11"/>
      <c r="ERU12" s="10"/>
      <c r="ERX12" s="11"/>
      <c r="ERY12" s="10"/>
      <c r="ESB12" s="11"/>
      <c r="ESC12" s="10"/>
      <c r="ESF12" s="11"/>
      <c r="ESG12" s="10"/>
      <c r="ESJ12" s="11"/>
      <c r="ESK12" s="10"/>
      <c r="ESN12" s="11"/>
      <c r="ESO12" s="10"/>
      <c r="ESR12" s="11"/>
      <c r="ESS12" s="10"/>
      <c r="ESV12" s="11"/>
      <c r="ESW12" s="10"/>
      <c r="ESZ12" s="11"/>
      <c r="ETA12" s="10"/>
      <c r="ETD12" s="11"/>
      <c r="ETE12" s="10"/>
      <c r="ETH12" s="11"/>
      <c r="ETI12" s="10"/>
      <c r="ETL12" s="11"/>
      <c r="ETM12" s="10"/>
      <c r="ETP12" s="11"/>
      <c r="ETQ12" s="10"/>
      <c r="ETT12" s="11"/>
      <c r="ETU12" s="10"/>
      <c r="ETX12" s="11"/>
      <c r="ETY12" s="10"/>
      <c r="EUB12" s="11"/>
      <c r="EUC12" s="10"/>
      <c r="EUF12" s="11"/>
      <c r="EUG12" s="10"/>
      <c r="EUJ12" s="11"/>
      <c r="EUK12" s="10"/>
      <c r="EUN12" s="11"/>
      <c r="EUO12" s="10"/>
      <c r="EUR12" s="11"/>
      <c r="EUS12" s="10"/>
      <c r="EUV12" s="11"/>
      <c r="EUW12" s="10"/>
      <c r="EUZ12" s="11"/>
      <c r="EVA12" s="10"/>
      <c r="EVD12" s="11"/>
      <c r="EVE12" s="10"/>
      <c r="EVH12" s="11"/>
      <c r="EVI12" s="10"/>
      <c r="EVL12" s="11"/>
      <c r="EVM12" s="10"/>
      <c r="EVP12" s="11"/>
      <c r="EVQ12" s="10"/>
      <c r="EVT12" s="11"/>
      <c r="EVU12" s="10"/>
      <c r="EVX12" s="11"/>
      <c r="EVY12" s="10"/>
      <c r="EWB12" s="11"/>
      <c r="EWC12" s="10"/>
      <c r="EWF12" s="11"/>
      <c r="EWG12" s="10"/>
      <c r="EWJ12" s="11"/>
      <c r="EWK12" s="10"/>
      <c r="EWN12" s="11"/>
      <c r="EWO12" s="10"/>
      <c r="EWR12" s="11"/>
      <c r="EWS12" s="10"/>
      <c r="EWV12" s="11"/>
      <c r="EWW12" s="10"/>
      <c r="EWZ12" s="11"/>
      <c r="EXA12" s="10"/>
      <c r="EXD12" s="11"/>
      <c r="EXE12" s="10"/>
      <c r="EXH12" s="11"/>
      <c r="EXI12" s="10"/>
      <c r="EXL12" s="11"/>
      <c r="EXM12" s="10"/>
      <c r="EXP12" s="11"/>
      <c r="EXQ12" s="10"/>
      <c r="EXT12" s="11"/>
      <c r="EXU12" s="10"/>
      <c r="EXX12" s="11"/>
      <c r="EXY12" s="10"/>
      <c r="EYB12" s="11"/>
      <c r="EYC12" s="10"/>
      <c r="EYF12" s="11"/>
      <c r="EYG12" s="10"/>
      <c r="EYJ12" s="11"/>
      <c r="EYK12" s="10"/>
      <c r="EYN12" s="11"/>
      <c r="EYO12" s="10"/>
      <c r="EYR12" s="11"/>
      <c r="EYS12" s="10"/>
      <c r="EYV12" s="11"/>
      <c r="EYW12" s="10"/>
      <c r="EYZ12" s="11"/>
      <c r="EZA12" s="10"/>
      <c r="EZD12" s="11"/>
      <c r="EZE12" s="10"/>
      <c r="EZH12" s="11"/>
      <c r="EZI12" s="10"/>
      <c r="EZL12" s="11"/>
      <c r="EZM12" s="10"/>
      <c r="EZP12" s="11"/>
      <c r="EZQ12" s="10"/>
      <c r="EZT12" s="11"/>
      <c r="EZU12" s="10"/>
      <c r="EZX12" s="11"/>
      <c r="EZY12" s="10"/>
      <c r="FAB12" s="11"/>
      <c r="FAC12" s="10"/>
      <c r="FAF12" s="11"/>
      <c r="FAG12" s="10"/>
      <c r="FAJ12" s="11"/>
      <c r="FAK12" s="10"/>
      <c r="FAN12" s="11"/>
      <c r="FAO12" s="10"/>
      <c r="FAR12" s="11"/>
      <c r="FAS12" s="10"/>
      <c r="FAV12" s="11"/>
      <c r="FAW12" s="10"/>
      <c r="FAZ12" s="11"/>
      <c r="FBA12" s="10"/>
      <c r="FBD12" s="11"/>
      <c r="FBE12" s="10"/>
      <c r="FBH12" s="11"/>
      <c r="FBI12" s="10"/>
      <c r="FBL12" s="11"/>
      <c r="FBM12" s="10"/>
      <c r="FBP12" s="11"/>
      <c r="FBQ12" s="10"/>
      <c r="FBT12" s="11"/>
      <c r="FBU12" s="10"/>
      <c r="FBX12" s="11"/>
      <c r="FBY12" s="10"/>
      <c r="FCB12" s="11"/>
      <c r="FCC12" s="10"/>
      <c r="FCF12" s="11"/>
      <c r="FCG12" s="10"/>
      <c r="FCJ12" s="11"/>
      <c r="FCK12" s="10"/>
      <c r="FCN12" s="11"/>
      <c r="FCO12" s="10"/>
      <c r="FCR12" s="11"/>
      <c r="FCS12" s="10"/>
      <c r="FCV12" s="11"/>
      <c r="FCW12" s="10"/>
      <c r="FCZ12" s="11"/>
      <c r="FDA12" s="10"/>
      <c r="FDD12" s="11"/>
      <c r="FDE12" s="10"/>
      <c r="FDH12" s="11"/>
      <c r="FDI12" s="10"/>
      <c r="FDL12" s="11"/>
      <c r="FDM12" s="10"/>
      <c r="FDP12" s="11"/>
      <c r="FDQ12" s="10"/>
      <c r="FDT12" s="11"/>
      <c r="FDU12" s="10"/>
      <c r="FDX12" s="11"/>
      <c r="FDY12" s="10"/>
      <c r="FEB12" s="11"/>
      <c r="FEC12" s="10"/>
      <c r="FEF12" s="11"/>
      <c r="FEG12" s="10"/>
      <c r="FEJ12" s="11"/>
      <c r="FEK12" s="10"/>
      <c r="FEN12" s="11"/>
      <c r="FEO12" s="10"/>
      <c r="FER12" s="11"/>
      <c r="FES12" s="10"/>
      <c r="FEV12" s="11"/>
      <c r="FEW12" s="10"/>
      <c r="FEZ12" s="11"/>
      <c r="FFA12" s="10"/>
      <c r="FFD12" s="11"/>
      <c r="FFE12" s="10"/>
      <c r="FFH12" s="11"/>
      <c r="FFI12" s="10"/>
      <c r="FFL12" s="11"/>
      <c r="FFM12" s="10"/>
      <c r="FFP12" s="11"/>
      <c r="FFQ12" s="10"/>
      <c r="FFT12" s="11"/>
      <c r="FFU12" s="10"/>
      <c r="FFX12" s="11"/>
      <c r="FFY12" s="10"/>
      <c r="FGB12" s="11"/>
      <c r="FGC12" s="10"/>
      <c r="FGF12" s="11"/>
      <c r="FGG12" s="10"/>
      <c r="FGJ12" s="11"/>
      <c r="FGK12" s="10"/>
      <c r="FGN12" s="11"/>
      <c r="FGO12" s="10"/>
      <c r="FGR12" s="11"/>
      <c r="FGS12" s="10"/>
      <c r="FGV12" s="11"/>
      <c r="FGW12" s="10"/>
      <c r="FGZ12" s="11"/>
      <c r="FHA12" s="10"/>
      <c r="FHD12" s="11"/>
      <c r="FHE12" s="10"/>
      <c r="FHH12" s="11"/>
      <c r="FHI12" s="10"/>
      <c r="FHL12" s="11"/>
      <c r="FHM12" s="10"/>
      <c r="FHP12" s="11"/>
      <c r="FHQ12" s="10"/>
      <c r="FHT12" s="11"/>
      <c r="FHU12" s="10"/>
      <c r="FHX12" s="11"/>
      <c r="FHY12" s="10"/>
      <c r="FIB12" s="11"/>
      <c r="FIC12" s="10"/>
      <c r="FIF12" s="11"/>
      <c r="FIG12" s="10"/>
      <c r="FIJ12" s="11"/>
      <c r="FIK12" s="10"/>
      <c r="FIN12" s="11"/>
      <c r="FIO12" s="10"/>
      <c r="FIR12" s="11"/>
      <c r="FIS12" s="10"/>
      <c r="FIV12" s="11"/>
      <c r="FIW12" s="10"/>
      <c r="FIZ12" s="11"/>
      <c r="FJA12" s="10"/>
      <c r="FJD12" s="11"/>
      <c r="FJE12" s="10"/>
      <c r="FJH12" s="11"/>
      <c r="FJI12" s="10"/>
      <c r="FJL12" s="11"/>
      <c r="FJM12" s="10"/>
      <c r="FJP12" s="11"/>
      <c r="FJQ12" s="10"/>
      <c r="FJT12" s="11"/>
      <c r="FJU12" s="10"/>
      <c r="FJX12" s="11"/>
      <c r="FJY12" s="10"/>
      <c r="FKB12" s="11"/>
      <c r="FKC12" s="10"/>
      <c r="FKF12" s="11"/>
      <c r="FKG12" s="10"/>
      <c r="FKJ12" s="11"/>
      <c r="FKK12" s="10"/>
      <c r="FKN12" s="11"/>
      <c r="FKO12" s="10"/>
      <c r="FKR12" s="11"/>
      <c r="FKS12" s="10"/>
      <c r="FKV12" s="11"/>
      <c r="FKW12" s="10"/>
      <c r="FKZ12" s="11"/>
      <c r="FLA12" s="10"/>
      <c r="FLD12" s="11"/>
      <c r="FLE12" s="10"/>
      <c r="FLH12" s="11"/>
      <c r="FLI12" s="10"/>
      <c r="FLL12" s="11"/>
      <c r="FLM12" s="10"/>
      <c r="FLP12" s="11"/>
      <c r="FLQ12" s="10"/>
      <c r="FLT12" s="11"/>
      <c r="FLU12" s="10"/>
      <c r="FLX12" s="11"/>
      <c r="FLY12" s="10"/>
      <c r="FMB12" s="11"/>
      <c r="FMC12" s="10"/>
      <c r="FMF12" s="11"/>
      <c r="FMG12" s="10"/>
      <c r="FMJ12" s="11"/>
      <c r="FMK12" s="10"/>
      <c r="FMN12" s="11"/>
      <c r="FMO12" s="10"/>
      <c r="FMR12" s="11"/>
      <c r="FMS12" s="10"/>
      <c r="FMV12" s="11"/>
      <c r="FMW12" s="10"/>
      <c r="FMZ12" s="11"/>
      <c r="FNA12" s="10"/>
      <c r="FND12" s="11"/>
      <c r="FNE12" s="10"/>
      <c r="FNH12" s="11"/>
      <c r="FNI12" s="10"/>
      <c r="FNL12" s="11"/>
      <c r="FNM12" s="10"/>
      <c r="FNP12" s="11"/>
      <c r="FNQ12" s="10"/>
      <c r="FNT12" s="11"/>
      <c r="FNU12" s="10"/>
      <c r="FNX12" s="11"/>
      <c r="FNY12" s="10"/>
      <c r="FOB12" s="11"/>
      <c r="FOC12" s="10"/>
      <c r="FOF12" s="11"/>
      <c r="FOG12" s="10"/>
      <c r="FOJ12" s="11"/>
      <c r="FOK12" s="10"/>
      <c r="FON12" s="11"/>
      <c r="FOO12" s="10"/>
      <c r="FOR12" s="11"/>
      <c r="FOS12" s="10"/>
      <c r="FOV12" s="11"/>
      <c r="FOW12" s="10"/>
      <c r="FOZ12" s="11"/>
      <c r="FPA12" s="10"/>
      <c r="FPD12" s="11"/>
      <c r="FPE12" s="10"/>
      <c r="FPH12" s="11"/>
      <c r="FPI12" s="10"/>
      <c r="FPL12" s="11"/>
      <c r="FPM12" s="10"/>
      <c r="FPP12" s="11"/>
      <c r="FPQ12" s="10"/>
      <c r="FPT12" s="11"/>
      <c r="FPU12" s="10"/>
      <c r="FPX12" s="11"/>
      <c r="FPY12" s="10"/>
      <c r="FQB12" s="11"/>
      <c r="FQC12" s="10"/>
      <c r="FQF12" s="11"/>
      <c r="FQG12" s="10"/>
      <c r="FQJ12" s="11"/>
      <c r="FQK12" s="10"/>
      <c r="FQN12" s="11"/>
      <c r="FQO12" s="10"/>
      <c r="FQR12" s="11"/>
      <c r="FQS12" s="10"/>
      <c r="FQV12" s="11"/>
      <c r="FQW12" s="10"/>
      <c r="FQZ12" s="11"/>
      <c r="FRA12" s="10"/>
      <c r="FRD12" s="11"/>
      <c r="FRE12" s="10"/>
      <c r="FRH12" s="11"/>
      <c r="FRI12" s="10"/>
      <c r="FRL12" s="11"/>
      <c r="FRM12" s="10"/>
      <c r="FRP12" s="11"/>
      <c r="FRQ12" s="10"/>
      <c r="FRT12" s="11"/>
      <c r="FRU12" s="10"/>
      <c r="FRX12" s="11"/>
      <c r="FRY12" s="10"/>
      <c r="FSB12" s="11"/>
      <c r="FSC12" s="10"/>
      <c r="FSF12" s="11"/>
      <c r="FSG12" s="10"/>
      <c r="FSJ12" s="11"/>
      <c r="FSK12" s="10"/>
      <c r="FSN12" s="11"/>
      <c r="FSO12" s="10"/>
      <c r="FSR12" s="11"/>
      <c r="FSS12" s="10"/>
      <c r="FSV12" s="11"/>
      <c r="FSW12" s="10"/>
      <c r="FSZ12" s="11"/>
      <c r="FTA12" s="10"/>
      <c r="FTD12" s="11"/>
      <c r="FTE12" s="10"/>
      <c r="FTH12" s="11"/>
      <c r="FTI12" s="10"/>
      <c r="FTL12" s="11"/>
      <c r="FTM12" s="10"/>
      <c r="FTP12" s="11"/>
      <c r="FTQ12" s="10"/>
      <c r="FTT12" s="11"/>
      <c r="FTU12" s="10"/>
      <c r="FTX12" s="11"/>
      <c r="FTY12" s="10"/>
      <c r="FUB12" s="11"/>
      <c r="FUC12" s="10"/>
      <c r="FUF12" s="11"/>
      <c r="FUG12" s="10"/>
      <c r="FUJ12" s="11"/>
      <c r="FUK12" s="10"/>
      <c r="FUN12" s="11"/>
      <c r="FUO12" s="10"/>
      <c r="FUR12" s="11"/>
      <c r="FUS12" s="10"/>
      <c r="FUV12" s="11"/>
      <c r="FUW12" s="10"/>
      <c r="FUZ12" s="11"/>
      <c r="FVA12" s="10"/>
      <c r="FVD12" s="11"/>
      <c r="FVE12" s="10"/>
      <c r="FVH12" s="11"/>
      <c r="FVI12" s="10"/>
      <c r="FVL12" s="11"/>
      <c r="FVM12" s="10"/>
      <c r="FVP12" s="11"/>
      <c r="FVQ12" s="10"/>
      <c r="FVT12" s="11"/>
      <c r="FVU12" s="10"/>
      <c r="FVX12" s="11"/>
      <c r="FVY12" s="10"/>
      <c r="FWB12" s="11"/>
      <c r="FWC12" s="10"/>
      <c r="FWF12" s="11"/>
      <c r="FWG12" s="10"/>
      <c r="FWJ12" s="11"/>
      <c r="FWK12" s="10"/>
      <c r="FWN12" s="11"/>
      <c r="FWO12" s="10"/>
      <c r="FWR12" s="11"/>
      <c r="FWS12" s="10"/>
      <c r="FWV12" s="11"/>
      <c r="FWW12" s="10"/>
      <c r="FWZ12" s="11"/>
      <c r="FXA12" s="10"/>
      <c r="FXD12" s="11"/>
      <c r="FXE12" s="10"/>
      <c r="FXH12" s="11"/>
      <c r="FXI12" s="10"/>
      <c r="FXL12" s="11"/>
      <c r="FXM12" s="10"/>
      <c r="FXP12" s="11"/>
      <c r="FXQ12" s="10"/>
      <c r="FXT12" s="11"/>
      <c r="FXU12" s="10"/>
      <c r="FXX12" s="11"/>
      <c r="FXY12" s="10"/>
      <c r="FYB12" s="11"/>
      <c r="FYC12" s="10"/>
      <c r="FYF12" s="11"/>
      <c r="FYG12" s="10"/>
      <c r="FYJ12" s="11"/>
      <c r="FYK12" s="10"/>
      <c r="FYN12" s="11"/>
      <c r="FYO12" s="10"/>
      <c r="FYR12" s="11"/>
      <c r="FYS12" s="10"/>
      <c r="FYV12" s="11"/>
      <c r="FYW12" s="10"/>
      <c r="FYZ12" s="11"/>
      <c r="FZA12" s="10"/>
      <c r="FZD12" s="11"/>
      <c r="FZE12" s="10"/>
      <c r="FZH12" s="11"/>
      <c r="FZI12" s="10"/>
      <c r="FZL12" s="11"/>
      <c r="FZM12" s="10"/>
      <c r="FZP12" s="11"/>
      <c r="FZQ12" s="10"/>
      <c r="FZT12" s="11"/>
      <c r="FZU12" s="10"/>
      <c r="FZX12" s="11"/>
      <c r="FZY12" s="10"/>
      <c r="GAB12" s="11"/>
      <c r="GAC12" s="10"/>
      <c r="GAF12" s="11"/>
      <c r="GAG12" s="10"/>
      <c r="GAJ12" s="11"/>
      <c r="GAK12" s="10"/>
      <c r="GAN12" s="11"/>
      <c r="GAO12" s="10"/>
      <c r="GAR12" s="11"/>
      <c r="GAS12" s="10"/>
      <c r="GAV12" s="11"/>
      <c r="GAW12" s="10"/>
      <c r="GAZ12" s="11"/>
      <c r="GBA12" s="10"/>
      <c r="GBD12" s="11"/>
      <c r="GBE12" s="10"/>
      <c r="GBH12" s="11"/>
      <c r="GBI12" s="10"/>
      <c r="GBL12" s="11"/>
      <c r="GBM12" s="10"/>
      <c r="GBP12" s="11"/>
      <c r="GBQ12" s="10"/>
      <c r="GBT12" s="11"/>
      <c r="GBU12" s="10"/>
      <c r="GBX12" s="11"/>
      <c r="GBY12" s="10"/>
      <c r="GCB12" s="11"/>
      <c r="GCC12" s="10"/>
      <c r="GCF12" s="11"/>
      <c r="GCG12" s="10"/>
      <c r="GCJ12" s="11"/>
      <c r="GCK12" s="10"/>
      <c r="GCN12" s="11"/>
      <c r="GCO12" s="10"/>
      <c r="GCR12" s="11"/>
      <c r="GCS12" s="10"/>
      <c r="GCV12" s="11"/>
      <c r="GCW12" s="10"/>
      <c r="GCZ12" s="11"/>
      <c r="GDA12" s="10"/>
      <c r="GDD12" s="11"/>
      <c r="GDE12" s="10"/>
      <c r="GDH12" s="11"/>
      <c r="GDI12" s="10"/>
      <c r="GDL12" s="11"/>
      <c r="GDM12" s="10"/>
      <c r="GDP12" s="11"/>
      <c r="GDQ12" s="10"/>
      <c r="GDT12" s="11"/>
      <c r="GDU12" s="10"/>
      <c r="GDX12" s="11"/>
      <c r="GDY12" s="10"/>
      <c r="GEB12" s="11"/>
      <c r="GEC12" s="10"/>
      <c r="GEF12" s="11"/>
      <c r="GEG12" s="10"/>
      <c r="GEJ12" s="11"/>
      <c r="GEK12" s="10"/>
      <c r="GEN12" s="11"/>
      <c r="GEO12" s="10"/>
      <c r="GER12" s="11"/>
      <c r="GES12" s="10"/>
      <c r="GEV12" s="11"/>
      <c r="GEW12" s="10"/>
      <c r="GEZ12" s="11"/>
      <c r="GFA12" s="10"/>
      <c r="GFD12" s="11"/>
      <c r="GFE12" s="10"/>
      <c r="GFH12" s="11"/>
      <c r="GFI12" s="10"/>
      <c r="GFL12" s="11"/>
      <c r="GFM12" s="10"/>
      <c r="GFP12" s="11"/>
      <c r="GFQ12" s="10"/>
      <c r="GFT12" s="11"/>
      <c r="GFU12" s="10"/>
      <c r="GFX12" s="11"/>
      <c r="GFY12" s="10"/>
      <c r="GGB12" s="11"/>
      <c r="GGC12" s="10"/>
      <c r="GGF12" s="11"/>
      <c r="GGG12" s="10"/>
      <c r="GGJ12" s="11"/>
      <c r="GGK12" s="10"/>
      <c r="GGN12" s="11"/>
      <c r="GGO12" s="10"/>
      <c r="GGR12" s="11"/>
      <c r="GGS12" s="10"/>
      <c r="GGV12" s="11"/>
      <c r="GGW12" s="10"/>
      <c r="GGZ12" s="11"/>
      <c r="GHA12" s="10"/>
      <c r="GHD12" s="11"/>
      <c r="GHE12" s="10"/>
      <c r="GHH12" s="11"/>
      <c r="GHI12" s="10"/>
      <c r="GHL12" s="11"/>
      <c r="GHM12" s="10"/>
      <c r="GHP12" s="11"/>
      <c r="GHQ12" s="10"/>
      <c r="GHT12" s="11"/>
      <c r="GHU12" s="10"/>
      <c r="GHX12" s="11"/>
      <c r="GHY12" s="10"/>
      <c r="GIB12" s="11"/>
      <c r="GIC12" s="10"/>
      <c r="GIF12" s="11"/>
      <c r="GIG12" s="10"/>
      <c r="GIJ12" s="11"/>
      <c r="GIK12" s="10"/>
      <c r="GIN12" s="11"/>
      <c r="GIO12" s="10"/>
      <c r="GIR12" s="11"/>
      <c r="GIS12" s="10"/>
      <c r="GIV12" s="11"/>
      <c r="GIW12" s="10"/>
      <c r="GIZ12" s="11"/>
      <c r="GJA12" s="10"/>
      <c r="GJD12" s="11"/>
      <c r="GJE12" s="10"/>
      <c r="GJH12" s="11"/>
      <c r="GJI12" s="10"/>
      <c r="GJL12" s="11"/>
      <c r="GJM12" s="10"/>
      <c r="GJP12" s="11"/>
      <c r="GJQ12" s="10"/>
      <c r="GJT12" s="11"/>
      <c r="GJU12" s="10"/>
      <c r="GJX12" s="11"/>
      <c r="GJY12" s="10"/>
      <c r="GKB12" s="11"/>
      <c r="GKC12" s="10"/>
      <c r="GKF12" s="11"/>
      <c r="GKG12" s="10"/>
      <c r="GKJ12" s="11"/>
      <c r="GKK12" s="10"/>
      <c r="GKN12" s="11"/>
      <c r="GKO12" s="10"/>
      <c r="GKR12" s="11"/>
      <c r="GKS12" s="10"/>
      <c r="GKV12" s="11"/>
      <c r="GKW12" s="10"/>
      <c r="GKZ12" s="11"/>
      <c r="GLA12" s="10"/>
      <c r="GLD12" s="11"/>
      <c r="GLE12" s="10"/>
      <c r="GLH12" s="11"/>
      <c r="GLI12" s="10"/>
      <c r="GLL12" s="11"/>
      <c r="GLM12" s="10"/>
      <c r="GLP12" s="11"/>
      <c r="GLQ12" s="10"/>
      <c r="GLT12" s="11"/>
      <c r="GLU12" s="10"/>
      <c r="GLX12" s="11"/>
      <c r="GLY12" s="10"/>
      <c r="GMB12" s="11"/>
      <c r="GMC12" s="10"/>
      <c r="GMF12" s="11"/>
      <c r="GMG12" s="10"/>
      <c r="GMJ12" s="11"/>
      <c r="GMK12" s="10"/>
      <c r="GMN12" s="11"/>
      <c r="GMO12" s="10"/>
      <c r="GMR12" s="11"/>
      <c r="GMS12" s="10"/>
      <c r="GMV12" s="11"/>
      <c r="GMW12" s="10"/>
      <c r="GMZ12" s="11"/>
      <c r="GNA12" s="10"/>
      <c r="GND12" s="11"/>
      <c r="GNE12" s="10"/>
      <c r="GNH12" s="11"/>
      <c r="GNI12" s="10"/>
      <c r="GNL12" s="11"/>
      <c r="GNM12" s="10"/>
      <c r="GNP12" s="11"/>
      <c r="GNQ12" s="10"/>
      <c r="GNT12" s="11"/>
      <c r="GNU12" s="10"/>
      <c r="GNX12" s="11"/>
      <c r="GNY12" s="10"/>
      <c r="GOB12" s="11"/>
      <c r="GOC12" s="10"/>
      <c r="GOF12" s="11"/>
      <c r="GOG12" s="10"/>
      <c r="GOJ12" s="11"/>
      <c r="GOK12" s="10"/>
      <c r="GON12" s="11"/>
      <c r="GOO12" s="10"/>
      <c r="GOR12" s="11"/>
      <c r="GOS12" s="10"/>
      <c r="GOV12" s="11"/>
      <c r="GOW12" s="10"/>
      <c r="GOZ12" s="11"/>
      <c r="GPA12" s="10"/>
      <c r="GPD12" s="11"/>
      <c r="GPE12" s="10"/>
      <c r="GPH12" s="11"/>
      <c r="GPI12" s="10"/>
      <c r="GPL12" s="11"/>
      <c r="GPM12" s="10"/>
      <c r="GPP12" s="11"/>
      <c r="GPQ12" s="10"/>
      <c r="GPT12" s="11"/>
      <c r="GPU12" s="10"/>
      <c r="GPX12" s="11"/>
      <c r="GPY12" s="10"/>
      <c r="GQB12" s="11"/>
      <c r="GQC12" s="10"/>
      <c r="GQF12" s="11"/>
      <c r="GQG12" s="10"/>
      <c r="GQJ12" s="11"/>
      <c r="GQK12" s="10"/>
      <c r="GQN12" s="11"/>
      <c r="GQO12" s="10"/>
      <c r="GQR12" s="11"/>
      <c r="GQS12" s="10"/>
      <c r="GQV12" s="11"/>
      <c r="GQW12" s="10"/>
      <c r="GQZ12" s="11"/>
      <c r="GRA12" s="10"/>
      <c r="GRD12" s="11"/>
      <c r="GRE12" s="10"/>
      <c r="GRH12" s="11"/>
      <c r="GRI12" s="10"/>
      <c r="GRL12" s="11"/>
      <c r="GRM12" s="10"/>
      <c r="GRP12" s="11"/>
      <c r="GRQ12" s="10"/>
      <c r="GRT12" s="11"/>
      <c r="GRU12" s="10"/>
      <c r="GRX12" s="11"/>
      <c r="GRY12" s="10"/>
      <c r="GSB12" s="11"/>
      <c r="GSC12" s="10"/>
      <c r="GSF12" s="11"/>
      <c r="GSG12" s="10"/>
      <c r="GSJ12" s="11"/>
      <c r="GSK12" s="10"/>
      <c r="GSN12" s="11"/>
      <c r="GSO12" s="10"/>
      <c r="GSR12" s="11"/>
      <c r="GSS12" s="10"/>
      <c r="GSV12" s="11"/>
      <c r="GSW12" s="10"/>
      <c r="GSZ12" s="11"/>
      <c r="GTA12" s="10"/>
      <c r="GTD12" s="11"/>
      <c r="GTE12" s="10"/>
      <c r="GTH12" s="11"/>
      <c r="GTI12" s="10"/>
      <c r="GTL12" s="11"/>
      <c r="GTM12" s="10"/>
      <c r="GTP12" s="11"/>
      <c r="GTQ12" s="10"/>
      <c r="GTT12" s="11"/>
      <c r="GTU12" s="10"/>
      <c r="GTX12" s="11"/>
      <c r="GTY12" s="10"/>
      <c r="GUB12" s="11"/>
      <c r="GUC12" s="10"/>
      <c r="GUF12" s="11"/>
      <c r="GUG12" s="10"/>
      <c r="GUJ12" s="11"/>
      <c r="GUK12" s="10"/>
      <c r="GUN12" s="11"/>
      <c r="GUO12" s="10"/>
      <c r="GUR12" s="11"/>
      <c r="GUS12" s="10"/>
      <c r="GUV12" s="11"/>
      <c r="GUW12" s="10"/>
      <c r="GUZ12" s="11"/>
      <c r="GVA12" s="10"/>
      <c r="GVD12" s="11"/>
      <c r="GVE12" s="10"/>
      <c r="GVH12" s="11"/>
      <c r="GVI12" s="10"/>
      <c r="GVL12" s="11"/>
      <c r="GVM12" s="10"/>
      <c r="GVP12" s="11"/>
      <c r="GVQ12" s="10"/>
      <c r="GVT12" s="11"/>
      <c r="GVU12" s="10"/>
      <c r="GVX12" s="11"/>
      <c r="GVY12" s="10"/>
      <c r="GWB12" s="11"/>
      <c r="GWC12" s="10"/>
      <c r="GWF12" s="11"/>
      <c r="GWG12" s="10"/>
      <c r="GWJ12" s="11"/>
      <c r="GWK12" s="10"/>
      <c r="GWN12" s="11"/>
      <c r="GWO12" s="10"/>
      <c r="GWR12" s="11"/>
      <c r="GWS12" s="10"/>
      <c r="GWV12" s="11"/>
      <c r="GWW12" s="10"/>
      <c r="GWZ12" s="11"/>
      <c r="GXA12" s="10"/>
      <c r="GXD12" s="11"/>
      <c r="GXE12" s="10"/>
      <c r="GXH12" s="11"/>
      <c r="GXI12" s="10"/>
      <c r="GXL12" s="11"/>
      <c r="GXM12" s="10"/>
      <c r="GXP12" s="11"/>
      <c r="GXQ12" s="10"/>
      <c r="GXT12" s="11"/>
      <c r="GXU12" s="10"/>
      <c r="GXX12" s="11"/>
      <c r="GXY12" s="10"/>
      <c r="GYB12" s="11"/>
      <c r="GYC12" s="10"/>
      <c r="GYF12" s="11"/>
      <c r="GYG12" s="10"/>
      <c r="GYJ12" s="11"/>
      <c r="GYK12" s="10"/>
      <c r="GYN12" s="11"/>
      <c r="GYO12" s="10"/>
      <c r="GYR12" s="11"/>
      <c r="GYS12" s="10"/>
      <c r="GYV12" s="11"/>
      <c r="GYW12" s="10"/>
      <c r="GYZ12" s="11"/>
      <c r="GZA12" s="10"/>
      <c r="GZD12" s="11"/>
      <c r="GZE12" s="10"/>
      <c r="GZH12" s="11"/>
      <c r="GZI12" s="10"/>
      <c r="GZL12" s="11"/>
      <c r="GZM12" s="10"/>
      <c r="GZP12" s="11"/>
      <c r="GZQ12" s="10"/>
      <c r="GZT12" s="11"/>
      <c r="GZU12" s="10"/>
      <c r="GZX12" s="11"/>
      <c r="GZY12" s="10"/>
      <c r="HAB12" s="11"/>
      <c r="HAC12" s="10"/>
      <c r="HAF12" s="11"/>
      <c r="HAG12" s="10"/>
      <c r="HAJ12" s="11"/>
      <c r="HAK12" s="10"/>
      <c r="HAN12" s="11"/>
      <c r="HAO12" s="10"/>
      <c r="HAR12" s="11"/>
      <c r="HAS12" s="10"/>
      <c r="HAV12" s="11"/>
      <c r="HAW12" s="10"/>
      <c r="HAZ12" s="11"/>
      <c r="HBA12" s="10"/>
      <c r="HBD12" s="11"/>
      <c r="HBE12" s="10"/>
      <c r="HBH12" s="11"/>
      <c r="HBI12" s="10"/>
      <c r="HBL12" s="11"/>
      <c r="HBM12" s="10"/>
      <c r="HBP12" s="11"/>
      <c r="HBQ12" s="10"/>
      <c r="HBT12" s="11"/>
      <c r="HBU12" s="10"/>
      <c r="HBX12" s="11"/>
      <c r="HBY12" s="10"/>
      <c r="HCB12" s="11"/>
      <c r="HCC12" s="10"/>
      <c r="HCF12" s="11"/>
      <c r="HCG12" s="10"/>
      <c r="HCJ12" s="11"/>
      <c r="HCK12" s="10"/>
      <c r="HCN12" s="11"/>
      <c r="HCO12" s="10"/>
      <c r="HCR12" s="11"/>
      <c r="HCS12" s="10"/>
      <c r="HCV12" s="11"/>
      <c r="HCW12" s="10"/>
      <c r="HCZ12" s="11"/>
      <c r="HDA12" s="10"/>
      <c r="HDD12" s="11"/>
      <c r="HDE12" s="10"/>
      <c r="HDH12" s="11"/>
      <c r="HDI12" s="10"/>
      <c r="HDL12" s="11"/>
      <c r="HDM12" s="10"/>
      <c r="HDP12" s="11"/>
      <c r="HDQ12" s="10"/>
      <c r="HDT12" s="11"/>
      <c r="HDU12" s="10"/>
      <c r="HDX12" s="11"/>
      <c r="HDY12" s="10"/>
      <c r="HEB12" s="11"/>
      <c r="HEC12" s="10"/>
      <c r="HEF12" s="11"/>
      <c r="HEG12" s="10"/>
      <c r="HEJ12" s="11"/>
      <c r="HEK12" s="10"/>
      <c r="HEN12" s="11"/>
      <c r="HEO12" s="10"/>
      <c r="HER12" s="11"/>
      <c r="HES12" s="10"/>
      <c r="HEV12" s="11"/>
      <c r="HEW12" s="10"/>
      <c r="HEZ12" s="11"/>
      <c r="HFA12" s="10"/>
      <c r="HFD12" s="11"/>
      <c r="HFE12" s="10"/>
      <c r="HFH12" s="11"/>
      <c r="HFI12" s="10"/>
      <c r="HFL12" s="11"/>
      <c r="HFM12" s="10"/>
      <c r="HFP12" s="11"/>
      <c r="HFQ12" s="10"/>
      <c r="HFT12" s="11"/>
      <c r="HFU12" s="10"/>
      <c r="HFX12" s="11"/>
      <c r="HFY12" s="10"/>
      <c r="HGB12" s="11"/>
      <c r="HGC12" s="10"/>
      <c r="HGF12" s="11"/>
      <c r="HGG12" s="10"/>
      <c r="HGJ12" s="11"/>
      <c r="HGK12" s="10"/>
      <c r="HGN12" s="11"/>
      <c r="HGO12" s="10"/>
      <c r="HGR12" s="11"/>
      <c r="HGS12" s="10"/>
      <c r="HGV12" s="11"/>
      <c r="HGW12" s="10"/>
      <c r="HGZ12" s="11"/>
      <c r="HHA12" s="10"/>
      <c r="HHD12" s="11"/>
      <c r="HHE12" s="10"/>
      <c r="HHH12" s="11"/>
      <c r="HHI12" s="10"/>
      <c r="HHL12" s="11"/>
      <c r="HHM12" s="10"/>
      <c r="HHP12" s="11"/>
      <c r="HHQ12" s="10"/>
      <c r="HHT12" s="11"/>
      <c r="HHU12" s="10"/>
      <c r="HHX12" s="11"/>
      <c r="HHY12" s="10"/>
      <c r="HIB12" s="11"/>
      <c r="HIC12" s="10"/>
      <c r="HIF12" s="11"/>
      <c r="HIG12" s="10"/>
      <c r="HIJ12" s="11"/>
      <c r="HIK12" s="10"/>
      <c r="HIN12" s="11"/>
      <c r="HIO12" s="10"/>
      <c r="HIR12" s="11"/>
      <c r="HIS12" s="10"/>
      <c r="HIV12" s="11"/>
      <c r="HIW12" s="10"/>
      <c r="HIZ12" s="11"/>
      <c r="HJA12" s="10"/>
      <c r="HJD12" s="11"/>
      <c r="HJE12" s="10"/>
      <c r="HJH12" s="11"/>
      <c r="HJI12" s="10"/>
      <c r="HJL12" s="11"/>
      <c r="HJM12" s="10"/>
      <c r="HJP12" s="11"/>
      <c r="HJQ12" s="10"/>
      <c r="HJT12" s="11"/>
      <c r="HJU12" s="10"/>
      <c r="HJX12" s="11"/>
      <c r="HJY12" s="10"/>
      <c r="HKB12" s="11"/>
      <c r="HKC12" s="10"/>
      <c r="HKF12" s="11"/>
      <c r="HKG12" s="10"/>
      <c r="HKJ12" s="11"/>
      <c r="HKK12" s="10"/>
      <c r="HKN12" s="11"/>
      <c r="HKO12" s="10"/>
      <c r="HKR12" s="11"/>
      <c r="HKS12" s="10"/>
      <c r="HKV12" s="11"/>
      <c r="HKW12" s="10"/>
      <c r="HKZ12" s="11"/>
      <c r="HLA12" s="10"/>
      <c r="HLD12" s="11"/>
      <c r="HLE12" s="10"/>
      <c r="HLH12" s="11"/>
      <c r="HLI12" s="10"/>
      <c r="HLL12" s="11"/>
      <c r="HLM12" s="10"/>
      <c r="HLP12" s="11"/>
      <c r="HLQ12" s="10"/>
      <c r="HLT12" s="11"/>
      <c r="HLU12" s="10"/>
      <c r="HLX12" s="11"/>
      <c r="HLY12" s="10"/>
      <c r="HMB12" s="11"/>
      <c r="HMC12" s="10"/>
      <c r="HMF12" s="11"/>
      <c r="HMG12" s="10"/>
      <c r="HMJ12" s="11"/>
      <c r="HMK12" s="10"/>
      <c r="HMN12" s="11"/>
      <c r="HMO12" s="10"/>
      <c r="HMR12" s="11"/>
      <c r="HMS12" s="10"/>
      <c r="HMV12" s="11"/>
      <c r="HMW12" s="10"/>
      <c r="HMZ12" s="11"/>
      <c r="HNA12" s="10"/>
      <c r="HND12" s="11"/>
      <c r="HNE12" s="10"/>
      <c r="HNH12" s="11"/>
      <c r="HNI12" s="10"/>
      <c r="HNL12" s="11"/>
      <c r="HNM12" s="10"/>
      <c r="HNP12" s="11"/>
      <c r="HNQ12" s="10"/>
      <c r="HNT12" s="11"/>
      <c r="HNU12" s="10"/>
      <c r="HNX12" s="11"/>
      <c r="HNY12" s="10"/>
      <c r="HOB12" s="11"/>
      <c r="HOC12" s="10"/>
      <c r="HOF12" s="11"/>
      <c r="HOG12" s="10"/>
      <c r="HOJ12" s="11"/>
      <c r="HOK12" s="10"/>
      <c r="HON12" s="11"/>
      <c r="HOO12" s="10"/>
      <c r="HOR12" s="11"/>
      <c r="HOS12" s="10"/>
      <c r="HOV12" s="11"/>
      <c r="HOW12" s="10"/>
      <c r="HOZ12" s="11"/>
      <c r="HPA12" s="10"/>
      <c r="HPD12" s="11"/>
      <c r="HPE12" s="10"/>
      <c r="HPH12" s="11"/>
      <c r="HPI12" s="10"/>
      <c r="HPL12" s="11"/>
      <c r="HPM12" s="10"/>
      <c r="HPP12" s="11"/>
      <c r="HPQ12" s="10"/>
      <c r="HPT12" s="11"/>
      <c r="HPU12" s="10"/>
      <c r="HPX12" s="11"/>
      <c r="HPY12" s="10"/>
      <c r="HQB12" s="11"/>
      <c r="HQC12" s="10"/>
      <c r="HQF12" s="11"/>
      <c r="HQG12" s="10"/>
      <c r="HQJ12" s="11"/>
      <c r="HQK12" s="10"/>
      <c r="HQN12" s="11"/>
      <c r="HQO12" s="10"/>
      <c r="HQR12" s="11"/>
      <c r="HQS12" s="10"/>
      <c r="HQV12" s="11"/>
      <c r="HQW12" s="10"/>
      <c r="HQZ12" s="11"/>
      <c r="HRA12" s="10"/>
      <c r="HRD12" s="11"/>
      <c r="HRE12" s="10"/>
      <c r="HRH12" s="11"/>
      <c r="HRI12" s="10"/>
      <c r="HRL12" s="11"/>
      <c r="HRM12" s="10"/>
      <c r="HRP12" s="11"/>
      <c r="HRQ12" s="10"/>
      <c r="HRT12" s="11"/>
      <c r="HRU12" s="10"/>
      <c r="HRX12" s="11"/>
      <c r="HRY12" s="10"/>
      <c r="HSB12" s="11"/>
      <c r="HSC12" s="10"/>
      <c r="HSF12" s="11"/>
      <c r="HSG12" s="10"/>
      <c r="HSJ12" s="11"/>
      <c r="HSK12" s="10"/>
      <c r="HSN12" s="11"/>
      <c r="HSO12" s="10"/>
      <c r="HSR12" s="11"/>
      <c r="HSS12" s="10"/>
      <c r="HSV12" s="11"/>
      <c r="HSW12" s="10"/>
      <c r="HSZ12" s="11"/>
      <c r="HTA12" s="10"/>
      <c r="HTD12" s="11"/>
      <c r="HTE12" s="10"/>
      <c r="HTH12" s="11"/>
      <c r="HTI12" s="10"/>
      <c r="HTL12" s="11"/>
      <c r="HTM12" s="10"/>
      <c r="HTP12" s="11"/>
      <c r="HTQ12" s="10"/>
      <c r="HTT12" s="11"/>
      <c r="HTU12" s="10"/>
      <c r="HTX12" s="11"/>
      <c r="HTY12" s="10"/>
      <c r="HUB12" s="11"/>
      <c r="HUC12" s="10"/>
      <c r="HUF12" s="11"/>
      <c r="HUG12" s="10"/>
      <c r="HUJ12" s="11"/>
      <c r="HUK12" s="10"/>
      <c r="HUN12" s="11"/>
      <c r="HUO12" s="10"/>
      <c r="HUR12" s="11"/>
      <c r="HUS12" s="10"/>
      <c r="HUV12" s="11"/>
      <c r="HUW12" s="10"/>
      <c r="HUZ12" s="11"/>
      <c r="HVA12" s="10"/>
      <c r="HVD12" s="11"/>
      <c r="HVE12" s="10"/>
      <c r="HVH12" s="11"/>
      <c r="HVI12" s="10"/>
      <c r="HVL12" s="11"/>
      <c r="HVM12" s="10"/>
      <c r="HVP12" s="11"/>
      <c r="HVQ12" s="10"/>
      <c r="HVT12" s="11"/>
      <c r="HVU12" s="10"/>
      <c r="HVX12" s="11"/>
      <c r="HVY12" s="10"/>
      <c r="HWB12" s="11"/>
      <c r="HWC12" s="10"/>
      <c r="HWF12" s="11"/>
      <c r="HWG12" s="10"/>
      <c r="HWJ12" s="11"/>
      <c r="HWK12" s="10"/>
      <c r="HWN12" s="11"/>
      <c r="HWO12" s="10"/>
      <c r="HWR12" s="11"/>
      <c r="HWS12" s="10"/>
      <c r="HWV12" s="11"/>
      <c r="HWW12" s="10"/>
      <c r="HWZ12" s="11"/>
      <c r="HXA12" s="10"/>
      <c r="HXD12" s="11"/>
      <c r="HXE12" s="10"/>
      <c r="HXH12" s="11"/>
      <c r="HXI12" s="10"/>
      <c r="HXL12" s="11"/>
      <c r="HXM12" s="10"/>
      <c r="HXP12" s="11"/>
      <c r="HXQ12" s="10"/>
      <c r="HXT12" s="11"/>
      <c r="HXU12" s="10"/>
      <c r="HXX12" s="11"/>
      <c r="HXY12" s="10"/>
      <c r="HYB12" s="11"/>
      <c r="HYC12" s="10"/>
      <c r="HYF12" s="11"/>
      <c r="HYG12" s="10"/>
      <c r="HYJ12" s="11"/>
      <c r="HYK12" s="10"/>
      <c r="HYN12" s="11"/>
      <c r="HYO12" s="10"/>
      <c r="HYR12" s="11"/>
      <c r="HYS12" s="10"/>
      <c r="HYV12" s="11"/>
      <c r="HYW12" s="10"/>
      <c r="HYZ12" s="11"/>
      <c r="HZA12" s="10"/>
      <c r="HZD12" s="11"/>
      <c r="HZE12" s="10"/>
      <c r="HZH12" s="11"/>
      <c r="HZI12" s="10"/>
      <c r="HZL12" s="11"/>
      <c r="HZM12" s="10"/>
      <c r="HZP12" s="11"/>
      <c r="HZQ12" s="10"/>
      <c r="HZT12" s="11"/>
      <c r="HZU12" s="10"/>
      <c r="HZX12" s="11"/>
      <c r="HZY12" s="10"/>
      <c r="IAB12" s="11"/>
      <c r="IAC12" s="10"/>
      <c r="IAF12" s="11"/>
      <c r="IAG12" s="10"/>
      <c r="IAJ12" s="11"/>
      <c r="IAK12" s="10"/>
      <c r="IAN12" s="11"/>
      <c r="IAO12" s="10"/>
      <c r="IAR12" s="11"/>
      <c r="IAS12" s="10"/>
      <c r="IAV12" s="11"/>
      <c r="IAW12" s="10"/>
      <c r="IAZ12" s="11"/>
      <c r="IBA12" s="10"/>
      <c r="IBD12" s="11"/>
      <c r="IBE12" s="10"/>
      <c r="IBH12" s="11"/>
      <c r="IBI12" s="10"/>
      <c r="IBL12" s="11"/>
      <c r="IBM12" s="10"/>
      <c r="IBP12" s="11"/>
      <c r="IBQ12" s="10"/>
      <c r="IBT12" s="11"/>
      <c r="IBU12" s="10"/>
      <c r="IBX12" s="11"/>
      <c r="IBY12" s="10"/>
      <c r="ICB12" s="11"/>
      <c r="ICC12" s="10"/>
      <c r="ICF12" s="11"/>
      <c r="ICG12" s="10"/>
      <c r="ICJ12" s="11"/>
      <c r="ICK12" s="10"/>
      <c r="ICN12" s="11"/>
      <c r="ICO12" s="10"/>
      <c r="ICR12" s="11"/>
      <c r="ICS12" s="10"/>
      <c r="ICV12" s="11"/>
      <c r="ICW12" s="10"/>
      <c r="ICZ12" s="11"/>
      <c r="IDA12" s="10"/>
      <c r="IDD12" s="11"/>
      <c r="IDE12" s="10"/>
      <c r="IDH12" s="11"/>
      <c r="IDI12" s="10"/>
      <c r="IDL12" s="11"/>
      <c r="IDM12" s="10"/>
      <c r="IDP12" s="11"/>
      <c r="IDQ12" s="10"/>
      <c r="IDT12" s="11"/>
      <c r="IDU12" s="10"/>
      <c r="IDX12" s="11"/>
      <c r="IDY12" s="10"/>
      <c r="IEB12" s="11"/>
      <c r="IEC12" s="10"/>
      <c r="IEF12" s="11"/>
      <c r="IEG12" s="10"/>
      <c r="IEJ12" s="11"/>
      <c r="IEK12" s="10"/>
      <c r="IEN12" s="11"/>
      <c r="IEO12" s="10"/>
      <c r="IER12" s="11"/>
      <c r="IES12" s="10"/>
      <c r="IEV12" s="11"/>
      <c r="IEW12" s="10"/>
      <c r="IEZ12" s="11"/>
      <c r="IFA12" s="10"/>
      <c r="IFD12" s="11"/>
      <c r="IFE12" s="10"/>
      <c r="IFH12" s="11"/>
      <c r="IFI12" s="10"/>
      <c r="IFL12" s="11"/>
      <c r="IFM12" s="10"/>
      <c r="IFP12" s="11"/>
      <c r="IFQ12" s="10"/>
      <c r="IFT12" s="11"/>
      <c r="IFU12" s="10"/>
      <c r="IFX12" s="11"/>
      <c r="IFY12" s="10"/>
      <c r="IGB12" s="11"/>
      <c r="IGC12" s="10"/>
      <c r="IGF12" s="11"/>
      <c r="IGG12" s="10"/>
      <c r="IGJ12" s="11"/>
      <c r="IGK12" s="10"/>
      <c r="IGN12" s="11"/>
      <c r="IGO12" s="10"/>
      <c r="IGR12" s="11"/>
      <c r="IGS12" s="10"/>
      <c r="IGV12" s="11"/>
      <c r="IGW12" s="10"/>
      <c r="IGZ12" s="11"/>
      <c r="IHA12" s="10"/>
      <c r="IHD12" s="11"/>
      <c r="IHE12" s="10"/>
      <c r="IHH12" s="11"/>
      <c r="IHI12" s="10"/>
      <c r="IHL12" s="11"/>
      <c r="IHM12" s="10"/>
      <c r="IHP12" s="11"/>
      <c r="IHQ12" s="10"/>
      <c r="IHT12" s="11"/>
      <c r="IHU12" s="10"/>
      <c r="IHX12" s="11"/>
      <c r="IHY12" s="10"/>
      <c r="IIB12" s="11"/>
      <c r="IIC12" s="10"/>
      <c r="IIF12" s="11"/>
      <c r="IIG12" s="10"/>
      <c r="IIJ12" s="11"/>
      <c r="IIK12" s="10"/>
      <c r="IIN12" s="11"/>
      <c r="IIO12" s="10"/>
      <c r="IIR12" s="11"/>
      <c r="IIS12" s="10"/>
      <c r="IIV12" s="11"/>
      <c r="IIW12" s="10"/>
      <c r="IIZ12" s="11"/>
      <c r="IJA12" s="10"/>
      <c r="IJD12" s="11"/>
      <c r="IJE12" s="10"/>
      <c r="IJH12" s="11"/>
      <c r="IJI12" s="10"/>
      <c r="IJL12" s="11"/>
      <c r="IJM12" s="10"/>
      <c r="IJP12" s="11"/>
      <c r="IJQ12" s="10"/>
      <c r="IJT12" s="11"/>
      <c r="IJU12" s="10"/>
      <c r="IJX12" s="11"/>
      <c r="IJY12" s="10"/>
      <c r="IKB12" s="11"/>
      <c r="IKC12" s="10"/>
      <c r="IKF12" s="11"/>
      <c r="IKG12" s="10"/>
      <c r="IKJ12" s="11"/>
      <c r="IKK12" s="10"/>
      <c r="IKN12" s="11"/>
      <c r="IKO12" s="10"/>
      <c r="IKR12" s="11"/>
      <c r="IKS12" s="10"/>
      <c r="IKV12" s="11"/>
      <c r="IKW12" s="10"/>
      <c r="IKZ12" s="11"/>
      <c r="ILA12" s="10"/>
      <c r="ILD12" s="11"/>
      <c r="ILE12" s="10"/>
      <c r="ILH12" s="11"/>
      <c r="ILI12" s="10"/>
      <c r="ILL12" s="11"/>
      <c r="ILM12" s="10"/>
      <c r="ILP12" s="11"/>
      <c r="ILQ12" s="10"/>
      <c r="ILT12" s="11"/>
      <c r="ILU12" s="10"/>
      <c r="ILX12" s="11"/>
      <c r="ILY12" s="10"/>
      <c r="IMB12" s="11"/>
      <c r="IMC12" s="10"/>
      <c r="IMF12" s="11"/>
      <c r="IMG12" s="10"/>
      <c r="IMJ12" s="11"/>
      <c r="IMK12" s="10"/>
      <c r="IMN12" s="11"/>
      <c r="IMO12" s="10"/>
      <c r="IMR12" s="11"/>
      <c r="IMS12" s="10"/>
      <c r="IMV12" s="11"/>
      <c r="IMW12" s="10"/>
      <c r="IMZ12" s="11"/>
      <c r="INA12" s="10"/>
      <c r="IND12" s="11"/>
      <c r="INE12" s="10"/>
      <c r="INH12" s="11"/>
      <c r="INI12" s="10"/>
      <c r="INL12" s="11"/>
      <c r="INM12" s="10"/>
      <c r="INP12" s="11"/>
      <c r="INQ12" s="10"/>
      <c r="INT12" s="11"/>
      <c r="INU12" s="10"/>
      <c r="INX12" s="11"/>
      <c r="INY12" s="10"/>
      <c r="IOB12" s="11"/>
      <c r="IOC12" s="10"/>
      <c r="IOF12" s="11"/>
      <c r="IOG12" s="10"/>
      <c r="IOJ12" s="11"/>
      <c r="IOK12" s="10"/>
      <c r="ION12" s="11"/>
      <c r="IOO12" s="10"/>
      <c r="IOR12" s="11"/>
      <c r="IOS12" s="10"/>
      <c r="IOV12" s="11"/>
      <c r="IOW12" s="10"/>
      <c r="IOZ12" s="11"/>
      <c r="IPA12" s="10"/>
      <c r="IPD12" s="11"/>
      <c r="IPE12" s="10"/>
      <c r="IPH12" s="11"/>
      <c r="IPI12" s="10"/>
      <c r="IPL12" s="11"/>
      <c r="IPM12" s="10"/>
      <c r="IPP12" s="11"/>
      <c r="IPQ12" s="10"/>
      <c r="IPT12" s="11"/>
      <c r="IPU12" s="10"/>
      <c r="IPX12" s="11"/>
      <c r="IPY12" s="10"/>
      <c r="IQB12" s="11"/>
      <c r="IQC12" s="10"/>
      <c r="IQF12" s="11"/>
      <c r="IQG12" s="10"/>
      <c r="IQJ12" s="11"/>
      <c r="IQK12" s="10"/>
      <c r="IQN12" s="11"/>
      <c r="IQO12" s="10"/>
      <c r="IQR12" s="11"/>
      <c r="IQS12" s="10"/>
      <c r="IQV12" s="11"/>
      <c r="IQW12" s="10"/>
      <c r="IQZ12" s="11"/>
      <c r="IRA12" s="10"/>
      <c r="IRD12" s="11"/>
      <c r="IRE12" s="10"/>
      <c r="IRH12" s="11"/>
      <c r="IRI12" s="10"/>
      <c r="IRL12" s="11"/>
      <c r="IRM12" s="10"/>
      <c r="IRP12" s="11"/>
      <c r="IRQ12" s="10"/>
      <c r="IRT12" s="11"/>
      <c r="IRU12" s="10"/>
      <c r="IRX12" s="11"/>
      <c r="IRY12" s="10"/>
      <c r="ISB12" s="11"/>
      <c r="ISC12" s="10"/>
      <c r="ISF12" s="11"/>
      <c r="ISG12" s="10"/>
      <c r="ISJ12" s="11"/>
      <c r="ISK12" s="10"/>
      <c r="ISN12" s="11"/>
      <c r="ISO12" s="10"/>
      <c r="ISR12" s="11"/>
      <c r="ISS12" s="10"/>
      <c r="ISV12" s="11"/>
      <c r="ISW12" s="10"/>
      <c r="ISZ12" s="11"/>
      <c r="ITA12" s="10"/>
      <c r="ITD12" s="11"/>
      <c r="ITE12" s="10"/>
      <c r="ITH12" s="11"/>
      <c r="ITI12" s="10"/>
      <c r="ITL12" s="11"/>
      <c r="ITM12" s="10"/>
      <c r="ITP12" s="11"/>
      <c r="ITQ12" s="10"/>
      <c r="ITT12" s="11"/>
      <c r="ITU12" s="10"/>
      <c r="ITX12" s="11"/>
      <c r="ITY12" s="10"/>
      <c r="IUB12" s="11"/>
      <c r="IUC12" s="10"/>
      <c r="IUF12" s="11"/>
      <c r="IUG12" s="10"/>
      <c r="IUJ12" s="11"/>
      <c r="IUK12" s="10"/>
      <c r="IUN12" s="11"/>
      <c r="IUO12" s="10"/>
      <c r="IUR12" s="11"/>
      <c r="IUS12" s="10"/>
      <c r="IUV12" s="11"/>
      <c r="IUW12" s="10"/>
      <c r="IUZ12" s="11"/>
      <c r="IVA12" s="10"/>
      <c r="IVD12" s="11"/>
      <c r="IVE12" s="10"/>
      <c r="IVH12" s="11"/>
      <c r="IVI12" s="10"/>
      <c r="IVL12" s="11"/>
      <c r="IVM12" s="10"/>
      <c r="IVP12" s="11"/>
      <c r="IVQ12" s="10"/>
      <c r="IVT12" s="11"/>
      <c r="IVU12" s="10"/>
      <c r="IVX12" s="11"/>
      <c r="IVY12" s="10"/>
      <c r="IWB12" s="11"/>
      <c r="IWC12" s="10"/>
      <c r="IWF12" s="11"/>
      <c r="IWG12" s="10"/>
      <c r="IWJ12" s="11"/>
      <c r="IWK12" s="10"/>
      <c r="IWN12" s="11"/>
      <c r="IWO12" s="10"/>
      <c r="IWR12" s="11"/>
      <c r="IWS12" s="10"/>
      <c r="IWV12" s="11"/>
      <c r="IWW12" s="10"/>
      <c r="IWZ12" s="11"/>
      <c r="IXA12" s="10"/>
      <c r="IXD12" s="11"/>
      <c r="IXE12" s="10"/>
      <c r="IXH12" s="11"/>
      <c r="IXI12" s="10"/>
      <c r="IXL12" s="11"/>
      <c r="IXM12" s="10"/>
      <c r="IXP12" s="11"/>
      <c r="IXQ12" s="10"/>
      <c r="IXT12" s="11"/>
      <c r="IXU12" s="10"/>
      <c r="IXX12" s="11"/>
      <c r="IXY12" s="10"/>
      <c r="IYB12" s="11"/>
      <c r="IYC12" s="10"/>
      <c r="IYF12" s="11"/>
      <c r="IYG12" s="10"/>
      <c r="IYJ12" s="11"/>
      <c r="IYK12" s="10"/>
      <c r="IYN12" s="11"/>
      <c r="IYO12" s="10"/>
      <c r="IYR12" s="11"/>
      <c r="IYS12" s="10"/>
      <c r="IYV12" s="11"/>
      <c r="IYW12" s="10"/>
      <c r="IYZ12" s="11"/>
      <c r="IZA12" s="10"/>
      <c r="IZD12" s="11"/>
      <c r="IZE12" s="10"/>
      <c r="IZH12" s="11"/>
      <c r="IZI12" s="10"/>
      <c r="IZL12" s="11"/>
      <c r="IZM12" s="10"/>
      <c r="IZP12" s="11"/>
      <c r="IZQ12" s="10"/>
      <c r="IZT12" s="11"/>
      <c r="IZU12" s="10"/>
      <c r="IZX12" s="11"/>
      <c r="IZY12" s="10"/>
      <c r="JAB12" s="11"/>
      <c r="JAC12" s="10"/>
      <c r="JAF12" s="11"/>
      <c r="JAG12" s="10"/>
      <c r="JAJ12" s="11"/>
      <c r="JAK12" s="10"/>
      <c r="JAN12" s="11"/>
      <c r="JAO12" s="10"/>
      <c r="JAR12" s="11"/>
      <c r="JAS12" s="10"/>
      <c r="JAV12" s="11"/>
      <c r="JAW12" s="10"/>
      <c r="JAZ12" s="11"/>
      <c r="JBA12" s="10"/>
      <c r="JBD12" s="11"/>
      <c r="JBE12" s="10"/>
      <c r="JBH12" s="11"/>
      <c r="JBI12" s="10"/>
      <c r="JBL12" s="11"/>
      <c r="JBM12" s="10"/>
      <c r="JBP12" s="11"/>
      <c r="JBQ12" s="10"/>
      <c r="JBT12" s="11"/>
      <c r="JBU12" s="10"/>
      <c r="JBX12" s="11"/>
      <c r="JBY12" s="10"/>
      <c r="JCB12" s="11"/>
      <c r="JCC12" s="10"/>
      <c r="JCF12" s="11"/>
      <c r="JCG12" s="10"/>
      <c r="JCJ12" s="11"/>
      <c r="JCK12" s="10"/>
      <c r="JCN12" s="11"/>
      <c r="JCO12" s="10"/>
      <c r="JCR12" s="11"/>
      <c r="JCS12" s="10"/>
      <c r="JCV12" s="11"/>
      <c r="JCW12" s="10"/>
      <c r="JCZ12" s="11"/>
      <c r="JDA12" s="10"/>
      <c r="JDD12" s="11"/>
      <c r="JDE12" s="10"/>
      <c r="JDH12" s="11"/>
      <c r="JDI12" s="10"/>
      <c r="JDL12" s="11"/>
      <c r="JDM12" s="10"/>
      <c r="JDP12" s="11"/>
      <c r="JDQ12" s="10"/>
      <c r="JDT12" s="11"/>
      <c r="JDU12" s="10"/>
      <c r="JDX12" s="11"/>
      <c r="JDY12" s="10"/>
      <c r="JEB12" s="11"/>
      <c r="JEC12" s="10"/>
      <c r="JEF12" s="11"/>
      <c r="JEG12" s="10"/>
      <c r="JEJ12" s="11"/>
      <c r="JEK12" s="10"/>
      <c r="JEN12" s="11"/>
      <c r="JEO12" s="10"/>
      <c r="JER12" s="11"/>
      <c r="JES12" s="10"/>
      <c r="JEV12" s="11"/>
      <c r="JEW12" s="10"/>
      <c r="JEZ12" s="11"/>
      <c r="JFA12" s="10"/>
      <c r="JFD12" s="11"/>
      <c r="JFE12" s="10"/>
      <c r="JFH12" s="11"/>
      <c r="JFI12" s="10"/>
      <c r="JFL12" s="11"/>
      <c r="JFM12" s="10"/>
      <c r="JFP12" s="11"/>
      <c r="JFQ12" s="10"/>
      <c r="JFT12" s="11"/>
      <c r="JFU12" s="10"/>
      <c r="JFX12" s="11"/>
      <c r="JFY12" s="10"/>
      <c r="JGB12" s="11"/>
      <c r="JGC12" s="10"/>
      <c r="JGF12" s="11"/>
      <c r="JGG12" s="10"/>
      <c r="JGJ12" s="11"/>
      <c r="JGK12" s="10"/>
      <c r="JGN12" s="11"/>
      <c r="JGO12" s="10"/>
      <c r="JGR12" s="11"/>
      <c r="JGS12" s="10"/>
      <c r="JGV12" s="11"/>
      <c r="JGW12" s="10"/>
      <c r="JGZ12" s="11"/>
      <c r="JHA12" s="10"/>
      <c r="JHD12" s="11"/>
      <c r="JHE12" s="10"/>
      <c r="JHH12" s="11"/>
      <c r="JHI12" s="10"/>
      <c r="JHL12" s="11"/>
      <c r="JHM12" s="10"/>
      <c r="JHP12" s="11"/>
      <c r="JHQ12" s="10"/>
      <c r="JHT12" s="11"/>
      <c r="JHU12" s="10"/>
      <c r="JHX12" s="11"/>
      <c r="JHY12" s="10"/>
      <c r="JIB12" s="11"/>
      <c r="JIC12" s="10"/>
      <c r="JIF12" s="11"/>
      <c r="JIG12" s="10"/>
      <c r="JIJ12" s="11"/>
      <c r="JIK12" s="10"/>
      <c r="JIN12" s="11"/>
      <c r="JIO12" s="10"/>
      <c r="JIR12" s="11"/>
      <c r="JIS12" s="10"/>
      <c r="JIV12" s="11"/>
      <c r="JIW12" s="10"/>
      <c r="JIZ12" s="11"/>
      <c r="JJA12" s="10"/>
      <c r="JJD12" s="11"/>
      <c r="JJE12" s="10"/>
      <c r="JJH12" s="11"/>
      <c r="JJI12" s="10"/>
      <c r="JJL12" s="11"/>
      <c r="JJM12" s="10"/>
      <c r="JJP12" s="11"/>
      <c r="JJQ12" s="10"/>
      <c r="JJT12" s="11"/>
      <c r="JJU12" s="10"/>
      <c r="JJX12" s="11"/>
      <c r="JJY12" s="10"/>
      <c r="JKB12" s="11"/>
      <c r="JKC12" s="10"/>
      <c r="JKF12" s="11"/>
      <c r="JKG12" s="10"/>
      <c r="JKJ12" s="11"/>
      <c r="JKK12" s="10"/>
      <c r="JKN12" s="11"/>
      <c r="JKO12" s="10"/>
      <c r="JKR12" s="11"/>
      <c r="JKS12" s="10"/>
      <c r="JKV12" s="11"/>
      <c r="JKW12" s="10"/>
      <c r="JKZ12" s="11"/>
      <c r="JLA12" s="10"/>
      <c r="JLD12" s="11"/>
      <c r="JLE12" s="10"/>
      <c r="JLH12" s="11"/>
      <c r="JLI12" s="10"/>
      <c r="JLL12" s="11"/>
      <c r="JLM12" s="10"/>
      <c r="JLP12" s="11"/>
      <c r="JLQ12" s="10"/>
      <c r="JLT12" s="11"/>
      <c r="JLU12" s="10"/>
      <c r="JLX12" s="11"/>
      <c r="JLY12" s="10"/>
      <c r="JMB12" s="11"/>
      <c r="JMC12" s="10"/>
      <c r="JMF12" s="11"/>
      <c r="JMG12" s="10"/>
      <c r="JMJ12" s="11"/>
      <c r="JMK12" s="10"/>
      <c r="JMN12" s="11"/>
      <c r="JMO12" s="10"/>
      <c r="JMR12" s="11"/>
      <c r="JMS12" s="10"/>
      <c r="JMV12" s="11"/>
      <c r="JMW12" s="10"/>
      <c r="JMZ12" s="11"/>
      <c r="JNA12" s="10"/>
      <c r="JND12" s="11"/>
      <c r="JNE12" s="10"/>
      <c r="JNH12" s="11"/>
      <c r="JNI12" s="10"/>
      <c r="JNL12" s="11"/>
      <c r="JNM12" s="10"/>
      <c r="JNP12" s="11"/>
      <c r="JNQ12" s="10"/>
      <c r="JNT12" s="11"/>
      <c r="JNU12" s="10"/>
      <c r="JNX12" s="11"/>
      <c r="JNY12" s="10"/>
      <c r="JOB12" s="11"/>
      <c r="JOC12" s="10"/>
      <c r="JOF12" s="11"/>
      <c r="JOG12" s="10"/>
      <c r="JOJ12" s="11"/>
      <c r="JOK12" s="10"/>
      <c r="JON12" s="11"/>
      <c r="JOO12" s="10"/>
      <c r="JOR12" s="11"/>
      <c r="JOS12" s="10"/>
      <c r="JOV12" s="11"/>
      <c r="JOW12" s="10"/>
      <c r="JOZ12" s="11"/>
      <c r="JPA12" s="10"/>
      <c r="JPD12" s="11"/>
      <c r="JPE12" s="10"/>
      <c r="JPH12" s="11"/>
      <c r="JPI12" s="10"/>
      <c r="JPL12" s="11"/>
      <c r="JPM12" s="10"/>
      <c r="JPP12" s="11"/>
      <c r="JPQ12" s="10"/>
      <c r="JPT12" s="11"/>
      <c r="JPU12" s="10"/>
      <c r="JPX12" s="11"/>
      <c r="JPY12" s="10"/>
      <c r="JQB12" s="11"/>
      <c r="JQC12" s="10"/>
      <c r="JQF12" s="11"/>
      <c r="JQG12" s="10"/>
      <c r="JQJ12" s="11"/>
      <c r="JQK12" s="10"/>
      <c r="JQN12" s="11"/>
      <c r="JQO12" s="10"/>
      <c r="JQR12" s="11"/>
      <c r="JQS12" s="10"/>
      <c r="JQV12" s="11"/>
      <c r="JQW12" s="10"/>
      <c r="JQZ12" s="11"/>
      <c r="JRA12" s="10"/>
      <c r="JRD12" s="11"/>
      <c r="JRE12" s="10"/>
      <c r="JRH12" s="11"/>
      <c r="JRI12" s="10"/>
      <c r="JRL12" s="11"/>
      <c r="JRM12" s="10"/>
      <c r="JRP12" s="11"/>
      <c r="JRQ12" s="10"/>
      <c r="JRT12" s="11"/>
      <c r="JRU12" s="10"/>
      <c r="JRX12" s="11"/>
      <c r="JRY12" s="10"/>
      <c r="JSB12" s="11"/>
      <c r="JSC12" s="10"/>
      <c r="JSF12" s="11"/>
      <c r="JSG12" s="10"/>
      <c r="JSJ12" s="11"/>
      <c r="JSK12" s="10"/>
      <c r="JSN12" s="11"/>
      <c r="JSO12" s="10"/>
      <c r="JSR12" s="11"/>
      <c r="JSS12" s="10"/>
      <c r="JSV12" s="11"/>
      <c r="JSW12" s="10"/>
      <c r="JSZ12" s="11"/>
      <c r="JTA12" s="10"/>
      <c r="JTD12" s="11"/>
      <c r="JTE12" s="10"/>
      <c r="JTH12" s="11"/>
      <c r="JTI12" s="10"/>
      <c r="JTL12" s="11"/>
      <c r="JTM12" s="10"/>
      <c r="JTP12" s="11"/>
      <c r="JTQ12" s="10"/>
      <c r="JTT12" s="11"/>
      <c r="JTU12" s="10"/>
      <c r="JTX12" s="11"/>
      <c r="JTY12" s="10"/>
      <c r="JUB12" s="11"/>
      <c r="JUC12" s="10"/>
      <c r="JUF12" s="11"/>
      <c r="JUG12" s="10"/>
      <c r="JUJ12" s="11"/>
      <c r="JUK12" s="10"/>
      <c r="JUN12" s="11"/>
      <c r="JUO12" s="10"/>
      <c r="JUR12" s="11"/>
      <c r="JUS12" s="10"/>
      <c r="JUV12" s="11"/>
      <c r="JUW12" s="10"/>
      <c r="JUZ12" s="11"/>
      <c r="JVA12" s="10"/>
      <c r="JVD12" s="11"/>
      <c r="JVE12" s="10"/>
      <c r="JVH12" s="11"/>
      <c r="JVI12" s="10"/>
      <c r="JVL12" s="11"/>
      <c r="JVM12" s="10"/>
      <c r="JVP12" s="11"/>
      <c r="JVQ12" s="10"/>
      <c r="JVT12" s="11"/>
      <c r="JVU12" s="10"/>
      <c r="JVX12" s="11"/>
      <c r="JVY12" s="10"/>
      <c r="JWB12" s="11"/>
      <c r="JWC12" s="10"/>
      <c r="JWF12" s="11"/>
      <c r="JWG12" s="10"/>
      <c r="JWJ12" s="11"/>
      <c r="JWK12" s="10"/>
      <c r="JWN12" s="11"/>
      <c r="JWO12" s="10"/>
      <c r="JWR12" s="11"/>
      <c r="JWS12" s="10"/>
      <c r="JWV12" s="11"/>
      <c r="JWW12" s="10"/>
      <c r="JWZ12" s="11"/>
      <c r="JXA12" s="10"/>
      <c r="JXD12" s="11"/>
      <c r="JXE12" s="10"/>
      <c r="JXH12" s="11"/>
      <c r="JXI12" s="10"/>
      <c r="JXL12" s="11"/>
      <c r="JXM12" s="10"/>
      <c r="JXP12" s="11"/>
      <c r="JXQ12" s="10"/>
      <c r="JXT12" s="11"/>
      <c r="JXU12" s="10"/>
      <c r="JXX12" s="11"/>
      <c r="JXY12" s="10"/>
      <c r="JYB12" s="11"/>
      <c r="JYC12" s="10"/>
      <c r="JYF12" s="11"/>
      <c r="JYG12" s="10"/>
      <c r="JYJ12" s="11"/>
      <c r="JYK12" s="10"/>
      <c r="JYN12" s="11"/>
      <c r="JYO12" s="10"/>
      <c r="JYR12" s="11"/>
      <c r="JYS12" s="10"/>
      <c r="JYV12" s="11"/>
      <c r="JYW12" s="10"/>
      <c r="JYZ12" s="11"/>
      <c r="JZA12" s="10"/>
      <c r="JZD12" s="11"/>
      <c r="JZE12" s="10"/>
      <c r="JZH12" s="11"/>
      <c r="JZI12" s="10"/>
      <c r="JZL12" s="11"/>
      <c r="JZM12" s="10"/>
      <c r="JZP12" s="11"/>
      <c r="JZQ12" s="10"/>
      <c r="JZT12" s="11"/>
      <c r="JZU12" s="10"/>
      <c r="JZX12" s="11"/>
      <c r="JZY12" s="10"/>
      <c r="KAB12" s="11"/>
      <c r="KAC12" s="10"/>
      <c r="KAF12" s="11"/>
      <c r="KAG12" s="10"/>
      <c r="KAJ12" s="11"/>
      <c r="KAK12" s="10"/>
      <c r="KAN12" s="11"/>
      <c r="KAO12" s="10"/>
      <c r="KAR12" s="11"/>
      <c r="KAS12" s="10"/>
      <c r="KAV12" s="11"/>
      <c r="KAW12" s="10"/>
      <c r="KAZ12" s="11"/>
      <c r="KBA12" s="10"/>
      <c r="KBD12" s="11"/>
      <c r="KBE12" s="10"/>
      <c r="KBH12" s="11"/>
      <c r="KBI12" s="10"/>
      <c r="KBL12" s="11"/>
      <c r="KBM12" s="10"/>
      <c r="KBP12" s="11"/>
      <c r="KBQ12" s="10"/>
      <c r="KBT12" s="11"/>
      <c r="KBU12" s="10"/>
      <c r="KBX12" s="11"/>
      <c r="KBY12" s="10"/>
      <c r="KCB12" s="11"/>
      <c r="KCC12" s="10"/>
      <c r="KCF12" s="11"/>
      <c r="KCG12" s="10"/>
      <c r="KCJ12" s="11"/>
      <c r="KCK12" s="10"/>
      <c r="KCN12" s="11"/>
      <c r="KCO12" s="10"/>
      <c r="KCR12" s="11"/>
      <c r="KCS12" s="10"/>
      <c r="KCV12" s="11"/>
      <c r="KCW12" s="10"/>
      <c r="KCZ12" s="11"/>
      <c r="KDA12" s="10"/>
      <c r="KDD12" s="11"/>
      <c r="KDE12" s="10"/>
      <c r="KDH12" s="11"/>
      <c r="KDI12" s="10"/>
      <c r="KDL12" s="11"/>
      <c r="KDM12" s="10"/>
      <c r="KDP12" s="11"/>
      <c r="KDQ12" s="10"/>
      <c r="KDT12" s="11"/>
      <c r="KDU12" s="10"/>
      <c r="KDX12" s="11"/>
      <c r="KDY12" s="10"/>
      <c r="KEB12" s="11"/>
      <c r="KEC12" s="10"/>
      <c r="KEF12" s="11"/>
      <c r="KEG12" s="10"/>
      <c r="KEJ12" s="11"/>
      <c r="KEK12" s="10"/>
      <c r="KEN12" s="11"/>
      <c r="KEO12" s="10"/>
      <c r="KER12" s="11"/>
      <c r="KES12" s="10"/>
      <c r="KEV12" s="11"/>
      <c r="KEW12" s="10"/>
      <c r="KEZ12" s="11"/>
      <c r="KFA12" s="10"/>
      <c r="KFD12" s="11"/>
      <c r="KFE12" s="10"/>
      <c r="KFH12" s="11"/>
      <c r="KFI12" s="10"/>
      <c r="KFL12" s="11"/>
      <c r="KFM12" s="10"/>
      <c r="KFP12" s="11"/>
      <c r="KFQ12" s="10"/>
      <c r="KFT12" s="11"/>
      <c r="KFU12" s="10"/>
      <c r="KFX12" s="11"/>
      <c r="KFY12" s="10"/>
      <c r="KGB12" s="11"/>
      <c r="KGC12" s="10"/>
      <c r="KGF12" s="11"/>
      <c r="KGG12" s="10"/>
      <c r="KGJ12" s="11"/>
      <c r="KGK12" s="10"/>
      <c r="KGN12" s="11"/>
      <c r="KGO12" s="10"/>
      <c r="KGR12" s="11"/>
      <c r="KGS12" s="10"/>
      <c r="KGV12" s="11"/>
      <c r="KGW12" s="10"/>
      <c r="KGZ12" s="11"/>
      <c r="KHA12" s="10"/>
      <c r="KHD12" s="11"/>
      <c r="KHE12" s="10"/>
      <c r="KHH12" s="11"/>
      <c r="KHI12" s="10"/>
      <c r="KHL12" s="11"/>
      <c r="KHM12" s="10"/>
      <c r="KHP12" s="11"/>
      <c r="KHQ12" s="10"/>
      <c r="KHT12" s="11"/>
      <c r="KHU12" s="10"/>
      <c r="KHX12" s="11"/>
      <c r="KHY12" s="10"/>
      <c r="KIB12" s="11"/>
      <c r="KIC12" s="10"/>
      <c r="KIF12" s="11"/>
      <c r="KIG12" s="10"/>
      <c r="KIJ12" s="11"/>
      <c r="KIK12" s="10"/>
      <c r="KIN12" s="11"/>
      <c r="KIO12" s="10"/>
      <c r="KIR12" s="11"/>
      <c r="KIS12" s="10"/>
      <c r="KIV12" s="11"/>
      <c r="KIW12" s="10"/>
      <c r="KIZ12" s="11"/>
      <c r="KJA12" s="10"/>
      <c r="KJD12" s="11"/>
      <c r="KJE12" s="10"/>
      <c r="KJH12" s="11"/>
      <c r="KJI12" s="10"/>
      <c r="KJL12" s="11"/>
      <c r="KJM12" s="10"/>
      <c r="KJP12" s="11"/>
      <c r="KJQ12" s="10"/>
      <c r="KJT12" s="11"/>
      <c r="KJU12" s="10"/>
      <c r="KJX12" s="11"/>
      <c r="KJY12" s="10"/>
      <c r="KKB12" s="11"/>
      <c r="KKC12" s="10"/>
      <c r="KKF12" s="11"/>
      <c r="KKG12" s="10"/>
      <c r="KKJ12" s="11"/>
      <c r="KKK12" s="10"/>
      <c r="KKN12" s="11"/>
      <c r="KKO12" s="10"/>
      <c r="KKR12" s="11"/>
      <c r="KKS12" s="10"/>
      <c r="KKV12" s="11"/>
      <c r="KKW12" s="10"/>
      <c r="KKZ12" s="11"/>
      <c r="KLA12" s="10"/>
      <c r="KLD12" s="11"/>
      <c r="KLE12" s="10"/>
      <c r="KLH12" s="11"/>
      <c r="KLI12" s="10"/>
      <c r="KLL12" s="11"/>
      <c r="KLM12" s="10"/>
      <c r="KLP12" s="11"/>
      <c r="KLQ12" s="10"/>
      <c r="KLT12" s="11"/>
      <c r="KLU12" s="10"/>
      <c r="KLX12" s="11"/>
      <c r="KLY12" s="10"/>
      <c r="KMB12" s="11"/>
      <c r="KMC12" s="10"/>
      <c r="KMF12" s="11"/>
      <c r="KMG12" s="10"/>
      <c r="KMJ12" s="11"/>
      <c r="KMK12" s="10"/>
      <c r="KMN12" s="11"/>
      <c r="KMO12" s="10"/>
      <c r="KMR12" s="11"/>
      <c r="KMS12" s="10"/>
      <c r="KMV12" s="11"/>
      <c r="KMW12" s="10"/>
      <c r="KMZ12" s="11"/>
      <c r="KNA12" s="10"/>
      <c r="KND12" s="11"/>
      <c r="KNE12" s="10"/>
      <c r="KNH12" s="11"/>
      <c r="KNI12" s="10"/>
      <c r="KNL12" s="11"/>
      <c r="KNM12" s="10"/>
      <c r="KNP12" s="11"/>
      <c r="KNQ12" s="10"/>
      <c r="KNT12" s="11"/>
      <c r="KNU12" s="10"/>
      <c r="KNX12" s="11"/>
      <c r="KNY12" s="10"/>
      <c r="KOB12" s="11"/>
      <c r="KOC12" s="10"/>
      <c r="KOF12" s="11"/>
      <c r="KOG12" s="10"/>
      <c r="KOJ12" s="11"/>
      <c r="KOK12" s="10"/>
      <c r="KON12" s="11"/>
      <c r="KOO12" s="10"/>
      <c r="KOR12" s="11"/>
      <c r="KOS12" s="10"/>
      <c r="KOV12" s="11"/>
      <c r="KOW12" s="10"/>
      <c r="KOZ12" s="11"/>
      <c r="KPA12" s="10"/>
      <c r="KPD12" s="11"/>
      <c r="KPE12" s="10"/>
      <c r="KPH12" s="11"/>
      <c r="KPI12" s="10"/>
      <c r="KPL12" s="11"/>
      <c r="KPM12" s="10"/>
      <c r="KPP12" s="11"/>
      <c r="KPQ12" s="10"/>
      <c r="KPT12" s="11"/>
      <c r="KPU12" s="10"/>
      <c r="KPX12" s="11"/>
      <c r="KPY12" s="10"/>
      <c r="KQB12" s="11"/>
      <c r="KQC12" s="10"/>
      <c r="KQF12" s="11"/>
      <c r="KQG12" s="10"/>
      <c r="KQJ12" s="11"/>
      <c r="KQK12" s="10"/>
      <c r="KQN12" s="11"/>
      <c r="KQO12" s="10"/>
      <c r="KQR12" s="11"/>
      <c r="KQS12" s="10"/>
      <c r="KQV12" s="11"/>
      <c r="KQW12" s="10"/>
      <c r="KQZ12" s="11"/>
      <c r="KRA12" s="10"/>
      <c r="KRD12" s="11"/>
      <c r="KRE12" s="10"/>
      <c r="KRH12" s="11"/>
      <c r="KRI12" s="10"/>
      <c r="KRL12" s="11"/>
      <c r="KRM12" s="10"/>
      <c r="KRP12" s="11"/>
      <c r="KRQ12" s="10"/>
      <c r="KRT12" s="11"/>
      <c r="KRU12" s="10"/>
      <c r="KRX12" s="11"/>
      <c r="KRY12" s="10"/>
      <c r="KSB12" s="11"/>
      <c r="KSC12" s="10"/>
      <c r="KSF12" s="11"/>
      <c r="KSG12" s="10"/>
      <c r="KSJ12" s="11"/>
      <c r="KSK12" s="10"/>
      <c r="KSN12" s="11"/>
      <c r="KSO12" s="10"/>
      <c r="KSR12" s="11"/>
      <c r="KSS12" s="10"/>
      <c r="KSV12" s="11"/>
      <c r="KSW12" s="10"/>
      <c r="KSZ12" s="11"/>
      <c r="KTA12" s="10"/>
      <c r="KTD12" s="11"/>
      <c r="KTE12" s="10"/>
      <c r="KTH12" s="11"/>
      <c r="KTI12" s="10"/>
      <c r="KTL12" s="11"/>
      <c r="KTM12" s="10"/>
      <c r="KTP12" s="11"/>
      <c r="KTQ12" s="10"/>
      <c r="KTT12" s="11"/>
      <c r="KTU12" s="10"/>
      <c r="KTX12" s="11"/>
      <c r="KTY12" s="10"/>
      <c r="KUB12" s="11"/>
      <c r="KUC12" s="10"/>
      <c r="KUF12" s="11"/>
      <c r="KUG12" s="10"/>
      <c r="KUJ12" s="11"/>
      <c r="KUK12" s="10"/>
      <c r="KUN12" s="11"/>
      <c r="KUO12" s="10"/>
      <c r="KUR12" s="11"/>
      <c r="KUS12" s="10"/>
      <c r="KUV12" s="11"/>
      <c r="KUW12" s="10"/>
      <c r="KUZ12" s="11"/>
      <c r="KVA12" s="10"/>
      <c r="KVD12" s="11"/>
      <c r="KVE12" s="10"/>
      <c r="KVH12" s="11"/>
      <c r="KVI12" s="10"/>
      <c r="KVL12" s="11"/>
      <c r="KVM12" s="10"/>
      <c r="KVP12" s="11"/>
      <c r="KVQ12" s="10"/>
      <c r="KVT12" s="11"/>
      <c r="KVU12" s="10"/>
      <c r="KVX12" s="11"/>
      <c r="KVY12" s="10"/>
      <c r="KWB12" s="11"/>
      <c r="KWC12" s="10"/>
      <c r="KWF12" s="11"/>
      <c r="KWG12" s="10"/>
      <c r="KWJ12" s="11"/>
      <c r="KWK12" s="10"/>
      <c r="KWN12" s="11"/>
      <c r="KWO12" s="10"/>
      <c r="KWR12" s="11"/>
      <c r="KWS12" s="10"/>
      <c r="KWV12" s="11"/>
      <c r="KWW12" s="10"/>
      <c r="KWZ12" s="11"/>
      <c r="KXA12" s="10"/>
      <c r="KXD12" s="11"/>
      <c r="KXE12" s="10"/>
      <c r="KXH12" s="11"/>
      <c r="KXI12" s="10"/>
      <c r="KXL12" s="11"/>
      <c r="KXM12" s="10"/>
      <c r="KXP12" s="11"/>
      <c r="KXQ12" s="10"/>
      <c r="KXT12" s="11"/>
      <c r="KXU12" s="10"/>
      <c r="KXX12" s="11"/>
      <c r="KXY12" s="10"/>
      <c r="KYB12" s="11"/>
      <c r="KYC12" s="10"/>
      <c r="KYF12" s="11"/>
      <c r="KYG12" s="10"/>
      <c r="KYJ12" s="11"/>
      <c r="KYK12" s="10"/>
      <c r="KYN12" s="11"/>
      <c r="KYO12" s="10"/>
      <c r="KYR12" s="11"/>
      <c r="KYS12" s="10"/>
      <c r="KYV12" s="11"/>
      <c r="KYW12" s="10"/>
      <c r="KYZ12" s="11"/>
      <c r="KZA12" s="10"/>
      <c r="KZD12" s="11"/>
      <c r="KZE12" s="10"/>
      <c r="KZH12" s="11"/>
      <c r="KZI12" s="10"/>
      <c r="KZL12" s="11"/>
      <c r="KZM12" s="10"/>
      <c r="KZP12" s="11"/>
      <c r="KZQ12" s="10"/>
      <c r="KZT12" s="11"/>
      <c r="KZU12" s="10"/>
      <c r="KZX12" s="11"/>
      <c r="KZY12" s="10"/>
      <c r="LAB12" s="11"/>
      <c r="LAC12" s="10"/>
      <c r="LAF12" s="11"/>
      <c r="LAG12" s="10"/>
      <c r="LAJ12" s="11"/>
      <c r="LAK12" s="10"/>
      <c r="LAN12" s="11"/>
      <c r="LAO12" s="10"/>
      <c r="LAR12" s="11"/>
      <c r="LAS12" s="10"/>
      <c r="LAV12" s="11"/>
      <c r="LAW12" s="10"/>
      <c r="LAZ12" s="11"/>
      <c r="LBA12" s="10"/>
      <c r="LBD12" s="11"/>
      <c r="LBE12" s="10"/>
      <c r="LBH12" s="11"/>
      <c r="LBI12" s="10"/>
      <c r="LBL12" s="11"/>
      <c r="LBM12" s="10"/>
      <c r="LBP12" s="11"/>
      <c r="LBQ12" s="10"/>
      <c r="LBT12" s="11"/>
      <c r="LBU12" s="10"/>
      <c r="LBX12" s="11"/>
      <c r="LBY12" s="10"/>
      <c r="LCB12" s="11"/>
      <c r="LCC12" s="10"/>
      <c r="LCF12" s="11"/>
      <c r="LCG12" s="10"/>
      <c r="LCJ12" s="11"/>
      <c r="LCK12" s="10"/>
      <c r="LCN12" s="11"/>
      <c r="LCO12" s="10"/>
      <c r="LCR12" s="11"/>
      <c r="LCS12" s="10"/>
      <c r="LCV12" s="11"/>
      <c r="LCW12" s="10"/>
      <c r="LCZ12" s="11"/>
      <c r="LDA12" s="10"/>
      <c r="LDD12" s="11"/>
      <c r="LDE12" s="10"/>
      <c r="LDH12" s="11"/>
      <c r="LDI12" s="10"/>
      <c r="LDL12" s="11"/>
      <c r="LDM12" s="10"/>
      <c r="LDP12" s="11"/>
      <c r="LDQ12" s="10"/>
      <c r="LDT12" s="11"/>
      <c r="LDU12" s="10"/>
      <c r="LDX12" s="11"/>
      <c r="LDY12" s="10"/>
      <c r="LEB12" s="11"/>
      <c r="LEC12" s="10"/>
      <c r="LEF12" s="11"/>
      <c r="LEG12" s="10"/>
      <c r="LEJ12" s="11"/>
      <c r="LEK12" s="10"/>
      <c r="LEN12" s="11"/>
      <c r="LEO12" s="10"/>
      <c r="LER12" s="11"/>
      <c r="LES12" s="10"/>
      <c r="LEV12" s="11"/>
      <c r="LEW12" s="10"/>
      <c r="LEZ12" s="11"/>
      <c r="LFA12" s="10"/>
      <c r="LFD12" s="11"/>
      <c r="LFE12" s="10"/>
      <c r="LFH12" s="11"/>
      <c r="LFI12" s="10"/>
      <c r="LFL12" s="11"/>
      <c r="LFM12" s="10"/>
      <c r="LFP12" s="11"/>
      <c r="LFQ12" s="10"/>
      <c r="LFT12" s="11"/>
      <c r="LFU12" s="10"/>
      <c r="LFX12" s="11"/>
      <c r="LFY12" s="10"/>
      <c r="LGB12" s="11"/>
      <c r="LGC12" s="10"/>
      <c r="LGF12" s="11"/>
      <c r="LGG12" s="10"/>
      <c r="LGJ12" s="11"/>
      <c r="LGK12" s="10"/>
      <c r="LGN12" s="11"/>
      <c r="LGO12" s="10"/>
      <c r="LGR12" s="11"/>
      <c r="LGS12" s="10"/>
      <c r="LGV12" s="11"/>
      <c r="LGW12" s="10"/>
      <c r="LGZ12" s="11"/>
      <c r="LHA12" s="10"/>
      <c r="LHD12" s="11"/>
      <c r="LHE12" s="10"/>
      <c r="LHH12" s="11"/>
      <c r="LHI12" s="10"/>
      <c r="LHL12" s="11"/>
      <c r="LHM12" s="10"/>
      <c r="LHP12" s="11"/>
      <c r="LHQ12" s="10"/>
      <c r="LHT12" s="11"/>
      <c r="LHU12" s="10"/>
      <c r="LHX12" s="11"/>
      <c r="LHY12" s="10"/>
      <c r="LIB12" s="11"/>
      <c r="LIC12" s="10"/>
      <c r="LIF12" s="11"/>
      <c r="LIG12" s="10"/>
      <c r="LIJ12" s="11"/>
      <c r="LIK12" s="10"/>
      <c r="LIN12" s="11"/>
      <c r="LIO12" s="10"/>
      <c r="LIR12" s="11"/>
      <c r="LIS12" s="10"/>
      <c r="LIV12" s="11"/>
      <c r="LIW12" s="10"/>
      <c r="LIZ12" s="11"/>
      <c r="LJA12" s="10"/>
      <c r="LJD12" s="11"/>
      <c r="LJE12" s="10"/>
      <c r="LJH12" s="11"/>
      <c r="LJI12" s="10"/>
      <c r="LJL12" s="11"/>
      <c r="LJM12" s="10"/>
      <c r="LJP12" s="11"/>
      <c r="LJQ12" s="10"/>
      <c r="LJT12" s="11"/>
      <c r="LJU12" s="10"/>
      <c r="LJX12" s="11"/>
      <c r="LJY12" s="10"/>
      <c r="LKB12" s="11"/>
      <c r="LKC12" s="10"/>
      <c r="LKF12" s="11"/>
      <c r="LKG12" s="10"/>
      <c r="LKJ12" s="11"/>
      <c r="LKK12" s="10"/>
      <c r="LKN12" s="11"/>
      <c r="LKO12" s="10"/>
      <c r="LKR12" s="11"/>
      <c r="LKS12" s="10"/>
      <c r="LKV12" s="11"/>
      <c r="LKW12" s="10"/>
      <c r="LKZ12" s="11"/>
      <c r="LLA12" s="10"/>
      <c r="LLD12" s="11"/>
      <c r="LLE12" s="10"/>
      <c r="LLH12" s="11"/>
      <c r="LLI12" s="10"/>
      <c r="LLL12" s="11"/>
      <c r="LLM12" s="10"/>
      <c r="LLP12" s="11"/>
      <c r="LLQ12" s="10"/>
      <c r="LLT12" s="11"/>
      <c r="LLU12" s="10"/>
      <c r="LLX12" s="11"/>
      <c r="LLY12" s="10"/>
      <c r="LMB12" s="11"/>
      <c r="LMC12" s="10"/>
      <c r="LMF12" s="11"/>
      <c r="LMG12" s="10"/>
      <c r="LMJ12" s="11"/>
      <c r="LMK12" s="10"/>
      <c r="LMN12" s="11"/>
      <c r="LMO12" s="10"/>
      <c r="LMR12" s="11"/>
      <c r="LMS12" s="10"/>
      <c r="LMV12" s="11"/>
      <c r="LMW12" s="10"/>
      <c r="LMZ12" s="11"/>
      <c r="LNA12" s="10"/>
      <c r="LND12" s="11"/>
      <c r="LNE12" s="10"/>
      <c r="LNH12" s="11"/>
      <c r="LNI12" s="10"/>
      <c r="LNL12" s="11"/>
      <c r="LNM12" s="10"/>
      <c r="LNP12" s="11"/>
      <c r="LNQ12" s="10"/>
      <c r="LNT12" s="11"/>
      <c r="LNU12" s="10"/>
      <c r="LNX12" s="11"/>
      <c r="LNY12" s="10"/>
      <c r="LOB12" s="11"/>
      <c r="LOC12" s="10"/>
      <c r="LOF12" s="11"/>
      <c r="LOG12" s="10"/>
      <c r="LOJ12" s="11"/>
      <c r="LOK12" s="10"/>
      <c r="LON12" s="11"/>
      <c r="LOO12" s="10"/>
      <c r="LOR12" s="11"/>
      <c r="LOS12" s="10"/>
      <c r="LOV12" s="11"/>
      <c r="LOW12" s="10"/>
      <c r="LOZ12" s="11"/>
      <c r="LPA12" s="10"/>
      <c r="LPD12" s="11"/>
      <c r="LPE12" s="10"/>
      <c r="LPH12" s="11"/>
      <c r="LPI12" s="10"/>
      <c r="LPL12" s="11"/>
      <c r="LPM12" s="10"/>
      <c r="LPP12" s="11"/>
      <c r="LPQ12" s="10"/>
      <c r="LPT12" s="11"/>
      <c r="LPU12" s="10"/>
      <c r="LPX12" s="11"/>
      <c r="LPY12" s="10"/>
      <c r="LQB12" s="11"/>
      <c r="LQC12" s="10"/>
      <c r="LQF12" s="11"/>
      <c r="LQG12" s="10"/>
      <c r="LQJ12" s="11"/>
      <c r="LQK12" s="10"/>
      <c r="LQN12" s="11"/>
      <c r="LQO12" s="10"/>
      <c r="LQR12" s="11"/>
      <c r="LQS12" s="10"/>
      <c r="LQV12" s="11"/>
      <c r="LQW12" s="10"/>
      <c r="LQZ12" s="11"/>
      <c r="LRA12" s="10"/>
      <c r="LRD12" s="11"/>
      <c r="LRE12" s="10"/>
      <c r="LRH12" s="11"/>
      <c r="LRI12" s="10"/>
      <c r="LRL12" s="11"/>
      <c r="LRM12" s="10"/>
      <c r="LRP12" s="11"/>
      <c r="LRQ12" s="10"/>
      <c r="LRT12" s="11"/>
      <c r="LRU12" s="10"/>
      <c r="LRX12" s="11"/>
      <c r="LRY12" s="10"/>
      <c r="LSB12" s="11"/>
      <c r="LSC12" s="10"/>
      <c r="LSF12" s="11"/>
      <c r="LSG12" s="10"/>
      <c r="LSJ12" s="11"/>
      <c r="LSK12" s="10"/>
      <c r="LSN12" s="11"/>
      <c r="LSO12" s="10"/>
      <c r="LSR12" s="11"/>
      <c r="LSS12" s="10"/>
      <c r="LSV12" s="11"/>
      <c r="LSW12" s="10"/>
      <c r="LSZ12" s="11"/>
      <c r="LTA12" s="10"/>
      <c r="LTD12" s="11"/>
      <c r="LTE12" s="10"/>
      <c r="LTH12" s="11"/>
      <c r="LTI12" s="10"/>
      <c r="LTL12" s="11"/>
      <c r="LTM12" s="10"/>
      <c r="LTP12" s="11"/>
      <c r="LTQ12" s="10"/>
      <c r="LTT12" s="11"/>
      <c r="LTU12" s="10"/>
      <c r="LTX12" s="11"/>
      <c r="LTY12" s="10"/>
      <c r="LUB12" s="11"/>
      <c r="LUC12" s="10"/>
      <c r="LUF12" s="11"/>
      <c r="LUG12" s="10"/>
      <c r="LUJ12" s="11"/>
      <c r="LUK12" s="10"/>
      <c r="LUN12" s="11"/>
      <c r="LUO12" s="10"/>
      <c r="LUR12" s="11"/>
      <c r="LUS12" s="10"/>
      <c r="LUV12" s="11"/>
      <c r="LUW12" s="10"/>
      <c r="LUZ12" s="11"/>
      <c r="LVA12" s="10"/>
      <c r="LVD12" s="11"/>
      <c r="LVE12" s="10"/>
      <c r="LVH12" s="11"/>
      <c r="LVI12" s="10"/>
      <c r="LVL12" s="11"/>
      <c r="LVM12" s="10"/>
      <c r="LVP12" s="11"/>
      <c r="LVQ12" s="10"/>
      <c r="LVT12" s="11"/>
      <c r="LVU12" s="10"/>
      <c r="LVX12" s="11"/>
      <c r="LVY12" s="10"/>
      <c r="LWB12" s="11"/>
      <c r="LWC12" s="10"/>
      <c r="LWF12" s="11"/>
      <c r="LWG12" s="10"/>
      <c r="LWJ12" s="11"/>
      <c r="LWK12" s="10"/>
      <c r="LWN12" s="11"/>
      <c r="LWO12" s="10"/>
      <c r="LWR12" s="11"/>
      <c r="LWS12" s="10"/>
      <c r="LWV12" s="11"/>
      <c r="LWW12" s="10"/>
      <c r="LWZ12" s="11"/>
      <c r="LXA12" s="10"/>
      <c r="LXD12" s="11"/>
      <c r="LXE12" s="10"/>
      <c r="LXH12" s="11"/>
      <c r="LXI12" s="10"/>
      <c r="LXL12" s="11"/>
      <c r="LXM12" s="10"/>
      <c r="LXP12" s="11"/>
      <c r="LXQ12" s="10"/>
      <c r="LXT12" s="11"/>
      <c r="LXU12" s="10"/>
      <c r="LXX12" s="11"/>
      <c r="LXY12" s="10"/>
      <c r="LYB12" s="11"/>
      <c r="LYC12" s="10"/>
      <c r="LYF12" s="11"/>
      <c r="LYG12" s="10"/>
      <c r="LYJ12" s="11"/>
      <c r="LYK12" s="10"/>
      <c r="LYN12" s="11"/>
      <c r="LYO12" s="10"/>
      <c r="LYR12" s="11"/>
      <c r="LYS12" s="10"/>
      <c r="LYV12" s="11"/>
      <c r="LYW12" s="10"/>
      <c r="LYZ12" s="11"/>
      <c r="LZA12" s="10"/>
      <c r="LZD12" s="11"/>
      <c r="LZE12" s="10"/>
      <c r="LZH12" s="11"/>
      <c r="LZI12" s="10"/>
      <c r="LZL12" s="11"/>
      <c r="LZM12" s="10"/>
      <c r="LZP12" s="11"/>
      <c r="LZQ12" s="10"/>
      <c r="LZT12" s="11"/>
      <c r="LZU12" s="10"/>
      <c r="LZX12" s="11"/>
      <c r="LZY12" s="10"/>
      <c r="MAB12" s="11"/>
      <c r="MAC12" s="10"/>
      <c r="MAF12" s="11"/>
      <c r="MAG12" s="10"/>
      <c r="MAJ12" s="11"/>
      <c r="MAK12" s="10"/>
      <c r="MAN12" s="11"/>
      <c r="MAO12" s="10"/>
      <c r="MAR12" s="11"/>
      <c r="MAS12" s="10"/>
      <c r="MAV12" s="11"/>
      <c r="MAW12" s="10"/>
      <c r="MAZ12" s="11"/>
      <c r="MBA12" s="10"/>
      <c r="MBD12" s="11"/>
      <c r="MBE12" s="10"/>
      <c r="MBH12" s="11"/>
      <c r="MBI12" s="10"/>
      <c r="MBL12" s="11"/>
      <c r="MBM12" s="10"/>
      <c r="MBP12" s="11"/>
      <c r="MBQ12" s="10"/>
      <c r="MBT12" s="11"/>
      <c r="MBU12" s="10"/>
      <c r="MBX12" s="11"/>
      <c r="MBY12" s="10"/>
      <c r="MCB12" s="11"/>
      <c r="MCC12" s="10"/>
      <c r="MCF12" s="11"/>
      <c r="MCG12" s="10"/>
      <c r="MCJ12" s="11"/>
      <c r="MCK12" s="10"/>
      <c r="MCN12" s="11"/>
      <c r="MCO12" s="10"/>
      <c r="MCR12" s="11"/>
      <c r="MCS12" s="10"/>
      <c r="MCV12" s="11"/>
      <c r="MCW12" s="10"/>
      <c r="MCZ12" s="11"/>
      <c r="MDA12" s="10"/>
      <c r="MDD12" s="11"/>
      <c r="MDE12" s="10"/>
      <c r="MDH12" s="11"/>
      <c r="MDI12" s="10"/>
      <c r="MDL12" s="11"/>
      <c r="MDM12" s="10"/>
      <c r="MDP12" s="11"/>
      <c r="MDQ12" s="10"/>
      <c r="MDT12" s="11"/>
      <c r="MDU12" s="10"/>
      <c r="MDX12" s="11"/>
      <c r="MDY12" s="10"/>
      <c r="MEB12" s="11"/>
      <c r="MEC12" s="10"/>
      <c r="MEF12" s="11"/>
      <c r="MEG12" s="10"/>
      <c r="MEJ12" s="11"/>
      <c r="MEK12" s="10"/>
      <c r="MEN12" s="11"/>
      <c r="MEO12" s="10"/>
      <c r="MER12" s="11"/>
      <c r="MES12" s="10"/>
      <c r="MEV12" s="11"/>
      <c r="MEW12" s="10"/>
      <c r="MEZ12" s="11"/>
      <c r="MFA12" s="10"/>
      <c r="MFD12" s="11"/>
      <c r="MFE12" s="10"/>
      <c r="MFH12" s="11"/>
      <c r="MFI12" s="10"/>
      <c r="MFL12" s="11"/>
      <c r="MFM12" s="10"/>
      <c r="MFP12" s="11"/>
      <c r="MFQ12" s="10"/>
      <c r="MFT12" s="11"/>
      <c r="MFU12" s="10"/>
      <c r="MFX12" s="11"/>
      <c r="MFY12" s="10"/>
      <c r="MGB12" s="11"/>
      <c r="MGC12" s="10"/>
      <c r="MGF12" s="11"/>
      <c r="MGG12" s="10"/>
      <c r="MGJ12" s="11"/>
      <c r="MGK12" s="10"/>
      <c r="MGN12" s="11"/>
      <c r="MGO12" s="10"/>
      <c r="MGR12" s="11"/>
      <c r="MGS12" s="10"/>
      <c r="MGV12" s="11"/>
      <c r="MGW12" s="10"/>
      <c r="MGZ12" s="11"/>
      <c r="MHA12" s="10"/>
      <c r="MHD12" s="11"/>
      <c r="MHE12" s="10"/>
      <c r="MHH12" s="11"/>
      <c r="MHI12" s="10"/>
      <c r="MHL12" s="11"/>
      <c r="MHM12" s="10"/>
      <c r="MHP12" s="11"/>
      <c r="MHQ12" s="10"/>
      <c r="MHT12" s="11"/>
      <c r="MHU12" s="10"/>
      <c r="MHX12" s="11"/>
      <c r="MHY12" s="10"/>
      <c r="MIB12" s="11"/>
      <c r="MIC12" s="10"/>
      <c r="MIF12" s="11"/>
      <c r="MIG12" s="10"/>
      <c r="MIJ12" s="11"/>
      <c r="MIK12" s="10"/>
      <c r="MIN12" s="11"/>
      <c r="MIO12" s="10"/>
      <c r="MIR12" s="11"/>
      <c r="MIS12" s="10"/>
      <c r="MIV12" s="11"/>
      <c r="MIW12" s="10"/>
      <c r="MIZ12" s="11"/>
      <c r="MJA12" s="10"/>
      <c r="MJD12" s="11"/>
      <c r="MJE12" s="10"/>
      <c r="MJH12" s="11"/>
      <c r="MJI12" s="10"/>
      <c r="MJL12" s="11"/>
      <c r="MJM12" s="10"/>
      <c r="MJP12" s="11"/>
      <c r="MJQ12" s="10"/>
      <c r="MJT12" s="11"/>
      <c r="MJU12" s="10"/>
      <c r="MJX12" s="11"/>
      <c r="MJY12" s="10"/>
      <c r="MKB12" s="11"/>
      <c r="MKC12" s="10"/>
      <c r="MKF12" s="11"/>
      <c r="MKG12" s="10"/>
      <c r="MKJ12" s="11"/>
      <c r="MKK12" s="10"/>
      <c r="MKN12" s="11"/>
      <c r="MKO12" s="10"/>
      <c r="MKR12" s="11"/>
      <c r="MKS12" s="10"/>
      <c r="MKV12" s="11"/>
      <c r="MKW12" s="10"/>
      <c r="MKZ12" s="11"/>
      <c r="MLA12" s="10"/>
      <c r="MLD12" s="11"/>
      <c r="MLE12" s="10"/>
      <c r="MLH12" s="11"/>
      <c r="MLI12" s="10"/>
      <c r="MLL12" s="11"/>
      <c r="MLM12" s="10"/>
      <c r="MLP12" s="11"/>
      <c r="MLQ12" s="10"/>
      <c r="MLT12" s="11"/>
      <c r="MLU12" s="10"/>
      <c r="MLX12" s="11"/>
      <c r="MLY12" s="10"/>
      <c r="MMB12" s="11"/>
      <c r="MMC12" s="10"/>
      <c r="MMF12" s="11"/>
      <c r="MMG12" s="10"/>
      <c r="MMJ12" s="11"/>
      <c r="MMK12" s="10"/>
      <c r="MMN12" s="11"/>
      <c r="MMO12" s="10"/>
      <c r="MMR12" s="11"/>
      <c r="MMS12" s="10"/>
      <c r="MMV12" s="11"/>
      <c r="MMW12" s="10"/>
      <c r="MMZ12" s="11"/>
      <c r="MNA12" s="10"/>
      <c r="MND12" s="11"/>
      <c r="MNE12" s="10"/>
      <c r="MNH12" s="11"/>
      <c r="MNI12" s="10"/>
      <c r="MNL12" s="11"/>
      <c r="MNM12" s="10"/>
      <c r="MNP12" s="11"/>
      <c r="MNQ12" s="10"/>
      <c r="MNT12" s="11"/>
      <c r="MNU12" s="10"/>
      <c r="MNX12" s="11"/>
      <c r="MNY12" s="10"/>
      <c r="MOB12" s="11"/>
      <c r="MOC12" s="10"/>
      <c r="MOF12" s="11"/>
      <c r="MOG12" s="10"/>
      <c r="MOJ12" s="11"/>
      <c r="MOK12" s="10"/>
      <c r="MON12" s="11"/>
      <c r="MOO12" s="10"/>
      <c r="MOR12" s="11"/>
      <c r="MOS12" s="10"/>
      <c r="MOV12" s="11"/>
      <c r="MOW12" s="10"/>
      <c r="MOZ12" s="11"/>
      <c r="MPA12" s="10"/>
      <c r="MPD12" s="11"/>
      <c r="MPE12" s="10"/>
      <c r="MPH12" s="11"/>
      <c r="MPI12" s="10"/>
      <c r="MPL12" s="11"/>
      <c r="MPM12" s="10"/>
      <c r="MPP12" s="11"/>
      <c r="MPQ12" s="10"/>
      <c r="MPT12" s="11"/>
      <c r="MPU12" s="10"/>
      <c r="MPX12" s="11"/>
      <c r="MPY12" s="10"/>
      <c r="MQB12" s="11"/>
      <c r="MQC12" s="10"/>
      <c r="MQF12" s="11"/>
      <c r="MQG12" s="10"/>
      <c r="MQJ12" s="11"/>
      <c r="MQK12" s="10"/>
      <c r="MQN12" s="11"/>
      <c r="MQO12" s="10"/>
      <c r="MQR12" s="11"/>
      <c r="MQS12" s="10"/>
      <c r="MQV12" s="11"/>
      <c r="MQW12" s="10"/>
      <c r="MQZ12" s="11"/>
      <c r="MRA12" s="10"/>
      <c r="MRD12" s="11"/>
      <c r="MRE12" s="10"/>
      <c r="MRH12" s="11"/>
      <c r="MRI12" s="10"/>
      <c r="MRL12" s="11"/>
      <c r="MRM12" s="10"/>
      <c r="MRP12" s="11"/>
      <c r="MRQ12" s="10"/>
      <c r="MRT12" s="11"/>
      <c r="MRU12" s="10"/>
      <c r="MRX12" s="11"/>
      <c r="MRY12" s="10"/>
      <c r="MSB12" s="11"/>
      <c r="MSC12" s="10"/>
      <c r="MSF12" s="11"/>
      <c r="MSG12" s="10"/>
      <c r="MSJ12" s="11"/>
      <c r="MSK12" s="10"/>
      <c r="MSN12" s="11"/>
      <c r="MSO12" s="10"/>
      <c r="MSR12" s="11"/>
      <c r="MSS12" s="10"/>
      <c r="MSV12" s="11"/>
      <c r="MSW12" s="10"/>
      <c r="MSZ12" s="11"/>
      <c r="MTA12" s="10"/>
      <c r="MTD12" s="11"/>
      <c r="MTE12" s="10"/>
      <c r="MTH12" s="11"/>
      <c r="MTI12" s="10"/>
      <c r="MTL12" s="11"/>
      <c r="MTM12" s="10"/>
      <c r="MTP12" s="11"/>
      <c r="MTQ12" s="10"/>
      <c r="MTT12" s="11"/>
      <c r="MTU12" s="10"/>
      <c r="MTX12" s="11"/>
      <c r="MTY12" s="10"/>
      <c r="MUB12" s="11"/>
      <c r="MUC12" s="10"/>
      <c r="MUF12" s="11"/>
      <c r="MUG12" s="10"/>
      <c r="MUJ12" s="11"/>
      <c r="MUK12" s="10"/>
      <c r="MUN12" s="11"/>
      <c r="MUO12" s="10"/>
      <c r="MUR12" s="11"/>
      <c r="MUS12" s="10"/>
      <c r="MUV12" s="11"/>
      <c r="MUW12" s="10"/>
      <c r="MUZ12" s="11"/>
      <c r="MVA12" s="10"/>
      <c r="MVD12" s="11"/>
      <c r="MVE12" s="10"/>
      <c r="MVH12" s="11"/>
      <c r="MVI12" s="10"/>
      <c r="MVL12" s="11"/>
      <c r="MVM12" s="10"/>
      <c r="MVP12" s="11"/>
      <c r="MVQ12" s="10"/>
      <c r="MVT12" s="11"/>
      <c r="MVU12" s="10"/>
      <c r="MVX12" s="11"/>
      <c r="MVY12" s="10"/>
      <c r="MWB12" s="11"/>
      <c r="MWC12" s="10"/>
      <c r="MWF12" s="11"/>
      <c r="MWG12" s="10"/>
      <c r="MWJ12" s="11"/>
      <c r="MWK12" s="10"/>
      <c r="MWN12" s="11"/>
      <c r="MWO12" s="10"/>
      <c r="MWR12" s="11"/>
      <c r="MWS12" s="10"/>
      <c r="MWV12" s="11"/>
      <c r="MWW12" s="10"/>
      <c r="MWZ12" s="11"/>
      <c r="MXA12" s="10"/>
      <c r="MXD12" s="11"/>
      <c r="MXE12" s="10"/>
      <c r="MXH12" s="11"/>
      <c r="MXI12" s="10"/>
      <c r="MXL12" s="11"/>
      <c r="MXM12" s="10"/>
      <c r="MXP12" s="11"/>
      <c r="MXQ12" s="10"/>
      <c r="MXT12" s="11"/>
      <c r="MXU12" s="10"/>
      <c r="MXX12" s="11"/>
      <c r="MXY12" s="10"/>
      <c r="MYB12" s="11"/>
      <c r="MYC12" s="10"/>
      <c r="MYF12" s="11"/>
      <c r="MYG12" s="10"/>
      <c r="MYJ12" s="11"/>
      <c r="MYK12" s="10"/>
      <c r="MYN12" s="11"/>
      <c r="MYO12" s="10"/>
      <c r="MYR12" s="11"/>
      <c r="MYS12" s="10"/>
      <c r="MYV12" s="11"/>
      <c r="MYW12" s="10"/>
      <c r="MYZ12" s="11"/>
      <c r="MZA12" s="10"/>
      <c r="MZD12" s="11"/>
      <c r="MZE12" s="10"/>
      <c r="MZH12" s="11"/>
      <c r="MZI12" s="10"/>
      <c r="MZL12" s="11"/>
      <c r="MZM12" s="10"/>
      <c r="MZP12" s="11"/>
      <c r="MZQ12" s="10"/>
      <c r="MZT12" s="11"/>
      <c r="MZU12" s="10"/>
      <c r="MZX12" s="11"/>
      <c r="MZY12" s="10"/>
      <c r="NAB12" s="11"/>
      <c r="NAC12" s="10"/>
      <c r="NAF12" s="11"/>
      <c r="NAG12" s="10"/>
      <c r="NAJ12" s="11"/>
      <c r="NAK12" s="10"/>
      <c r="NAN12" s="11"/>
      <c r="NAO12" s="10"/>
      <c r="NAR12" s="11"/>
      <c r="NAS12" s="10"/>
      <c r="NAV12" s="11"/>
      <c r="NAW12" s="10"/>
      <c r="NAZ12" s="11"/>
      <c r="NBA12" s="10"/>
      <c r="NBD12" s="11"/>
      <c r="NBE12" s="10"/>
      <c r="NBH12" s="11"/>
      <c r="NBI12" s="10"/>
      <c r="NBL12" s="11"/>
      <c r="NBM12" s="10"/>
      <c r="NBP12" s="11"/>
      <c r="NBQ12" s="10"/>
      <c r="NBT12" s="11"/>
      <c r="NBU12" s="10"/>
      <c r="NBX12" s="11"/>
      <c r="NBY12" s="10"/>
      <c r="NCB12" s="11"/>
      <c r="NCC12" s="10"/>
      <c r="NCF12" s="11"/>
      <c r="NCG12" s="10"/>
      <c r="NCJ12" s="11"/>
      <c r="NCK12" s="10"/>
      <c r="NCN12" s="11"/>
      <c r="NCO12" s="10"/>
      <c r="NCR12" s="11"/>
      <c r="NCS12" s="10"/>
      <c r="NCV12" s="11"/>
      <c r="NCW12" s="10"/>
      <c r="NCZ12" s="11"/>
      <c r="NDA12" s="10"/>
      <c r="NDD12" s="11"/>
      <c r="NDE12" s="10"/>
      <c r="NDH12" s="11"/>
      <c r="NDI12" s="10"/>
      <c r="NDL12" s="11"/>
      <c r="NDM12" s="10"/>
      <c r="NDP12" s="11"/>
      <c r="NDQ12" s="10"/>
      <c r="NDT12" s="11"/>
      <c r="NDU12" s="10"/>
      <c r="NDX12" s="11"/>
      <c r="NDY12" s="10"/>
      <c r="NEB12" s="11"/>
      <c r="NEC12" s="10"/>
      <c r="NEF12" s="11"/>
      <c r="NEG12" s="10"/>
      <c r="NEJ12" s="11"/>
      <c r="NEK12" s="10"/>
      <c r="NEN12" s="11"/>
      <c r="NEO12" s="10"/>
      <c r="NER12" s="11"/>
      <c r="NES12" s="10"/>
      <c r="NEV12" s="11"/>
      <c r="NEW12" s="10"/>
      <c r="NEZ12" s="11"/>
      <c r="NFA12" s="10"/>
      <c r="NFD12" s="11"/>
      <c r="NFE12" s="10"/>
      <c r="NFH12" s="11"/>
      <c r="NFI12" s="10"/>
      <c r="NFL12" s="11"/>
      <c r="NFM12" s="10"/>
      <c r="NFP12" s="11"/>
      <c r="NFQ12" s="10"/>
      <c r="NFT12" s="11"/>
      <c r="NFU12" s="10"/>
      <c r="NFX12" s="11"/>
      <c r="NFY12" s="10"/>
      <c r="NGB12" s="11"/>
      <c r="NGC12" s="10"/>
      <c r="NGF12" s="11"/>
      <c r="NGG12" s="10"/>
      <c r="NGJ12" s="11"/>
      <c r="NGK12" s="10"/>
      <c r="NGN12" s="11"/>
      <c r="NGO12" s="10"/>
      <c r="NGR12" s="11"/>
      <c r="NGS12" s="10"/>
      <c r="NGV12" s="11"/>
      <c r="NGW12" s="10"/>
      <c r="NGZ12" s="11"/>
      <c r="NHA12" s="10"/>
      <c r="NHD12" s="11"/>
      <c r="NHE12" s="10"/>
      <c r="NHH12" s="11"/>
      <c r="NHI12" s="10"/>
      <c r="NHL12" s="11"/>
      <c r="NHM12" s="10"/>
      <c r="NHP12" s="11"/>
      <c r="NHQ12" s="10"/>
      <c r="NHT12" s="11"/>
      <c r="NHU12" s="10"/>
      <c r="NHX12" s="11"/>
      <c r="NHY12" s="10"/>
      <c r="NIB12" s="11"/>
      <c r="NIC12" s="10"/>
      <c r="NIF12" s="11"/>
      <c r="NIG12" s="10"/>
      <c r="NIJ12" s="11"/>
      <c r="NIK12" s="10"/>
      <c r="NIN12" s="11"/>
      <c r="NIO12" s="10"/>
      <c r="NIR12" s="11"/>
      <c r="NIS12" s="10"/>
      <c r="NIV12" s="11"/>
      <c r="NIW12" s="10"/>
      <c r="NIZ12" s="11"/>
      <c r="NJA12" s="10"/>
      <c r="NJD12" s="11"/>
      <c r="NJE12" s="10"/>
      <c r="NJH12" s="11"/>
      <c r="NJI12" s="10"/>
      <c r="NJL12" s="11"/>
      <c r="NJM12" s="10"/>
      <c r="NJP12" s="11"/>
      <c r="NJQ12" s="10"/>
      <c r="NJT12" s="11"/>
      <c r="NJU12" s="10"/>
      <c r="NJX12" s="11"/>
      <c r="NJY12" s="10"/>
      <c r="NKB12" s="11"/>
      <c r="NKC12" s="10"/>
      <c r="NKF12" s="11"/>
      <c r="NKG12" s="10"/>
      <c r="NKJ12" s="11"/>
      <c r="NKK12" s="10"/>
      <c r="NKN12" s="11"/>
      <c r="NKO12" s="10"/>
      <c r="NKR12" s="11"/>
      <c r="NKS12" s="10"/>
      <c r="NKV12" s="11"/>
      <c r="NKW12" s="10"/>
      <c r="NKZ12" s="11"/>
      <c r="NLA12" s="10"/>
      <c r="NLD12" s="11"/>
      <c r="NLE12" s="10"/>
      <c r="NLH12" s="11"/>
      <c r="NLI12" s="10"/>
      <c r="NLL12" s="11"/>
      <c r="NLM12" s="10"/>
      <c r="NLP12" s="11"/>
      <c r="NLQ12" s="10"/>
      <c r="NLT12" s="11"/>
      <c r="NLU12" s="10"/>
      <c r="NLX12" s="11"/>
      <c r="NLY12" s="10"/>
      <c r="NMB12" s="11"/>
      <c r="NMC12" s="10"/>
      <c r="NMF12" s="11"/>
      <c r="NMG12" s="10"/>
      <c r="NMJ12" s="11"/>
      <c r="NMK12" s="10"/>
      <c r="NMN12" s="11"/>
      <c r="NMO12" s="10"/>
      <c r="NMR12" s="11"/>
      <c r="NMS12" s="10"/>
      <c r="NMV12" s="11"/>
      <c r="NMW12" s="10"/>
      <c r="NMZ12" s="11"/>
      <c r="NNA12" s="10"/>
      <c r="NND12" s="11"/>
      <c r="NNE12" s="10"/>
      <c r="NNH12" s="11"/>
      <c r="NNI12" s="10"/>
      <c r="NNL12" s="11"/>
      <c r="NNM12" s="10"/>
      <c r="NNP12" s="11"/>
      <c r="NNQ12" s="10"/>
      <c r="NNT12" s="11"/>
      <c r="NNU12" s="10"/>
      <c r="NNX12" s="11"/>
      <c r="NNY12" s="10"/>
      <c r="NOB12" s="11"/>
      <c r="NOC12" s="10"/>
      <c r="NOF12" s="11"/>
      <c r="NOG12" s="10"/>
      <c r="NOJ12" s="11"/>
      <c r="NOK12" s="10"/>
      <c r="NON12" s="11"/>
      <c r="NOO12" s="10"/>
      <c r="NOR12" s="11"/>
      <c r="NOS12" s="10"/>
      <c r="NOV12" s="11"/>
      <c r="NOW12" s="10"/>
      <c r="NOZ12" s="11"/>
      <c r="NPA12" s="10"/>
      <c r="NPD12" s="11"/>
      <c r="NPE12" s="10"/>
      <c r="NPH12" s="11"/>
      <c r="NPI12" s="10"/>
      <c r="NPL12" s="11"/>
      <c r="NPM12" s="10"/>
      <c r="NPP12" s="11"/>
      <c r="NPQ12" s="10"/>
      <c r="NPT12" s="11"/>
      <c r="NPU12" s="10"/>
      <c r="NPX12" s="11"/>
      <c r="NPY12" s="10"/>
      <c r="NQB12" s="11"/>
      <c r="NQC12" s="10"/>
      <c r="NQF12" s="11"/>
      <c r="NQG12" s="10"/>
      <c r="NQJ12" s="11"/>
      <c r="NQK12" s="10"/>
      <c r="NQN12" s="11"/>
      <c r="NQO12" s="10"/>
      <c r="NQR12" s="11"/>
      <c r="NQS12" s="10"/>
      <c r="NQV12" s="11"/>
      <c r="NQW12" s="10"/>
      <c r="NQZ12" s="11"/>
      <c r="NRA12" s="10"/>
      <c r="NRD12" s="11"/>
      <c r="NRE12" s="10"/>
      <c r="NRH12" s="11"/>
      <c r="NRI12" s="10"/>
      <c r="NRL12" s="11"/>
      <c r="NRM12" s="10"/>
      <c r="NRP12" s="11"/>
      <c r="NRQ12" s="10"/>
      <c r="NRT12" s="11"/>
      <c r="NRU12" s="10"/>
      <c r="NRX12" s="11"/>
      <c r="NRY12" s="10"/>
      <c r="NSB12" s="11"/>
      <c r="NSC12" s="10"/>
      <c r="NSF12" s="11"/>
      <c r="NSG12" s="10"/>
      <c r="NSJ12" s="11"/>
      <c r="NSK12" s="10"/>
      <c r="NSN12" s="11"/>
      <c r="NSO12" s="10"/>
      <c r="NSR12" s="11"/>
      <c r="NSS12" s="10"/>
      <c r="NSV12" s="11"/>
      <c r="NSW12" s="10"/>
      <c r="NSZ12" s="11"/>
      <c r="NTA12" s="10"/>
      <c r="NTD12" s="11"/>
      <c r="NTE12" s="10"/>
      <c r="NTH12" s="11"/>
      <c r="NTI12" s="10"/>
      <c r="NTL12" s="11"/>
      <c r="NTM12" s="10"/>
      <c r="NTP12" s="11"/>
      <c r="NTQ12" s="10"/>
      <c r="NTT12" s="11"/>
      <c r="NTU12" s="10"/>
      <c r="NTX12" s="11"/>
      <c r="NTY12" s="10"/>
      <c r="NUB12" s="11"/>
      <c r="NUC12" s="10"/>
      <c r="NUF12" s="11"/>
      <c r="NUG12" s="10"/>
      <c r="NUJ12" s="11"/>
      <c r="NUK12" s="10"/>
      <c r="NUN12" s="11"/>
      <c r="NUO12" s="10"/>
      <c r="NUR12" s="11"/>
      <c r="NUS12" s="10"/>
      <c r="NUV12" s="11"/>
      <c r="NUW12" s="10"/>
      <c r="NUZ12" s="11"/>
      <c r="NVA12" s="10"/>
      <c r="NVD12" s="11"/>
      <c r="NVE12" s="10"/>
      <c r="NVH12" s="11"/>
      <c r="NVI12" s="10"/>
      <c r="NVL12" s="11"/>
      <c r="NVM12" s="10"/>
      <c r="NVP12" s="11"/>
      <c r="NVQ12" s="10"/>
      <c r="NVT12" s="11"/>
      <c r="NVU12" s="10"/>
      <c r="NVX12" s="11"/>
      <c r="NVY12" s="10"/>
      <c r="NWB12" s="11"/>
      <c r="NWC12" s="10"/>
      <c r="NWF12" s="11"/>
      <c r="NWG12" s="10"/>
      <c r="NWJ12" s="11"/>
      <c r="NWK12" s="10"/>
      <c r="NWN12" s="11"/>
      <c r="NWO12" s="10"/>
      <c r="NWR12" s="11"/>
      <c r="NWS12" s="10"/>
      <c r="NWV12" s="11"/>
      <c r="NWW12" s="10"/>
      <c r="NWZ12" s="11"/>
      <c r="NXA12" s="10"/>
      <c r="NXD12" s="11"/>
      <c r="NXE12" s="10"/>
      <c r="NXH12" s="11"/>
      <c r="NXI12" s="10"/>
      <c r="NXL12" s="11"/>
      <c r="NXM12" s="10"/>
      <c r="NXP12" s="11"/>
      <c r="NXQ12" s="10"/>
      <c r="NXT12" s="11"/>
      <c r="NXU12" s="10"/>
      <c r="NXX12" s="11"/>
      <c r="NXY12" s="10"/>
      <c r="NYB12" s="11"/>
      <c r="NYC12" s="10"/>
      <c r="NYF12" s="11"/>
      <c r="NYG12" s="10"/>
      <c r="NYJ12" s="11"/>
      <c r="NYK12" s="10"/>
      <c r="NYN12" s="11"/>
      <c r="NYO12" s="10"/>
      <c r="NYR12" s="11"/>
      <c r="NYS12" s="10"/>
      <c r="NYV12" s="11"/>
      <c r="NYW12" s="10"/>
      <c r="NYZ12" s="11"/>
      <c r="NZA12" s="10"/>
      <c r="NZD12" s="11"/>
      <c r="NZE12" s="10"/>
      <c r="NZH12" s="11"/>
      <c r="NZI12" s="10"/>
      <c r="NZL12" s="11"/>
      <c r="NZM12" s="10"/>
      <c r="NZP12" s="11"/>
      <c r="NZQ12" s="10"/>
      <c r="NZT12" s="11"/>
      <c r="NZU12" s="10"/>
      <c r="NZX12" s="11"/>
      <c r="NZY12" s="10"/>
      <c r="OAB12" s="11"/>
      <c r="OAC12" s="10"/>
      <c r="OAF12" s="11"/>
      <c r="OAG12" s="10"/>
      <c r="OAJ12" s="11"/>
      <c r="OAK12" s="10"/>
      <c r="OAN12" s="11"/>
      <c r="OAO12" s="10"/>
      <c r="OAR12" s="11"/>
      <c r="OAS12" s="10"/>
      <c r="OAV12" s="11"/>
      <c r="OAW12" s="10"/>
      <c r="OAZ12" s="11"/>
      <c r="OBA12" s="10"/>
      <c r="OBD12" s="11"/>
      <c r="OBE12" s="10"/>
      <c r="OBH12" s="11"/>
      <c r="OBI12" s="10"/>
      <c r="OBL12" s="11"/>
      <c r="OBM12" s="10"/>
      <c r="OBP12" s="11"/>
      <c r="OBQ12" s="10"/>
      <c r="OBT12" s="11"/>
      <c r="OBU12" s="10"/>
      <c r="OBX12" s="11"/>
      <c r="OBY12" s="10"/>
      <c r="OCB12" s="11"/>
      <c r="OCC12" s="10"/>
      <c r="OCF12" s="11"/>
      <c r="OCG12" s="10"/>
      <c r="OCJ12" s="11"/>
      <c r="OCK12" s="10"/>
      <c r="OCN12" s="11"/>
      <c r="OCO12" s="10"/>
      <c r="OCR12" s="11"/>
      <c r="OCS12" s="10"/>
      <c r="OCV12" s="11"/>
      <c r="OCW12" s="10"/>
      <c r="OCZ12" s="11"/>
      <c r="ODA12" s="10"/>
      <c r="ODD12" s="11"/>
      <c r="ODE12" s="10"/>
      <c r="ODH12" s="11"/>
      <c r="ODI12" s="10"/>
      <c r="ODL12" s="11"/>
      <c r="ODM12" s="10"/>
      <c r="ODP12" s="11"/>
      <c r="ODQ12" s="10"/>
      <c r="ODT12" s="11"/>
      <c r="ODU12" s="10"/>
      <c r="ODX12" s="11"/>
      <c r="ODY12" s="10"/>
      <c r="OEB12" s="11"/>
      <c r="OEC12" s="10"/>
      <c r="OEF12" s="11"/>
      <c r="OEG12" s="10"/>
      <c r="OEJ12" s="11"/>
      <c r="OEK12" s="10"/>
      <c r="OEN12" s="11"/>
      <c r="OEO12" s="10"/>
      <c r="OER12" s="11"/>
      <c r="OES12" s="10"/>
      <c r="OEV12" s="11"/>
      <c r="OEW12" s="10"/>
      <c r="OEZ12" s="11"/>
      <c r="OFA12" s="10"/>
      <c r="OFD12" s="11"/>
      <c r="OFE12" s="10"/>
      <c r="OFH12" s="11"/>
      <c r="OFI12" s="10"/>
      <c r="OFL12" s="11"/>
      <c r="OFM12" s="10"/>
      <c r="OFP12" s="11"/>
      <c r="OFQ12" s="10"/>
      <c r="OFT12" s="11"/>
      <c r="OFU12" s="10"/>
      <c r="OFX12" s="11"/>
      <c r="OFY12" s="10"/>
      <c r="OGB12" s="11"/>
      <c r="OGC12" s="10"/>
      <c r="OGF12" s="11"/>
      <c r="OGG12" s="10"/>
      <c r="OGJ12" s="11"/>
      <c r="OGK12" s="10"/>
      <c r="OGN12" s="11"/>
      <c r="OGO12" s="10"/>
      <c r="OGR12" s="11"/>
      <c r="OGS12" s="10"/>
      <c r="OGV12" s="11"/>
      <c r="OGW12" s="10"/>
      <c r="OGZ12" s="11"/>
      <c r="OHA12" s="10"/>
      <c r="OHD12" s="11"/>
      <c r="OHE12" s="10"/>
      <c r="OHH12" s="11"/>
      <c r="OHI12" s="10"/>
      <c r="OHL12" s="11"/>
      <c r="OHM12" s="10"/>
      <c r="OHP12" s="11"/>
      <c r="OHQ12" s="10"/>
      <c r="OHT12" s="11"/>
      <c r="OHU12" s="10"/>
      <c r="OHX12" s="11"/>
      <c r="OHY12" s="10"/>
      <c r="OIB12" s="11"/>
      <c r="OIC12" s="10"/>
      <c r="OIF12" s="11"/>
      <c r="OIG12" s="10"/>
      <c r="OIJ12" s="11"/>
      <c r="OIK12" s="10"/>
      <c r="OIN12" s="11"/>
      <c r="OIO12" s="10"/>
      <c r="OIR12" s="11"/>
      <c r="OIS12" s="10"/>
      <c r="OIV12" s="11"/>
      <c r="OIW12" s="10"/>
      <c r="OIZ12" s="11"/>
      <c r="OJA12" s="10"/>
      <c r="OJD12" s="11"/>
      <c r="OJE12" s="10"/>
      <c r="OJH12" s="11"/>
      <c r="OJI12" s="10"/>
      <c r="OJL12" s="11"/>
      <c r="OJM12" s="10"/>
      <c r="OJP12" s="11"/>
      <c r="OJQ12" s="10"/>
      <c r="OJT12" s="11"/>
      <c r="OJU12" s="10"/>
      <c r="OJX12" s="11"/>
      <c r="OJY12" s="10"/>
      <c r="OKB12" s="11"/>
      <c r="OKC12" s="10"/>
      <c r="OKF12" s="11"/>
      <c r="OKG12" s="10"/>
      <c r="OKJ12" s="11"/>
      <c r="OKK12" s="10"/>
      <c r="OKN12" s="11"/>
      <c r="OKO12" s="10"/>
      <c r="OKR12" s="11"/>
      <c r="OKS12" s="10"/>
      <c r="OKV12" s="11"/>
      <c r="OKW12" s="10"/>
      <c r="OKZ12" s="11"/>
      <c r="OLA12" s="10"/>
      <c r="OLD12" s="11"/>
      <c r="OLE12" s="10"/>
      <c r="OLH12" s="11"/>
      <c r="OLI12" s="10"/>
      <c r="OLL12" s="11"/>
      <c r="OLM12" s="10"/>
      <c r="OLP12" s="11"/>
      <c r="OLQ12" s="10"/>
      <c r="OLT12" s="11"/>
      <c r="OLU12" s="10"/>
      <c r="OLX12" s="11"/>
      <c r="OLY12" s="10"/>
      <c r="OMB12" s="11"/>
      <c r="OMC12" s="10"/>
      <c r="OMF12" s="11"/>
      <c r="OMG12" s="10"/>
      <c r="OMJ12" s="11"/>
      <c r="OMK12" s="10"/>
      <c r="OMN12" s="11"/>
      <c r="OMO12" s="10"/>
      <c r="OMR12" s="11"/>
      <c r="OMS12" s="10"/>
      <c r="OMV12" s="11"/>
      <c r="OMW12" s="10"/>
      <c r="OMZ12" s="11"/>
      <c r="ONA12" s="10"/>
      <c r="OND12" s="11"/>
      <c r="ONE12" s="10"/>
      <c r="ONH12" s="11"/>
      <c r="ONI12" s="10"/>
      <c r="ONL12" s="11"/>
      <c r="ONM12" s="10"/>
      <c r="ONP12" s="11"/>
      <c r="ONQ12" s="10"/>
      <c r="ONT12" s="11"/>
      <c r="ONU12" s="10"/>
      <c r="ONX12" s="11"/>
      <c r="ONY12" s="10"/>
      <c r="OOB12" s="11"/>
      <c r="OOC12" s="10"/>
      <c r="OOF12" s="11"/>
      <c r="OOG12" s="10"/>
      <c r="OOJ12" s="11"/>
      <c r="OOK12" s="10"/>
      <c r="OON12" s="11"/>
      <c r="OOO12" s="10"/>
      <c r="OOR12" s="11"/>
      <c r="OOS12" s="10"/>
      <c r="OOV12" s="11"/>
      <c r="OOW12" s="10"/>
      <c r="OOZ12" s="11"/>
      <c r="OPA12" s="10"/>
      <c r="OPD12" s="11"/>
      <c r="OPE12" s="10"/>
      <c r="OPH12" s="11"/>
      <c r="OPI12" s="10"/>
      <c r="OPL12" s="11"/>
      <c r="OPM12" s="10"/>
      <c r="OPP12" s="11"/>
      <c r="OPQ12" s="10"/>
      <c r="OPT12" s="11"/>
      <c r="OPU12" s="10"/>
      <c r="OPX12" s="11"/>
      <c r="OPY12" s="10"/>
      <c r="OQB12" s="11"/>
      <c r="OQC12" s="10"/>
      <c r="OQF12" s="11"/>
      <c r="OQG12" s="10"/>
      <c r="OQJ12" s="11"/>
      <c r="OQK12" s="10"/>
      <c r="OQN12" s="11"/>
      <c r="OQO12" s="10"/>
      <c r="OQR12" s="11"/>
      <c r="OQS12" s="10"/>
      <c r="OQV12" s="11"/>
      <c r="OQW12" s="10"/>
      <c r="OQZ12" s="11"/>
      <c r="ORA12" s="10"/>
      <c r="ORD12" s="11"/>
      <c r="ORE12" s="10"/>
      <c r="ORH12" s="11"/>
      <c r="ORI12" s="10"/>
      <c r="ORL12" s="11"/>
      <c r="ORM12" s="10"/>
      <c r="ORP12" s="11"/>
      <c r="ORQ12" s="10"/>
      <c r="ORT12" s="11"/>
      <c r="ORU12" s="10"/>
      <c r="ORX12" s="11"/>
      <c r="ORY12" s="10"/>
      <c r="OSB12" s="11"/>
      <c r="OSC12" s="10"/>
      <c r="OSF12" s="11"/>
      <c r="OSG12" s="10"/>
      <c r="OSJ12" s="11"/>
      <c r="OSK12" s="10"/>
      <c r="OSN12" s="11"/>
      <c r="OSO12" s="10"/>
      <c r="OSR12" s="11"/>
      <c r="OSS12" s="10"/>
      <c r="OSV12" s="11"/>
      <c r="OSW12" s="10"/>
      <c r="OSZ12" s="11"/>
      <c r="OTA12" s="10"/>
      <c r="OTD12" s="11"/>
      <c r="OTE12" s="10"/>
      <c r="OTH12" s="11"/>
      <c r="OTI12" s="10"/>
      <c r="OTL12" s="11"/>
      <c r="OTM12" s="10"/>
      <c r="OTP12" s="11"/>
      <c r="OTQ12" s="10"/>
      <c r="OTT12" s="11"/>
      <c r="OTU12" s="10"/>
      <c r="OTX12" s="11"/>
      <c r="OTY12" s="10"/>
      <c r="OUB12" s="11"/>
      <c r="OUC12" s="10"/>
      <c r="OUF12" s="11"/>
      <c r="OUG12" s="10"/>
      <c r="OUJ12" s="11"/>
      <c r="OUK12" s="10"/>
      <c r="OUN12" s="11"/>
      <c r="OUO12" s="10"/>
      <c r="OUR12" s="11"/>
      <c r="OUS12" s="10"/>
      <c r="OUV12" s="11"/>
      <c r="OUW12" s="10"/>
      <c r="OUZ12" s="11"/>
      <c r="OVA12" s="10"/>
      <c r="OVD12" s="11"/>
      <c r="OVE12" s="10"/>
      <c r="OVH12" s="11"/>
      <c r="OVI12" s="10"/>
      <c r="OVL12" s="11"/>
      <c r="OVM12" s="10"/>
      <c r="OVP12" s="11"/>
      <c r="OVQ12" s="10"/>
      <c r="OVT12" s="11"/>
      <c r="OVU12" s="10"/>
      <c r="OVX12" s="11"/>
      <c r="OVY12" s="10"/>
      <c r="OWB12" s="11"/>
      <c r="OWC12" s="10"/>
      <c r="OWF12" s="11"/>
      <c r="OWG12" s="10"/>
      <c r="OWJ12" s="11"/>
      <c r="OWK12" s="10"/>
      <c r="OWN12" s="11"/>
      <c r="OWO12" s="10"/>
      <c r="OWR12" s="11"/>
      <c r="OWS12" s="10"/>
      <c r="OWV12" s="11"/>
      <c r="OWW12" s="10"/>
      <c r="OWZ12" s="11"/>
      <c r="OXA12" s="10"/>
      <c r="OXD12" s="11"/>
      <c r="OXE12" s="10"/>
      <c r="OXH12" s="11"/>
      <c r="OXI12" s="10"/>
      <c r="OXL12" s="11"/>
      <c r="OXM12" s="10"/>
      <c r="OXP12" s="11"/>
      <c r="OXQ12" s="10"/>
      <c r="OXT12" s="11"/>
      <c r="OXU12" s="10"/>
      <c r="OXX12" s="11"/>
      <c r="OXY12" s="10"/>
      <c r="OYB12" s="11"/>
      <c r="OYC12" s="10"/>
      <c r="OYF12" s="11"/>
      <c r="OYG12" s="10"/>
      <c r="OYJ12" s="11"/>
      <c r="OYK12" s="10"/>
      <c r="OYN12" s="11"/>
      <c r="OYO12" s="10"/>
      <c r="OYR12" s="11"/>
      <c r="OYS12" s="10"/>
      <c r="OYV12" s="11"/>
      <c r="OYW12" s="10"/>
      <c r="OYZ12" s="11"/>
      <c r="OZA12" s="10"/>
      <c r="OZD12" s="11"/>
      <c r="OZE12" s="10"/>
      <c r="OZH12" s="11"/>
      <c r="OZI12" s="10"/>
      <c r="OZL12" s="11"/>
      <c r="OZM12" s="10"/>
      <c r="OZP12" s="11"/>
      <c r="OZQ12" s="10"/>
      <c r="OZT12" s="11"/>
      <c r="OZU12" s="10"/>
      <c r="OZX12" s="11"/>
      <c r="OZY12" s="10"/>
      <c r="PAB12" s="11"/>
      <c r="PAC12" s="10"/>
      <c r="PAF12" s="11"/>
      <c r="PAG12" s="10"/>
      <c r="PAJ12" s="11"/>
      <c r="PAK12" s="10"/>
      <c r="PAN12" s="11"/>
      <c r="PAO12" s="10"/>
      <c r="PAR12" s="11"/>
      <c r="PAS12" s="10"/>
      <c r="PAV12" s="11"/>
      <c r="PAW12" s="10"/>
      <c r="PAZ12" s="11"/>
      <c r="PBA12" s="10"/>
      <c r="PBD12" s="11"/>
      <c r="PBE12" s="10"/>
      <c r="PBH12" s="11"/>
      <c r="PBI12" s="10"/>
      <c r="PBL12" s="11"/>
      <c r="PBM12" s="10"/>
      <c r="PBP12" s="11"/>
      <c r="PBQ12" s="10"/>
      <c r="PBT12" s="11"/>
      <c r="PBU12" s="10"/>
      <c r="PBX12" s="11"/>
      <c r="PBY12" s="10"/>
      <c r="PCB12" s="11"/>
      <c r="PCC12" s="10"/>
      <c r="PCF12" s="11"/>
      <c r="PCG12" s="10"/>
      <c r="PCJ12" s="11"/>
      <c r="PCK12" s="10"/>
      <c r="PCN12" s="11"/>
      <c r="PCO12" s="10"/>
      <c r="PCR12" s="11"/>
      <c r="PCS12" s="10"/>
      <c r="PCV12" s="11"/>
      <c r="PCW12" s="10"/>
      <c r="PCZ12" s="11"/>
      <c r="PDA12" s="10"/>
      <c r="PDD12" s="11"/>
      <c r="PDE12" s="10"/>
      <c r="PDH12" s="11"/>
      <c r="PDI12" s="10"/>
      <c r="PDL12" s="11"/>
      <c r="PDM12" s="10"/>
      <c r="PDP12" s="11"/>
      <c r="PDQ12" s="10"/>
      <c r="PDT12" s="11"/>
      <c r="PDU12" s="10"/>
      <c r="PDX12" s="11"/>
      <c r="PDY12" s="10"/>
      <c r="PEB12" s="11"/>
      <c r="PEC12" s="10"/>
      <c r="PEF12" s="11"/>
      <c r="PEG12" s="10"/>
      <c r="PEJ12" s="11"/>
      <c r="PEK12" s="10"/>
      <c r="PEN12" s="11"/>
      <c r="PEO12" s="10"/>
      <c r="PER12" s="11"/>
      <c r="PES12" s="10"/>
      <c r="PEV12" s="11"/>
      <c r="PEW12" s="10"/>
      <c r="PEZ12" s="11"/>
      <c r="PFA12" s="10"/>
      <c r="PFD12" s="11"/>
      <c r="PFE12" s="10"/>
      <c r="PFH12" s="11"/>
      <c r="PFI12" s="10"/>
      <c r="PFL12" s="11"/>
      <c r="PFM12" s="10"/>
      <c r="PFP12" s="11"/>
      <c r="PFQ12" s="10"/>
      <c r="PFT12" s="11"/>
      <c r="PFU12" s="10"/>
      <c r="PFX12" s="11"/>
      <c r="PFY12" s="10"/>
      <c r="PGB12" s="11"/>
      <c r="PGC12" s="10"/>
      <c r="PGF12" s="11"/>
      <c r="PGG12" s="10"/>
      <c r="PGJ12" s="11"/>
      <c r="PGK12" s="10"/>
      <c r="PGN12" s="11"/>
      <c r="PGO12" s="10"/>
      <c r="PGR12" s="11"/>
      <c r="PGS12" s="10"/>
      <c r="PGV12" s="11"/>
      <c r="PGW12" s="10"/>
      <c r="PGZ12" s="11"/>
      <c r="PHA12" s="10"/>
      <c r="PHD12" s="11"/>
      <c r="PHE12" s="10"/>
      <c r="PHH12" s="11"/>
      <c r="PHI12" s="10"/>
      <c r="PHL12" s="11"/>
      <c r="PHM12" s="10"/>
      <c r="PHP12" s="11"/>
      <c r="PHQ12" s="10"/>
      <c r="PHT12" s="11"/>
      <c r="PHU12" s="10"/>
      <c r="PHX12" s="11"/>
      <c r="PHY12" s="10"/>
      <c r="PIB12" s="11"/>
      <c r="PIC12" s="10"/>
      <c r="PIF12" s="11"/>
      <c r="PIG12" s="10"/>
      <c r="PIJ12" s="11"/>
      <c r="PIK12" s="10"/>
      <c r="PIN12" s="11"/>
      <c r="PIO12" s="10"/>
      <c r="PIR12" s="11"/>
      <c r="PIS12" s="10"/>
      <c r="PIV12" s="11"/>
      <c r="PIW12" s="10"/>
      <c r="PIZ12" s="11"/>
      <c r="PJA12" s="10"/>
      <c r="PJD12" s="11"/>
      <c r="PJE12" s="10"/>
      <c r="PJH12" s="11"/>
      <c r="PJI12" s="10"/>
      <c r="PJL12" s="11"/>
      <c r="PJM12" s="10"/>
      <c r="PJP12" s="11"/>
      <c r="PJQ12" s="10"/>
      <c r="PJT12" s="11"/>
      <c r="PJU12" s="10"/>
      <c r="PJX12" s="11"/>
      <c r="PJY12" s="10"/>
      <c r="PKB12" s="11"/>
      <c r="PKC12" s="10"/>
      <c r="PKF12" s="11"/>
      <c r="PKG12" s="10"/>
      <c r="PKJ12" s="11"/>
      <c r="PKK12" s="10"/>
      <c r="PKN12" s="11"/>
      <c r="PKO12" s="10"/>
      <c r="PKR12" s="11"/>
      <c r="PKS12" s="10"/>
      <c r="PKV12" s="11"/>
      <c r="PKW12" s="10"/>
      <c r="PKZ12" s="11"/>
      <c r="PLA12" s="10"/>
      <c r="PLD12" s="11"/>
      <c r="PLE12" s="10"/>
      <c r="PLH12" s="11"/>
      <c r="PLI12" s="10"/>
      <c r="PLL12" s="11"/>
      <c r="PLM12" s="10"/>
      <c r="PLP12" s="11"/>
      <c r="PLQ12" s="10"/>
      <c r="PLT12" s="11"/>
      <c r="PLU12" s="10"/>
      <c r="PLX12" s="11"/>
      <c r="PLY12" s="10"/>
      <c r="PMB12" s="11"/>
      <c r="PMC12" s="10"/>
      <c r="PMF12" s="11"/>
      <c r="PMG12" s="10"/>
      <c r="PMJ12" s="11"/>
      <c r="PMK12" s="10"/>
      <c r="PMN12" s="11"/>
      <c r="PMO12" s="10"/>
      <c r="PMR12" s="11"/>
      <c r="PMS12" s="10"/>
      <c r="PMV12" s="11"/>
      <c r="PMW12" s="10"/>
      <c r="PMZ12" s="11"/>
      <c r="PNA12" s="10"/>
      <c r="PND12" s="11"/>
      <c r="PNE12" s="10"/>
      <c r="PNH12" s="11"/>
      <c r="PNI12" s="10"/>
      <c r="PNL12" s="11"/>
      <c r="PNM12" s="10"/>
      <c r="PNP12" s="11"/>
      <c r="PNQ12" s="10"/>
      <c r="PNT12" s="11"/>
      <c r="PNU12" s="10"/>
      <c r="PNX12" s="11"/>
      <c r="PNY12" s="10"/>
      <c r="POB12" s="11"/>
      <c r="POC12" s="10"/>
      <c r="POF12" s="11"/>
      <c r="POG12" s="10"/>
      <c r="POJ12" s="11"/>
      <c r="POK12" s="10"/>
      <c r="PON12" s="11"/>
      <c r="POO12" s="10"/>
      <c r="POR12" s="11"/>
      <c r="POS12" s="10"/>
      <c r="POV12" s="11"/>
      <c r="POW12" s="10"/>
      <c r="POZ12" s="11"/>
      <c r="PPA12" s="10"/>
      <c r="PPD12" s="11"/>
      <c r="PPE12" s="10"/>
      <c r="PPH12" s="11"/>
      <c r="PPI12" s="10"/>
      <c r="PPL12" s="11"/>
      <c r="PPM12" s="10"/>
      <c r="PPP12" s="11"/>
      <c r="PPQ12" s="10"/>
      <c r="PPT12" s="11"/>
      <c r="PPU12" s="10"/>
      <c r="PPX12" s="11"/>
      <c r="PPY12" s="10"/>
      <c r="PQB12" s="11"/>
      <c r="PQC12" s="10"/>
      <c r="PQF12" s="11"/>
      <c r="PQG12" s="10"/>
      <c r="PQJ12" s="11"/>
      <c r="PQK12" s="10"/>
      <c r="PQN12" s="11"/>
      <c r="PQO12" s="10"/>
      <c r="PQR12" s="11"/>
      <c r="PQS12" s="10"/>
      <c r="PQV12" s="11"/>
      <c r="PQW12" s="10"/>
      <c r="PQZ12" s="11"/>
      <c r="PRA12" s="10"/>
      <c r="PRD12" s="11"/>
      <c r="PRE12" s="10"/>
      <c r="PRH12" s="11"/>
      <c r="PRI12" s="10"/>
      <c r="PRL12" s="11"/>
      <c r="PRM12" s="10"/>
      <c r="PRP12" s="11"/>
      <c r="PRQ12" s="10"/>
      <c r="PRT12" s="11"/>
      <c r="PRU12" s="10"/>
      <c r="PRX12" s="11"/>
      <c r="PRY12" s="10"/>
      <c r="PSB12" s="11"/>
      <c r="PSC12" s="10"/>
      <c r="PSF12" s="11"/>
      <c r="PSG12" s="10"/>
      <c r="PSJ12" s="11"/>
      <c r="PSK12" s="10"/>
      <c r="PSN12" s="11"/>
      <c r="PSO12" s="10"/>
      <c r="PSR12" s="11"/>
      <c r="PSS12" s="10"/>
      <c r="PSV12" s="11"/>
      <c r="PSW12" s="10"/>
      <c r="PSZ12" s="11"/>
      <c r="PTA12" s="10"/>
      <c r="PTD12" s="11"/>
      <c r="PTE12" s="10"/>
      <c r="PTH12" s="11"/>
      <c r="PTI12" s="10"/>
      <c r="PTL12" s="11"/>
      <c r="PTM12" s="10"/>
      <c r="PTP12" s="11"/>
      <c r="PTQ12" s="10"/>
      <c r="PTT12" s="11"/>
      <c r="PTU12" s="10"/>
      <c r="PTX12" s="11"/>
      <c r="PTY12" s="10"/>
      <c r="PUB12" s="11"/>
      <c r="PUC12" s="10"/>
      <c r="PUF12" s="11"/>
      <c r="PUG12" s="10"/>
      <c r="PUJ12" s="11"/>
      <c r="PUK12" s="10"/>
      <c r="PUN12" s="11"/>
      <c r="PUO12" s="10"/>
      <c r="PUR12" s="11"/>
      <c r="PUS12" s="10"/>
      <c r="PUV12" s="11"/>
      <c r="PUW12" s="10"/>
      <c r="PUZ12" s="11"/>
      <c r="PVA12" s="10"/>
      <c r="PVD12" s="11"/>
      <c r="PVE12" s="10"/>
      <c r="PVH12" s="11"/>
      <c r="PVI12" s="10"/>
      <c r="PVL12" s="11"/>
      <c r="PVM12" s="10"/>
      <c r="PVP12" s="11"/>
      <c r="PVQ12" s="10"/>
      <c r="PVT12" s="11"/>
      <c r="PVU12" s="10"/>
      <c r="PVX12" s="11"/>
      <c r="PVY12" s="10"/>
      <c r="PWB12" s="11"/>
      <c r="PWC12" s="10"/>
      <c r="PWF12" s="11"/>
      <c r="PWG12" s="10"/>
      <c r="PWJ12" s="11"/>
      <c r="PWK12" s="10"/>
      <c r="PWN12" s="11"/>
      <c r="PWO12" s="10"/>
      <c r="PWR12" s="11"/>
      <c r="PWS12" s="10"/>
      <c r="PWV12" s="11"/>
      <c r="PWW12" s="10"/>
      <c r="PWZ12" s="11"/>
      <c r="PXA12" s="10"/>
      <c r="PXD12" s="11"/>
      <c r="PXE12" s="10"/>
      <c r="PXH12" s="11"/>
      <c r="PXI12" s="10"/>
      <c r="PXL12" s="11"/>
      <c r="PXM12" s="10"/>
      <c r="PXP12" s="11"/>
      <c r="PXQ12" s="10"/>
      <c r="PXT12" s="11"/>
      <c r="PXU12" s="10"/>
      <c r="PXX12" s="11"/>
      <c r="PXY12" s="10"/>
      <c r="PYB12" s="11"/>
      <c r="PYC12" s="10"/>
      <c r="PYF12" s="11"/>
      <c r="PYG12" s="10"/>
      <c r="PYJ12" s="11"/>
      <c r="PYK12" s="10"/>
      <c r="PYN12" s="11"/>
      <c r="PYO12" s="10"/>
      <c r="PYR12" s="11"/>
      <c r="PYS12" s="10"/>
      <c r="PYV12" s="11"/>
      <c r="PYW12" s="10"/>
      <c r="PYZ12" s="11"/>
      <c r="PZA12" s="10"/>
      <c r="PZD12" s="11"/>
      <c r="PZE12" s="10"/>
      <c r="PZH12" s="11"/>
      <c r="PZI12" s="10"/>
      <c r="PZL12" s="11"/>
      <c r="PZM12" s="10"/>
      <c r="PZP12" s="11"/>
      <c r="PZQ12" s="10"/>
      <c r="PZT12" s="11"/>
      <c r="PZU12" s="10"/>
      <c r="PZX12" s="11"/>
      <c r="PZY12" s="10"/>
      <c r="QAB12" s="11"/>
      <c r="QAC12" s="10"/>
      <c r="QAF12" s="11"/>
      <c r="QAG12" s="10"/>
      <c r="QAJ12" s="11"/>
      <c r="QAK12" s="10"/>
      <c r="QAN12" s="11"/>
      <c r="QAO12" s="10"/>
      <c r="QAR12" s="11"/>
      <c r="QAS12" s="10"/>
      <c r="QAV12" s="11"/>
      <c r="QAW12" s="10"/>
      <c r="QAZ12" s="11"/>
      <c r="QBA12" s="10"/>
      <c r="QBD12" s="11"/>
      <c r="QBE12" s="10"/>
      <c r="QBH12" s="11"/>
      <c r="QBI12" s="10"/>
      <c r="QBL12" s="11"/>
      <c r="QBM12" s="10"/>
      <c r="QBP12" s="11"/>
      <c r="QBQ12" s="10"/>
      <c r="QBT12" s="11"/>
      <c r="QBU12" s="10"/>
      <c r="QBX12" s="11"/>
      <c r="QBY12" s="10"/>
      <c r="QCB12" s="11"/>
      <c r="QCC12" s="10"/>
      <c r="QCF12" s="11"/>
      <c r="QCG12" s="10"/>
      <c r="QCJ12" s="11"/>
      <c r="QCK12" s="10"/>
      <c r="QCN12" s="11"/>
      <c r="QCO12" s="10"/>
      <c r="QCR12" s="11"/>
      <c r="QCS12" s="10"/>
      <c r="QCV12" s="11"/>
      <c r="QCW12" s="10"/>
      <c r="QCZ12" s="11"/>
      <c r="QDA12" s="10"/>
      <c r="QDD12" s="11"/>
      <c r="QDE12" s="10"/>
      <c r="QDH12" s="11"/>
      <c r="QDI12" s="10"/>
      <c r="QDL12" s="11"/>
      <c r="QDM12" s="10"/>
      <c r="QDP12" s="11"/>
      <c r="QDQ12" s="10"/>
      <c r="QDT12" s="11"/>
      <c r="QDU12" s="10"/>
      <c r="QDX12" s="11"/>
      <c r="QDY12" s="10"/>
      <c r="QEB12" s="11"/>
      <c r="QEC12" s="10"/>
      <c r="QEF12" s="11"/>
      <c r="QEG12" s="10"/>
      <c r="QEJ12" s="11"/>
      <c r="QEK12" s="10"/>
      <c r="QEN12" s="11"/>
      <c r="QEO12" s="10"/>
      <c r="QER12" s="11"/>
      <c r="QES12" s="10"/>
      <c r="QEV12" s="11"/>
      <c r="QEW12" s="10"/>
      <c r="QEZ12" s="11"/>
      <c r="QFA12" s="10"/>
      <c r="QFD12" s="11"/>
      <c r="QFE12" s="10"/>
      <c r="QFH12" s="11"/>
      <c r="QFI12" s="10"/>
      <c r="QFL12" s="11"/>
      <c r="QFM12" s="10"/>
      <c r="QFP12" s="11"/>
      <c r="QFQ12" s="10"/>
      <c r="QFT12" s="11"/>
      <c r="QFU12" s="10"/>
      <c r="QFX12" s="11"/>
      <c r="QFY12" s="10"/>
      <c r="QGB12" s="11"/>
      <c r="QGC12" s="10"/>
      <c r="QGF12" s="11"/>
      <c r="QGG12" s="10"/>
      <c r="QGJ12" s="11"/>
      <c r="QGK12" s="10"/>
      <c r="QGN12" s="11"/>
      <c r="QGO12" s="10"/>
      <c r="QGR12" s="11"/>
      <c r="QGS12" s="10"/>
      <c r="QGV12" s="11"/>
      <c r="QGW12" s="10"/>
      <c r="QGZ12" s="11"/>
      <c r="QHA12" s="10"/>
      <c r="QHD12" s="11"/>
      <c r="QHE12" s="10"/>
      <c r="QHH12" s="11"/>
      <c r="QHI12" s="10"/>
      <c r="QHL12" s="11"/>
      <c r="QHM12" s="10"/>
      <c r="QHP12" s="11"/>
      <c r="QHQ12" s="10"/>
      <c r="QHT12" s="11"/>
      <c r="QHU12" s="10"/>
      <c r="QHX12" s="11"/>
      <c r="QHY12" s="10"/>
      <c r="QIB12" s="11"/>
      <c r="QIC12" s="10"/>
      <c r="QIF12" s="11"/>
      <c r="QIG12" s="10"/>
      <c r="QIJ12" s="11"/>
      <c r="QIK12" s="10"/>
      <c r="QIN12" s="11"/>
      <c r="QIO12" s="10"/>
      <c r="QIR12" s="11"/>
      <c r="QIS12" s="10"/>
      <c r="QIV12" s="11"/>
      <c r="QIW12" s="10"/>
      <c r="QIZ12" s="11"/>
      <c r="QJA12" s="10"/>
      <c r="QJD12" s="11"/>
      <c r="QJE12" s="10"/>
      <c r="QJH12" s="11"/>
      <c r="QJI12" s="10"/>
      <c r="QJL12" s="11"/>
      <c r="QJM12" s="10"/>
      <c r="QJP12" s="11"/>
      <c r="QJQ12" s="10"/>
      <c r="QJT12" s="11"/>
      <c r="QJU12" s="10"/>
      <c r="QJX12" s="11"/>
      <c r="QJY12" s="10"/>
      <c r="QKB12" s="11"/>
      <c r="QKC12" s="10"/>
      <c r="QKF12" s="11"/>
      <c r="QKG12" s="10"/>
      <c r="QKJ12" s="11"/>
      <c r="QKK12" s="10"/>
      <c r="QKN12" s="11"/>
      <c r="QKO12" s="10"/>
      <c r="QKR12" s="11"/>
      <c r="QKS12" s="10"/>
      <c r="QKV12" s="11"/>
      <c r="QKW12" s="10"/>
      <c r="QKZ12" s="11"/>
      <c r="QLA12" s="10"/>
      <c r="QLD12" s="11"/>
      <c r="QLE12" s="10"/>
      <c r="QLH12" s="11"/>
      <c r="QLI12" s="10"/>
      <c r="QLL12" s="11"/>
      <c r="QLM12" s="10"/>
      <c r="QLP12" s="11"/>
      <c r="QLQ12" s="10"/>
      <c r="QLT12" s="11"/>
      <c r="QLU12" s="10"/>
      <c r="QLX12" s="11"/>
      <c r="QLY12" s="10"/>
      <c r="QMB12" s="11"/>
      <c r="QMC12" s="10"/>
      <c r="QMF12" s="11"/>
      <c r="QMG12" s="10"/>
      <c r="QMJ12" s="11"/>
      <c r="QMK12" s="10"/>
      <c r="QMN12" s="11"/>
      <c r="QMO12" s="10"/>
      <c r="QMR12" s="11"/>
      <c r="QMS12" s="10"/>
      <c r="QMV12" s="11"/>
      <c r="QMW12" s="10"/>
      <c r="QMZ12" s="11"/>
      <c r="QNA12" s="10"/>
      <c r="QND12" s="11"/>
      <c r="QNE12" s="10"/>
      <c r="QNH12" s="11"/>
      <c r="QNI12" s="10"/>
      <c r="QNL12" s="11"/>
      <c r="QNM12" s="10"/>
      <c r="QNP12" s="11"/>
      <c r="QNQ12" s="10"/>
      <c r="QNT12" s="11"/>
      <c r="QNU12" s="10"/>
      <c r="QNX12" s="11"/>
      <c r="QNY12" s="10"/>
      <c r="QOB12" s="11"/>
      <c r="QOC12" s="10"/>
      <c r="QOF12" s="11"/>
      <c r="QOG12" s="10"/>
      <c r="QOJ12" s="11"/>
      <c r="QOK12" s="10"/>
      <c r="QON12" s="11"/>
      <c r="QOO12" s="10"/>
      <c r="QOR12" s="11"/>
      <c r="QOS12" s="10"/>
      <c r="QOV12" s="11"/>
      <c r="QOW12" s="10"/>
      <c r="QOZ12" s="11"/>
      <c r="QPA12" s="10"/>
      <c r="QPD12" s="11"/>
      <c r="QPE12" s="10"/>
      <c r="QPH12" s="11"/>
      <c r="QPI12" s="10"/>
      <c r="QPL12" s="11"/>
      <c r="QPM12" s="10"/>
      <c r="QPP12" s="11"/>
      <c r="QPQ12" s="10"/>
      <c r="QPT12" s="11"/>
      <c r="QPU12" s="10"/>
      <c r="QPX12" s="11"/>
      <c r="QPY12" s="10"/>
      <c r="QQB12" s="11"/>
      <c r="QQC12" s="10"/>
      <c r="QQF12" s="11"/>
      <c r="QQG12" s="10"/>
      <c r="QQJ12" s="11"/>
      <c r="QQK12" s="10"/>
      <c r="QQN12" s="11"/>
      <c r="QQO12" s="10"/>
      <c r="QQR12" s="11"/>
      <c r="QQS12" s="10"/>
      <c r="QQV12" s="11"/>
      <c r="QQW12" s="10"/>
      <c r="QQZ12" s="11"/>
      <c r="QRA12" s="10"/>
      <c r="QRD12" s="11"/>
      <c r="QRE12" s="10"/>
      <c r="QRH12" s="11"/>
      <c r="QRI12" s="10"/>
      <c r="QRL12" s="11"/>
      <c r="QRM12" s="10"/>
      <c r="QRP12" s="11"/>
      <c r="QRQ12" s="10"/>
      <c r="QRT12" s="11"/>
      <c r="QRU12" s="10"/>
      <c r="QRX12" s="11"/>
      <c r="QRY12" s="10"/>
      <c r="QSB12" s="11"/>
      <c r="QSC12" s="10"/>
      <c r="QSF12" s="11"/>
      <c r="QSG12" s="10"/>
      <c r="QSJ12" s="11"/>
      <c r="QSK12" s="10"/>
      <c r="QSN12" s="11"/>
      <c r="QSO12" s="10"/>
      <c r="QSR12" s="11"/>
      <c r="QSS12" s="10"/>
      <c r="QSV12" s="11"/>
      <c r="QSW12" s="10"/>
      <c r="QSZ12" s="11"/>
      <c r="QTA12" s="10"/>
      <c r="QTD12" s="11"/>
      <c r="QTE12" s="10"/>
      <c r="QTH12" s="11"/>
      <c r="QTI12" s="10"/>
      <c r="QTL12" s="11"/>
      <c r="QTM12" s="10"/>
      <c r="QTP12" s="11"/>
      <c r="QTQ12" s="10"/>
      <c r="QTT12" s="11"/>
      <c r="QTU12" s="10"/>
      <c r="QTX12" s="11"/>
      <c r="QTY12" s="10"/>
      <c r="QUB12" s="11"/>
      <c r="QUC12" s="10"/>
      <c r="QUF12" s="11"/>
      <c r="QUG12" s="10"/>
      <c r="QUJ12" s="11"/>
      <c r="QUK12" s="10"/>
      <c r="QUN12" s="11"/>
      <c r="QUO12" s="10"/>
      <c r="QUR12" s="11"/>
      <c r="QUS12" s="10"/>
      <c r="QUV12" s="11"/>
      <c r="QUW12" s="10"/>
      <c r="QUZ12" s="11"/>
      <c r="QVA12" s="10"/>
      <c r="QVD12" s="11"/>
      <c r="QVE12" s="10"/>
      <c r="QVH12" s="11"/>
      <c r="QVI12" s="10"/>
      <c r="QVL12" s="11"/>
      <c r="QVM12" s="10"/>
      <c r="QVP12" s="11"/>
      <c r="QVQ12" s="10"/>
      <c r="QVT12" s="11"/>
      <c r="QVU12" s="10"/>
      <c r="QVX12" s="11"/>
      <c r="QVY12" s="10"/>
      <c r="QWB12" s="11"/>
      <c r="QWC12" s="10"/>
      <c r="QWF12" s="11"/>
      <c r="QWG12" s="10"/>
      <c r="QWJ12" s="11"/>
      <c r="QWK12" s="10"/>
      <c r="QWN12" s="11"/>
      <c r="QWO12" s="10"/>
      <c r="QWR12" s="11"/>
      <c r="QWS12" s="10"/>
      <c r="QWV12" s="11"/>
      <c r="QWW12" s="10"/>
      <c r="QWZ12" s="11"/>
      <c r="QXA12" s="10"/>
      <c r="QXD12" s="11"/>
      <c r="QXE12" s="10"/>
      <c r="QXH12" s="11"/>
      <c r="QXI12" s="10"/>
      <c r="QXL12" s="11"/>
      <c r="QXM12" s="10"/>
      <c r="QXP12" s="11"/>
      <c r="QXQ12" s="10"/>
      <c r="QXT12" s="11"/>
      <c r="QXU12" s="10"/>
      <c r="QXX12" s="11"/>
      <c r="QXY12" s="10"/>
      <c r="QYB12" s="11"/>
      <c r="QYC12" s="10"/>
      <c r="QYF12" s="11"/>
      <c r="QYG12" s="10"/>
      <c r="QYJ12" s="11"/>
      <c r="QYK12" s="10"/>
      <c r="QYN12" s="11"/>
      <c r="QYO12" s="10"/>
      <c r="QYR12" s="11"/>
      <c r="QYS12" s="10"/>
      <c r="QYV12" s="11"/>
      <c r="QYW12" s="10"/>
      <c r="QYZ12" s="11"/>
      <c r="QZA12" s="10"/>
      <c r="QZD12" s="11"/>
      <c r="QZE12" s="10"/>
      <c r="QZH12" s="11"/>
      <c r="QZI12" s="10"/>
      <c r="QZL12" s="11"/>
      <c r="QZM12" s="10"/>
      <c r="QZP12" s="11"/>
      <c r="QZQ12" s="10"/>
      <c r="QZT12" s="11"/>
      <c r="QZU12" s="10"/>
      <c r="QZX12" s="11"/>
      <c r="QZY12" s="10"/>
      <c r="RAB12" s="11"/>
      <c r="RAC12" s="10"/>
      <c r="RAF12" s="11"/>
      <c r="RAG12" s="10"/>
      <c r="RAJ12" s="11"/>
      <c r="RAK12" s="10"/>
      <c r="RAN12" s="11"/>
      <c r="RAO12" s="10"/>
      <c r="RAR12" s="11"/>
      <c r="RAS12" s="10"/>
      <c r="RAV12" s="11"/>
      <c r="RAW12" s="10"/>
      <c r="RAZ12" s="11"/>
      <c r="RBA12" s="10"/>
      <c r="RBD12" s="11"/>
      <c r="RBE12" s="10"/>
      <c r="RBH12" s="11"/>
      <c r="RBI12" s="10"/>
      <c r="RBL12" s="11"/>
      <c r="RBM12" s="10"/>
      <c r="RBP12" s="11"/>
      <c r="RBQ12" s="10"/>
      <c r="RBT12" s="11"/>
      <c r="RBU12" s="10"/>
      <c r="RBX12" s="11"/>
      <c r="RBY12" s="10"/>
      <c r="RCB12" s="11"/>
      <c r="RCC12" s="10"/>
      <c r="RCF12" s="11"/>
      <c r="RCG12" s="10"/>
      <c r="RCJ12" s="11"/>
      <c r="RCK12" s="10"/>
      <c r="RCN12" s="11"/>
      <c r="RCO12" s="10"/>
      <c r="RCR12" s="11"/>
      <c r="RCS12" s="10"/>
      <c r="RCV12" s="11"/>
      <c r="RCW12" s="10"/>
      <c r="RCZ12" s="11"/>
      <c r="RDA12" s="10"/>
      <c r="RDD12" s="11"/>
      <c r="RDE12" s="10"/>
      <c r="RDH12" s="11"/>
      <c r="RDI12" s="10"/>
      <c r="RDL12" s="11"/>
      <c r="RDM12" s="10"/>
      <c r="RDP12" s="11"/>
      <c r="RDQ12" s="10"/>
      <c r="RDT12" s="11"/>
      <c r="RDU12" s="10"/>
      <c r="RDX12" s="11"/>
      <c r="RDY12" s="10"/>
      <c r="REB12" s="11"/>
      <c r="REC12" s="10"/>
      <c r="REF12" s="11"/>
      <c r="REG12" s="10"/>
      <c r="REJ12" s="11"/>
      <c r="REK12" s="10"/>
      <c r="REN12" s="11"/>
      <c r="REO12" s="10"/>
      <c r="RER12" s="11"/>
      <c r="RES12" s="10"/>
      <c r="REV12" s="11"/>
      <c r="REW12" s="10"/>
      <c r="REZ12" s="11"/>
      <c r="RFA12" s="10"/>
      <c r="RFD12" s="11"/>
      <c r="RFE12" s="10"/>
      <c r="RFH12" s="11"/>
      <c r="RFI12" s="10"/>
      <c r="RFL12" s="11"/>
      <c r="RFM12" s="10"/>
      <c r="RFP12" s="11"/>
      <c r="RFQ12" s="10"/>
      <c r="RFT12" s="11"/>
      <c r="RFU12" s="10"/>
      <c r="RFX12" s="11"/>
      <c r="RFY12" s="10"/>
      <c r="RGB12" s="11"/>
      <c r="RGC12" s="10"/>
      <c r="RGF12" s="11"/>
      <c r="RGG12" s="10"/>
      <c r="RGJ12" s="11"/>
      <c r="RGK12" s="10"/>
      <c r="RGN12" s="11"/>
      <c r="RGO12" s="10"/>
      <c r="RGR12" s="11"/>
      <c r="RGS12" s="10"/>
      <c r="RGV12" s="11"/>
      <c r="RGW12" s="10"/>
      <c r="RGZ12" s="11"/>
      <c r="RHA12" s="10"/>
      <c r="RHD12" s="11"/>
      <c r="RHE12" s="10"/>
      <c r="RHH12" s="11"/>
      <c r="RHI12" s="10"/>
      <c r="RHL12" s="11"/>
      <c r="RHM12" s="10"/>
      <c r="RHP12" s="11"/>
      <c r="RHQ12" s="10"/>
      <c r="RHT12" s="11"/>
      <c r="RHU12" s="10"/>
      <c r="RHX12" s="11"/>
      <c r="RHY12" s="10"/>
      <c r="RIB12" s="11"/>
      <c r="RIC12" s="10"/>
      <c r="RIF12" s="11"/>
      <c r="RIG12" s="10"/>
      <c r="RIJ12" s="11"/>
      <c r="RIK12" s="10"/>
      <c r="RIN12" s="11"/>
      <c r="RIO12" s="10"/>
      <c r="RIR12" s="11"/>
      <c r="RIS12" s="10"/>
      <c r="RIV12" s="11"/>
      <c r="RIW12" s="10"/>
      <c r="RIZ12" s="11"/>
      <c r="RJA12" s="10"/>
      <c r="RJD12" s="11"/>
      <c r="RJE12" s="10"/>
      <c r="RJH12" s="11"/>
      <c r="RJI12" s="10"/>
      <c r="RJL12" s="11"/>
      <c r="RJM12" s="10"/>
      <c r="RJP12" s="11"/>
      <c r="RJQ12" s="10"/>
      <c r="RJT12" s="11"/>
      <c r="RJU12" s="10"/>
      <c r="RJX12" s="11"/>
      <c r="RJY12" s="10"/>
      <c r="RKB12" s="11"/>
      <c r="RKC12" s="10"/>
      <c r="RKF12" s="11"/>
      <c r="RKG12" s="10"/>
      <c r="RKJ12" s="11"/>
      <c r="RKK12" s="10"/>
      <c r="RKN12" s="11"/>
      <c r="RKO12" s="10"/>
      <c r="RKR12" s="11"/>
      <c r="RKS12" s="10"/>
      <c r="RKV12" s="11"/>
      <c r="RKW12" s="10"/>
      <c r="RKZ12" s="11"/>
      <c r="RLA12" s="10"/>
      <c r="RLD12" s="11"/>
      <c r="RLE12" s="10"/>
      <c r="RLH12" s="11"/>
      <c r="RLI12" s="10"/>
      <c r="RLL12" s="11"/>
      <c r="RLM12" s="10"/>
      <c r="RLP12" s="11"/>
      <c r="RLQ12" s="10"/>
      <c r="RLT12" s="11"/>
      <c r="RLU12" s="10"/>
      <c r="RLX12" s="11"/>
      <c r="RLY12" s="10"/>
      <c r="RMB12" s="11"/>
      <c r="RMC12" s="10"/>
      <c r="RMF12" s="11"/>
      <c r="RMG12" s="10"/>
      <c r="RMJ12" s="11"/>
      <c r="RMK12" s="10"/>
      <c r="RMN12" s="11"/>
      <c r="RMO12" s="10"/>
      <c r="RMR12" s="11"/>
      <c r="RMS12" s="10"/>
      <c r="RMV12" s="11"/>
      <c r="RMW12" s="10"/>
      <c r="RMZ12" s="11"/>
      <c r="RNA12" s="10"/>
      <c r="RND12" s="11"/>
      <c r="RNE12" s="10"/>
      <c r="RNH12" s="11"/>
      <c r="RNI12" s="10"/>
      <c r="RNL12" s="11"/>
      <c r="RNM12" s="10"/>
      <c r="RNP12" s="11"/>
      <c r="RNQ12" s="10"/>
      <c r="RNT12" s="11"/>
      <c r="RNU12" s="10"/>
      <c r="RNX12" s="11"/>
      <c r="RNY12" s="10"/>
      <c r="ROB12" s="11"/>
      <c r="ROC12" s="10"/>
      <c r="ROF12" s="11"/>
      <c r="ROG12" s="10"/>
      <c r="ROJ12" s="11"/>
      <c r="ROK12" s="10"/>
      <c r="RON12" s="11"/>
      <c r="ROO12" s="10"/>
      <c r="ROR12" s="11"/>
      <c r="ROS12" s="10"/>
      <c r="ROV12" s="11"/>
      <c r="ROW12" s="10"/>
      <c r="ROZ12" s="11"/>
      <c r="RPA12" s="10"/>
      <c r="RPD12" s="11"/>
      <c r="RPE12" s="10"/>
      <c r="RPH12" s="11"/>
      <c r="RPI12" s="10"/>
      <c r="RPL12" s="11"/>
      <c r="RPM12" s="10"/>
      <c r="RPP12" s="11"/>
      <c r="RPQ12" s="10"/>
      <c r="RPT12" s="11"/>
      <c r="RPU12" s="10"/>
      <c r="RPX12" s="11"/>
      <c r="RPY12" s="10"/>
      <c r="RQB12" s="11"/>
      <c r="RQC12" s="10"/>
      <c r="RQF12" s="11"/>
      <c r="RQG12" s="10"/>
      <c r="RQJ12" s="11"/>
      <c r="RQK12" s="10"/>
      <c r="RQN12" s="11"/>
      <c r="RQO12" s="10"/>
      <c r="RQR12" s="11"/>
      <c r="RQS12" s="10"/>
      <c r="RQV12" s="11"/>
      <c r="RQW12" s="10"/>
      <c r="RQZ12" s="11"/>
      <c r="RRA12" s="10"/>
      <c r="RRD12" s="11"/>
      <c r="RRE12" s="10"/>
      <c r="RRH12" s="11"/>
      <c r="RRI12" s="10"/>
      <c r="RRL12" s="11"/>
      <c r="RRM12" s="10"/>
      <c r="RRP12" s="11"/>
      <c r="RRQ12" s="10"/>
      <c r="RRT12" s="11"/>
      <c r="RRU12" s="10"/>
      <c r="RRX12" s="11"/>
      <c r="RRY12" s="10"/>
      <c r="RSB12" s="11"/>
      <c r="RSC12" s="10"/>
      <c r="RSF12" s="11"/>
      <c r="RSG12" s="10"/>
      <c r="RSJ12" s="11"/>
      <c r="RSK12" s="10"/>
      <c r="RSN12" s="11"/>
      <c r="RSO12" s="10"/>
      <c r="RSR12" s="11"/>
      <c r="RSS12" s="10"/>
      <c r="RSV12" s="11"/>
      <c r="RSW12" s="10"/>
      <c r="RSZ12" s="11"/>
      <c r="RTA12" s="10"/>
      <c r="RTD12" s="11"/>
      <c r="RTE12" s="10"/>
      <c r="RTH12" s="11"/>
      <c r="RTI12" s="10"/>
      <c r="RTL12" s="11"/>
      <c r="RTM12" s="10"/>
      <c r="RTP12" s="11"/>
      <c r="RTQ12" s="10"/>
      <c r="RTT12" s="11"/>
      <c r="RTU12" s="10"/>
      <c r="RTX12" s="11"/>
      <c r="RTY12" s="10"/>
      <c r="RUB12" s="11"/>
      <c r="RUC12" s="10"/>
      <c r="RUF12" s="11"/>
      <c r="RUG12" s="10"/>
      <c r="RUJ12" s="11"/>
      <c r="RUK12" s="10"/>
      <c r="RUN12" s="11"/>
      <c r="RUO12" s="10"/>
      <c r="RUR12" s="11"/>
      <c r="RUS12" s="10"/>
      <c r="RUV12" s="11"/>
      <c r="RUW12" s="10"/>
      <c r="RUZ12" s="11"/>
      <c r="RVA12" s="10"/>
      <c r="RVD12" s="11"/>
      <c r="RVE12" s="10"/>
      <c r="RVH12" s="11"/>
      <c r="RVI12" s="10"/>
      <c r="RVL12" s="11"/>
      <c r="RVM12" s="10"/>
      <c r="RVP12" s="11"/>
      <c r="RVQ12" s="10"/>
      <c r="RVT12" s="11"/>
      <c r="RVU12" s="10"/>
      <c r="RVX12" s="11"/>
      <c r="RVY12" s="10"/>
      <c r="RWB12" s="11"/>
      <c r="RWC12" s="10"/>
      <c r="RWF12" s="11"/>
      <c r="RWG12" s="10"/>
      <c r="RWJ12" s="11"/>
      <c r="RWK12" s="10"/>
      <c r="RWN12" s="11"/>
      <c r="RWO12" s="10"/>
      <c r="RWR12" s="11"/>
      <c r="RWS12" s="10"/>
      <c r="RWV12" s="11"/>
      <c r="RWW12" s="10"/>
      <c r="RWZ12" s="11"/>
      <c r="RXA12" s="10"/>
      <c r="RXD12" s="11"/>
      <c r="RXE12" s="10"/>
      <c r="RXH12" s="11"/>
      <c r="RXI12" s="10"/>
      <c r="RXL12" s="11"/>
      <c r="RXM12" s="10"/>
      <c r="RXP12" s="11"/>
      <c r="RXQ12" s="10"/>
      <c r="RXT12" s="11"/>
      <c r="RXU12" s="10"/>
      <c r="RXX12" s="11"/>
      <c r="RXY12" s="10"/>
      <c r="RYB12" s="11"/>
      <c r="RYC12" s="10"/>
      <c r="RYF12" s="11"/>
      <c r="RYG12" s="10"/>
      <c r="RYJ12" s="11"/>
      <c r="RYK12" s="10"/>
      <c r="RYN12" s="11"/>
      <c r="RYO12" s="10"/>
      <c r="RYR12" s="11"/>
      <c r="RYS12" s="10"/>
      <c r="RYV12" s="11"/>
      <c r="RYW12" s="10"/>
      <c r="RYZ12" s="11"/>
      <c r="RZA12" s="10"/>
      <c r="RZD12" s="11"/>
      <c r="RZE12" s="10"/>
      <c r="RZH12" s="11"/>
      <c r="RZI12" s="10"/>
      <c r="RZL12" s="11"/>
      <c r="RZM12" s="10"/>
      <c r="RZP12" s="11"/>
      <c r="RZQ12" s="10"/>
      <c r="RZT12" s="11"/>
      <c r="RZU12" s="10"/>
      <c r="RZX12" s="11"/>
      <c r="RZY12" s="10"/>
      <c r="SAB12" s="11"/>
      <c r="SAC12" s="10"/>
      <c r="SAF12" s="11"/>
      <c r="SAG12" s="10"/>
      <c r="SAJ12" s="11"/>
      <c r="SAK12" s="10"/>
      <c r="SAN12" s="11"/>
      <c r="SAO12" s="10"/>
      <c r="SAR12" s="11"/>
      <c r="SAS12" s="10"/>
      <c r="SAV12" s="11"/>
      <c r="SAW12" s="10"/>
      <c r="SAZ12" s="11"/>
      <c r="SBA12" s="10"/>
      <c r="SBD12" s="11"/>
      <c r="SBE12" s="10"/>
      <c r="SBH12" s="11"/>
      <c r="SBI12" s="10"/>
      <c r="SBL12" s="11"/>
      <c r="SBM12" s="10"/>
      <c r="SBP12" s="11"/>
      <c r="SBQ12" s="10"/>
      <c r="SBT12" s="11"/>
      <c r="SBU12" s="10"/>
      <c r="SBX12" s="11"/>
      <c r="SBY12" s="10"/>
      <c r="SCB12" s="11"/>
      <c r="SCC12" s="10"/>
      <c r="SCF12" s="11"/>
      <c r="SCG12" s="10"/>
      <c r="SCJ12" s="11"/>
      <c r="SCK12" s="10"/>
      <c r="SCN12" s="11"/>
      <c r="SCO12" s="10"/>
      <c r="SCR12" s="11"/>
      <c r="SCS12" s="10"/>
      <c r="SCV12" s="11"/>
      <c r="SCW12" s="10"/>
      <c r="SCZ12" s="11"/>
      <c r="SDA12" s="10"/>
      <c r="SDD12" s="11"/>
      <c r="SDE12" s="10"/>
      <c r="SDH12" s="11"/>
      <c r="SDI12" s="10"/>
      <c r="SDL12" s="11"/>
      <c r="SDM12" s="10"/>
      <c r="SDP12" s="11"/>
      <c r="SDQ12" s="10"/>
      <c r="SDT12" s="11"/>
      <c r="SDU12" s="10"/>
      <c r="SDX12" s="11"/>
      <c r="SDY12" s="10"/>
      <c r="SEB12" s="11"/>
      <c r="SEC12" s="10"/>
      <c r="SEF12" s="11"/>
      <c r="SEG12" s="10"/>
      <c r="SEJ12" s="11"/>
      <c r="SEK12" s="10"/>
      <c r="SEN12" s="11"/>
      <c r="SEO12" s="10"/>
      <c r="SER12" s="11"/>
      <c r="SES12" s="10"/>
      <c r="SEV12" s="11"/>
      <c r="SEW12" s="10"/>
      <c r="SEZ12" s="11"/>
      <c r="SFA12" s="10"/>
      <c r="SFD12" s="11"/>
      <c r="SFE12" s="10"/>
      <c r="SFH12" s="11"/>
      <c r="SFI12" s="10"/>
      <c r="SFL12" s="11"/>
      <c r="SFM12" s="10"/>
      <c r="SFP12" s="11"/>
      <c r="SFQ12" s="10"/>
      <c r="SFT12" s="11"/>
      <c r="SFU12" s="10"/>
      <c r="SFX12" s="11"/>
      <c r="SFY12" s="10"/>
      <c r="SGB12" s="11"/>
      <c r="SGC12" s="10"/>
      <c r="SGF12" s="11"/>
      <c r="SGG12" s="10"/>
      <c r="SGJ12" s="11"/>
      <c r="SGK12" s="10"/>
      <c r="SGN12" s="11"/>
      <c r="SGO12" s="10"/>
      <c r="SGR12" s="11"/>
      <c r="SGS12" s="10"/>
      <c r="SGV12" s="11"/>
      <c r="SGW12" s="10"/>
      <c r="SGZ12" s="11"/>
      <c r="SHA12" s="10"/>
      <c r="SHD12" s="11"/>
      <c r="SHE12" s="10"/>
      <c r="SHH12" s="11"/>
      <c r="SHI12" s="10"/>
      <c r="SHL12" s="11"/>
      <c r="SHM12" s="10"/>
      <c r="SHP12" s="11"/>
      <c r="SHQ12" s="10"/>
      <c r="SHT12" s="11"/>
      <c r="SHU12" s="10"/>
      <c r="SHX12" s="11"/>
      <c r="SHY12" s="10"/>
      <c r="SIB12" s="11"/>
      <c r="SIC12" s="10"/>
      <c r="SIF12" s="11"/>
      <c r="SIG12" s="10"/>
      <c r="SIJ12" s="11"/>
      <c r="SIK12" s="10"/>
      <c r="SIN12" s="11"/>
      <c r="SIO12" s="10"/>
      <c r="SIR12" s="11"/>
      <c r="SIS12" s="10"/>
      <c r="SIV12" s="11"/>
      <c r="SIW12" s="10"/>
      <c r="SIZ12" s="11"/>
      <c r="SJA12" s="10"/>
      <c r="SJD12" s="11"/>
      <c r="SJE12" s="10"/>
      <c r="SJH12" s="11"/>
      <c r="SJI12" s="10"/>
      <c r="SJL12" s="11"/>
      <c r="SJM12" s="10"/>
      <c r="SJP12" s="11"/>
      <c r="SJQ12" s="10"/>
      <c r="SJT12" s="11"/>
      <c r="SJU12" s="10"/>
      <c r="SJX12" s="11"/>
      <c r="SJY12" s="10"/>
      <c r="SKB12" s="11"/>
      <c r="SKC12" s="10"/>
      <c r="SKF12" s="11"/>
      <c r="SKG12" s="10"/>
      <c r="SKJ12" s="11"/>
      <c r="SKK12" s="10"/>
      <c r="SKN12" s="11"/>
      <c r="SKO12" s="10"/>
      <c r="SKR12" s="11"/>
      <c r="SKS12" s="10"/>
      <c r="SKV12" s="11"/>
      <c r="SKW12" s="10"/>
      <c r="SKZ12" s="11"/>
      <c r="SLA12" s="10"/>
      <c r="SLD12" s="11"/>
      <c r="SLE12" s="10"/>
      <c r="SLH12" s="11"/>
      <c r="SLI12" s="10"/>
      <c r="SLL12" s="11"/>
      <c r="SLM12" s="10"/>
      <c r="SLP12" s="11"/>
      <c r="SLQ12" s="10"/>
      <c r="SLT12" s="11"/>
      <c r="SLU12" s="10"/>
      <c r="SLX12" s="11"/>
      <c r="SLY12" s="10"/>
      <c r="SMB12" s="11"/>
      <c r="SMC12" s="10"/>
      <c r="SMF12" s="11"/>
      <c r="SMG12" s="10"/>
      <c r="SMJ12" s="11"/>
      <c r="SMK12" s="10"/>
      <c r="SMN12" s="11"/>
      <c r="SMO12" s="10"/>
      <c r="SMR12" s="11"/>
      <c r="SMS12" s="10"/>
      <c r="SMV12" s="11"/>
      <c r="SMW12" s="10"/>
      <c r="SMZ12" s="11"/>
      <c r="SNA12" s="10"/>
      <c r="SND12" s="11"/>
      <c r="SNE12" s="10"/>
      <c r="SNH12" s="11"/>
      <c r="SNI12" s="10"/>
      <c r="SNL12" s="11"/>
      <c r="SNM12" s="10"/>
      <c r="SNP12" s="11"/>
      <c r="SNQ12" s="10"/>
      <c r="SNT12" s="11"/>
      <c r="SNU12" s="10"/>
      <c r="SNX12" s="11"/>
      <c r="SNY12" s="10"/>
      <c r="SOB12" s="11"/>
      <c r="SOC12" s="10"/>
      <c r="SOF12" s="11"/>
      <c r="SOG12" s="10"/>
      <c r="SOJ12" s="11"/>
      <c r="SOK12" s="10"/>
      <c r="SON12" s="11"/>
      <c r="SOO12" s="10"/>
      <c r="SOR12" s="11"/>
      <c r="SOS12" s="10"/>
      <c r="SOV12" s="11"/>
      <c r="SOW12" s="10"/>
      <c r="SOZ12" s="11"/>
      <c r="SPA12" s="10"/>
      <c r="SPD12" s="11"/>
      <c r="SPE12" s="10"/>
      <c r="SPH12" s="11"/>
      <c r="SPI12" s="10"/>
      <c r="SPL12" s="11"/>
      <c r="SPM12" s="10"/>
      <c r="SPP12" s="11"/>
      <c r="SPQ12" s="10"/>
      <c r="SPT12" s="11"/>
      <c r="SPU12" s="10"/>
      <c r="SPX12" s="11"/>
      <c r="SPY12" s="10"/>
      <c r="SQB12" s="11"/>
      <c r="SQC12" s="10"/>
      <c r="SQF12" s="11"/>
      <c r="SQG12" s="10"/>
      <c r="SQJ12" s="11"/>
      <c r="SQK12" s="10"/>
      <c r="SQN12" s="11"/>
      <c r="SQO12" s="10"/>
      <c r="SQR12" s="11"/>
      <c r="SQS12" s="10"/>
      <c r="SQV12" s="11"/>
      <c r="SQW12" s="10"/>
      <c r="SQZ12" s="11"/>
      <c r="SRA12" s="10"/>
      <c r="SRD12" s="11"/>
      <c r="SRE12" s="10"/>
      <c r="SRH12" s="11"/>
      <c r="SRI12" s="10"/>
      <c r="SRL12" s="11"/>
      <c r="SRM12" s="10"/>
      <c r="SRP12" s="11"/>
      <c r="SRQ12" s="10"/>
      <c r="SRT12" s="11"/>
      <c r="SRU12" s="10"/>
      <c r="SRX12" s="11"/>
      <c r="SRY12" s="10"/>
      <c r="SSB12" s="11"/>
      <c r="SSC12" s="10"/>
      <c r="SSF12" s="11"/>
      <c r="SSG12" s="10"/>
      <c r="SSJ12" s="11"/>
      <c r="SSK12" s="10"/>
      <c r="SSN12" s="11"/>
      <c r="SSO12" s="10"/>
      <c r="SSR12" s="11"/>
      <c r="SSS12" s="10"/>
      <c r="SSV12" s="11"/>
      <c r="SSW12" s="10"/>
      <c r="SSZ12" s="11"/>
      <c r="STA12" s="10"/>
      <c r="STD12" s="11"/>
      <c r="STE12" s="10"/>
      <c r="STH12" s="11"/>
      <c r="STI12" s="10"/>
      <c r="STL12" s="11"/>
      <c r="STM12" s="10"/>
      <c r="STP12" s="11"/>
      <c r="STQ12" s="10"/>
      <c r="STT12" s="11"/>
      <c r="STU12" s="10"/>
      <c r="STX12" s="11"/>
      <c r="STY12" s="10"/>
      <c r="SUB12" s="11"/>
      <c r="SUC12" s="10"/>
      <c r="SUF12" s="11"/>
      <c r="SUG12" s="10"/>
      <c r="SUJ12" s="11"/>
      <c r="SUK12" s="10"/>
      <c r="SUN12" s="11"/>
      <c r="SUO12" s="10"/>
      <c r="SUR12" s="11"/>
      <c r="SUS12" s="10"/>
      <c r="SUV12" s="11"/>
      <c r="SUW12" s="10"/>
      <c r="SUZ12" s="11"/>
      <c r="SVA12" s="10"/>
      <c r="SVD12" s="11"/>
      <c r="SVE12" s="10"/>
      <c r="SVH12" s="11"/>
      <c r="SVI12" s="10"/>
      <c r="SVL12" s="11"/>
      <c r="SVM12" s="10"/>
      <c r="SVP12" s="11"/>
      <c r="SVQ12" s="10"/>
      <c r="SVT12" s="11"/>
      <c r="SVU12" s="10"/>
      <c r="SVX12" s="11"/>
      <c r="SVY12" s="10"/>
      <c r="SWB12" s="11"/>
      <c r="SWC12" s="10"/>
      <c r="SWF12" s="11"/>
      <c r="SWG12" s="10"/>
      <c r="SWJ12" s="11"/>
      <c r="SWK12" s="10"/>
      <c r="SWN12" s="11"/>
      <c r="SWO12" s="10"/>
      <c r="SWR12" s="11"/>
      <c r="SWS12" s="10"/>
      <c r="SWV12" s="11"/>
      <c r="SWW12" s="10"/>
      <c r="SWZ12" s="11"/>
      <c r="SXA12" s="10"/>
      <c r="SXD12" s="11"/>
      <c r="SXE12" s="10"/>
      <c r="SXH12" s="11"/>
      <c r="SXI12" s="10"/>
      <c r="SXL12" s="11"/>
      <c r="SXM12" s="10"/>
      <c r="SXP12" s="11"/>
      <c r="SXQ12" s="10"/>
      <c r="SXT12" s="11"/>
      <c r="SXU12" s="10"/>
      <c r="SXX12" s="11"/>
      <c r="SXY12" s="10"/>
      <c r="SYB12" s="11"/>
      <c r="SYC12" s="10"/>
      <c r="SYF12" s="11"/>
      <c r="SYG12" s="10"/>
      <c r="SYJ12" s="11"/>
      <c r="SYK12" s="10"/>
      <c r="SYN12" s="11"/>
      <c r="SYO12" s="10"/>
      <c r="SYR12" s="11"/>
      <c r="SYS12" s="10"/>
      <c r="SYV12" s="11"/>
      <c r="SYW12" s="10"/>
      <c r="SYZ12" s="11"/>
      <c r="SZA12" s="10"/>
      <c r="SZD12" s="11"/>
      <c r="SZE12" s="10"/>
      <c r="SZH12" s="11"/>
      <c r="SZI12" s="10"/>
      <c r="SZL12" s="11"/>
      <c r="SZM12" s="10"/>
      <c r="SZP12" s="11"/>
      <c r="SZQ12" s="10"/>
      <c r="SZT12" s="11"/>
      <c r="SZU12" s="10"/>
      <c r="SZX12" s="11"/>
      <c r="SZY12" s="10"/>
      <c r="TAB12" s="11"/>
      <c r="TAC12" s="10"/>
      <c r="TAF12" s="11"/>
      <c r="TAG12" s="10"/>
      <c r="TAJ12" s="11"/>
      <c r="TAK12" s="10"/>
      <c r="TAN12" s="11"/>
      <c r="TAO12" s="10"/>
      <c r="TAR12" s="11"/>
      <c r="TAS12" s="10"/>
      <c r="TAV12" s="11"/>
      <c r="TAW12" s="10"/>
      <c r="TAZ12" s="11"/>
      <c r="TBA12" s="10"/>
      <c r="TBD12" s="11"/>
      <c r="TBE12" s="10"/>
      <c r="TBH12" s="11"/>
      <c r="TBI12" s="10"/>
      <c r="TBL12" s="11"/>
      <c r="TBM12" s="10"/>
      <c r="TBP12" s="11"/>
      <c r="TBQ12" s="10"/>
      <c r="TBT12" s="11"/>
      <c r="TBU12" s="10"/>
      <c r="TBX12" s="11"/>
      <c r="TBY12" s="10"/>
      <c r="TCB12" s="11"/>
      <c r="TCC12" s="10"/>
      <c r="TCF12" s="11"/>
      <c r="TCG12" s="10"/>
      <c r="TCJ12" s="11"/>
      <c r="TCK12" s="10"/>
      <c r="TCN12" s="11"/>
      <c r="TCO12" s="10"/>
      <c r="TCR12" s="11"/>
      <c r="TCS12" s="10"/>
      <c r="TCV12" s="11"/>
      <c r="TCW12" s="10"/>
      <c r="TCZ12" s="11"/>
      <c r="TDA12" s="10"/>
      <c r="TDD12" s="11"/>
      <c r="TDE12" s="10"/>
      <c r="TDH12" s="11"/>
      <c r="TDI12" s="10"/>
      <c r="TDL12" s="11"/>
      <c r="TDM12" s="10"/>
      <c r="TDP12" s="11"/>
      <c r="TDQ12" s="10"/>
      <c r="TDT12" s="11"/>
      <c r="TDU12" s="10"/>
      <c r="TDX12" s="11"/>
      <c r="TDY12" s="10"/>
      <c r="TEB12" s="11"/>
      <c r="TEC12" s="10"/>
      <c r="TEF12" s="11"/>
      <c r="TEG12" s="10"/>
      <c r="TEJ12" s="11"/>
      <c r="TEK12" s="10"/>
      <c r="TEN12" s="11"/>
      <c r="TEO12" s="10"/>
      <c r="TER12" s="11"/>
      <c r="TES12" s="10"/>
      <c r="TEV12" s="11"/>
      <c r="TEW12" s="10"/>
      <c r="TEZ12" s="11"/>
      <c r="TFA12" s="10"/>
      <c r="TFD12" s="11"/>
      <c r="TFE12" s="10"/>
      <c r="TFH12" s="11"/>
      <c r="TFI12" s="10"/>
      <c r="TFL12" s="11"/>
      <c r="TFM12" s="10"/>
      <c r="TFP12" s="11"/>
      <c r="TFQ12" s="10"/>
      <c r="TFT12" s="11"/>
      <c r="TFU12" s="10"/>
      <c r="TFX12" s="11"/>
      <c r="TFY12" s="10"/>
      <c r="TGB12" s="11"/>
      <c r="TGC12" s="10"/>
      <c r="TGF12" s="11"/>
      <c r="TGG12" s="10"/>
      <c r="TGJ12" s="11"/>
      <c r="TGK12" s="10"/>
      <c r="TGN12" s="11"/>
      <c r="TGO12" s="10"/>
      <c r="TGR12" s="11"/>
      <c r="TGS12" s="10"/>
      <c r="TGV12" s="11"/>
      <c r="TGW12" s="10"/>
      <c r="TGZ12" s="11"/>
      <c r="THA12" s="10"/>
      <c r="THD12" s="11"/>
      <c r="THE12" s="10"/>
      <c r="THH12" s="11"/>
      <c r="THI12" s="10"/>
      <c r="THL12" s="11"/>
      <c r="THM12" s="10"/>
      <c r="THP12" s="11"/>
      <c r="THQ12" s="10"/>
      <c r="THT12" s="11"/>
      <c r="THU12" s="10"/>
      <c r="THX12" s="11"/>
      <c r="THY12" s="10"/>
      <c r="TIB12" s="11"/>
      <c r="TIC12" s="10"/>
      <c r="TIF12" s="11"/>
      <c r="TIG12" s="10"/>
      <c r="TIJ12" s="11"/>
      <c r="TIK12" s="10"/>
      <c r="TIN12" s="11"/>
      <c r="TIO12" s="10"/>
      <c r="TIR12" s="11"/>
      <c r="TIS12" s="10"/>
      <c r="TIV12" s="11"/>
      <c r="TIW12" s="10"/>
      <c r="TIZ12" s="11"/>
      <c r="TJA12" s="10"/>
      <c r="TJD12" s="11"/>
      <c r="TJE12" s="10"/>
      <c r="TJH12" s="11"/>
      <c r="TJI12" s="10"/>
      <c r="TJL12" s="11"/>
      <c r="TJM12" s="10"/>
      <c r="TJP12" s="11"/>
      <c r="TJQ12" s="10"/>
      <c r="TJT12" s="11"/>
      <c r="TJU12" s="10"/>
      <c r="TJX12" s="11"/>
      <c r="TJY12" s="10"/>
      <c r="TKB12" s="11"/>
      <c r="TKC12" s="10"/>
      <c r="TKF12" s="11"/>
      <c r="TKG12" s="10"/>
      <c r="TKJ12" s="11"/>
      <c r="TKK12" s="10"/>
      <c r="TKN12" s="11"/>
      <c r="TKO12" s="10"/>
      <c r="TKR12" s="11"/>
      <c r="TKS12" s="10"/>
      <c r="TKV12" s="11"/>
      <c r="TKW12" s="10"/>
      <c r="TKZ12" s="11"/>
      <c r="TLA12" s="10"/>
      <c r="TLD12" s="11"/>
      <c r="TLE12" s="10"/>
      <c r="TLH12" s="11"/>
      <c r="TLI12" s="10"/>
      <c r="TLL12" s="11"/>
      <c r="TLM12" s="10"/>
      <c r="TLP12" s="11"/>
      <c r="TLQ12" s="10"/>
      <c r="TLT12" s="11"/>
      <c r="TLU12" s="10"/>
      <c r="TLX12" s="11"/>
      <c r="TLY12" s="10"/>
      <c r="TMB12" s="11"/>
      <c r="TMC12" s="10"/>
      <c r="TMF12" s="11"/>
      <c r="TMG12" s="10"/>
      <c r="TMJ12" s="11"/>
      <c r="TMK12" s="10"/>
      <c r="TMN12" s="11"/>
      <c r="TMO12" s="10"/>
      <c r="TMR12" s="11"/>
      <c r="TMS12" s="10"/>
      <c r="TMV12" s="11"/>
      <c r="TMW12" s="10"/>
      <c r="TMZ12" s="11"/>
      <c r="TNA12" s="10"/>
      <c r="TND12" s="11"/>
      <c r="TNE12" s="10"/>
      <c r="TNH12" s="11"/>
      <c r="TNI12" s="10"/>
      <c r="TNL12" s="11"/>
      <c r="TNM12" s="10"/>
      <c r="TNP12" s="11"/>
      <c r="TNQ12" s="10"/>
      <c r="TNT12" s="11"/>
      <c r="TNU12" s="10"/>
      <c r="TNX12" s="11"/>
      <c r="TNY12" s="10"/>
      <c r="TOB12" s="11"/>
      <c r="TOC12" s="10"/>
      <c r="TOF12" s="11"/>
      <c r="TOG12" s="10"/>
      <c r="TOJ12" s="11"/>
      <c r="TOK12" s="10"/>
      <c r="TON12" s="11"/>
      <c r="TOO12" s="10"/>
      <c r="TOR12" s="11"/>
      <c r="TOS12" s="10"/>
      <c r="TOV12" s="11"/>
      <c r="TOW12" s="10"/>
      <c r="TOZ12" s="11"/>
      <c r="TPA12" s="10"/>
      <c r="TPD12" s="11"/>
      <c r="TPE12" s="10"/>
      <c r="TPH12" s="11"/>
      <c r="TPI12" s="10"/>
      <c r="TPL12" s="11"/>
      <c r="TPM12" s="10"/>
      <c r="TPP12" s="11"/>
      <c r="TPQ12" s="10"/>
      <c r="TPT12" s="11"/>
      <c r="TPU12" s="10"/>
      <c r="TPX12" s="11"/>
      <c r="TPY12" s="10"/>
      <c r="TQB12" s="11"/>
      <c r="TQC12" s="10"/>
      <c r="TQF12" s="11"/>
      <c r="TQG12" s="10"/>
      <c r="TQJ12" s="11"/>
      <c r="TQK12" s="10"/>
      <c r="TQN12" s="11"/>
      <c r="TQO12" s="10"/>
      <c r="TQR12" s="11"/>
      <c r="TQS12" s="10"/>
      <c r="TQV12" s="11"/>
      <c r="TQW12" s="10"/>
      <c r="TQZ12" s="11"/>
      <c r="TRA12" s="10"/>
      <c r="TRD12" s="11"/>
      <c r="TRE12" s="10"/>
      <c r="TRH12" s="11"/>
      <c r="TRI12" s="10"/>
      <c r="TRL12" s="11"/>
      <c r="TRM12" s="10"/>
      <c r="TRP12" s="11"/>
      <c r="TRQ12" s="10"/>
      <c r="TRT12" s="11"/>
      <c r="TRU12" s="10"/>
      <c r="TRX12" s="11"/>
      <c r="TRY12" s="10"/>
      <c r="TSB12" s="11"/>
      <c r="TSC12" s="10"/>
      <c r="TSF12" s="11"/>
      <c r="TSG12" s="10"/>
      <c r="TSJ12" s="11"/>
      <c r="TSK12" s="10"/>
      <c r="TSN12" s="11"/>
      <c r="TSO12" s="10"/>
      <c r="TSR12" s="11"/>
      <c r="TSS12" s="10"/>
      <c r="TSV12" s="11"/>
      <c r="TSW12" s="10"/>
      <c r="TSZ12" s="11"/>
      <c r="TTA12" s="10"/>
      <c r="TTD12" s="11"/>
      <c r="TTE12" s="10"/>
      <c r="TTH12" s="11"/>
      <c r="TTI12" s="10"/>
      <c r="TTL12" s="11"/>
      <c r="TTM12" s="10"/>
      <c r="TTP12" s="11"/>
      <c r="TTQ12" s="10"/>
      <c r="TTT12" s="11"/>
      <c r="TTU12" s="10"/>
      <c r="TTX12" s="11"/>
      <c r="TTY12" s="10"/>
      <c r="TUB12" s="11"/>
      <c r="TUC12" s="10"/>
      <c r="TUF12" s="11"/>
      <c r="TUG12" s="10"/>
      <c r="TUJ12" s="11"/>
      <c r="TUK12" s="10"/>
      <c r="TUN12" s="11"/>
      <c r="TUO12" s="10"/>
      <c r="TUR12" s="11"/>
      <c r="TUS12" s="10"/>
      <c r="TUV12" s="11"/>
      <c r="TUW12" s="10"/>
      <c r="TUZ12" s="11"/>
      <c r="TVA12" s="10"/>
      <c r="TVD12" s="11"/>
      <c r="TVE12" s="10"/>
      <c r="TVH12" s="11"/>
      <c r="TVI12" s="10"/>
      <c r="TVL12" s="11"/>
      <c r="TVM12" s="10"/>
      <c r="TVP12" s="11"/>
      <c r="TVQ12" s="10"/>
      <c r="TVT12" s="11"/>
      <c r="TVU12" s="10"/>
      <c r="TVX12" s="11"/>
      <c r="TVY12" s="10"/>
      <c r="TWB12" s="11"/>
      <c r="TWC12" s="10"/>
      <c r="TWF12" s="11"/>
      <c r="TWG12" s="10"/>
      <c r="TWJ12" s="11"/>
      <c r="TWK12" s="10"/>
      <c r="TWN12" s="11"/>
      <c r="TWO12" s="10"/>
      <c r="TWR12" s="11"/>
      <c r="TWS12" s="10"/>
      <c r="TWV12" s="11"/>
      <c r="TWW12" s="10"/>
      <c r="TWZ12" s="11"/>
      <c r="TXA12" s="10"/>
      <c r="TXD12" s="11"/>
      <c r="TXE12" s="10"/>
      <c r="TXH12" s="11"/>
      <c r="TXI12" s="10"/>
      <c r="TXL12" s="11"/>
      <c r="TXM12" s="10"/>
      <c r="TXP12" s="11"/>
      <c r="TXQ12" s="10"/>
      <c r="TXT12" s="11"/>
      <c r="TXU12" s="10"/>
      <c r="TXX12" s="11"/>
      <c r="TXY12" s="10"/>
      <c r="TYB12" s="11"/>
      <c r="TYC12" s="10"/>
      <c r="TYF12" s="11"/>
      <c r="TYG12" s="10"/>
      <c r="TYJ12" s="11"/>
      <c r="TYK12" s="10"/>
      <c r="TYN12" s="11"/>
      <c r="TYO12" s="10"/>
      <c r="TYR12" s="11"/>
      <c r="TYS12" s="10"/>
      <c r="TYV12" s="11"/>
      <c r="TYW12" s="10"/>
      <c r="TYZ12" s="11"/>
      <c r="TZA12" s="10"/>
      <c r="TZD12" s="11"/>
      <c r="TZE12" s="10"/>
      <c r="TZH12" s="11"/>
      <c r="TZI12" s="10"/>
      <c r="TZL12" s="11"/>
      <c r="TZM12" s="10"/>
      <c r="TZP12" s="11"/>
      <c r="TZQ12" s="10"/>
      <c r="TZT12" s="11"/>
      <c r="TZU12" s="10"/>
      <c r="TZX12" s="11"/>
      <c r="TZY12" s="10"/>
      <c r="UAB12" s="11"/>
      <c r="UAC12" s="10"/>
      <c r="UAF12" s="11"/>
      <c r="UAG12" s="10"/>
      <c r="UAJ12" s="11"/>
      <c r="UAK12" s="10"/>
      <c r="UAN12" s="11"/>
      <c r="UAO12" s="10"/>
      <c r="UAR12" s="11"/>
      <c r="UAS12" s="10"/>
      <c r="UAV12" s="11"/>
      <c r="UAW12" s="10"/>
      <c r="UAZ12" s="11"/>
      <c r="UBA12" s="10"/>
      <c r="UBD12" s="11"/>
      <c r="UBE12" s="10"/>
      <c r="UBH12" s="11"/>
      <c r="UBI12" s="10"/>
      <c r="UBL12" s="11"/>
      <c r="UBM12" s="10"/>
      <c r="UBP12" s="11"/>
      <c r="UBQ12" s="10"/>
      <c r="UBT12" s="11"/>
      <c r="UBU12" s="10"/>
      <c r="UBX12" s="11"/>
      <c r="UBY12" s="10"/>
      <c r="UCB12" s="11"/>
      <c r="UCC12" s="10"/>
      <c r="UCF12" s="11"/>
      <c r="UCG12" s="10"/>
      <c r="UCJ12" s="11"/>
      <c r="UCK12" s="10"/>
      <c r="UCN12" s="11"/>
      <c r="UCO12" s="10"/>
      <c r="UCR12" s="11"/>
      <c r="UCS12" s="10"/>
      <c r="UCV12" s="11"/>
      <c r="UCW12" s="10"/>
      <c r="UCZ12" s="11"/>
      <c r="UDA12" s="10"/>
      <c r="UDD12" s="11"/>
      <c r="UDE12" s="10"/>
      <c r="UDH12" s="11"/>
      <c r="UDI12" s="10"/>
      <c r="UDL12" s="11"/>
      <c r="UDM12" s="10"/>
      <c r="UDP12" s="11"/>
      <c r="UDQ12" s="10"/>
      <c r="UDT12" s="11"/>
      <c r="UDU12" s="10"/>
      <c r="UDX12" s="11"/>
      <c r="UDY12" s="10"/>
      <c r="UEB12" s="11"/>
      <c r="UEC12" s="10"/>
      <c r="UEF12" s="11"/>
      <c r="UEG12" s="10"/>
      <c r="UEJ12" s="11"/>
      <c r="UEK12" s="10"/>
      <c r="UEN12" s="11"/>
      <c r="UEO12" s="10"/>
      <c r="UER12" s="11"/>
      <c r="UES12" s="10"/>
      <c r="UEV12" s="11"/>
      <c r="UEW12" s="10"/>
      <c r="UEZ12" s="11"/>
      <c r="UFA12" s="10"/>
      <c r="UFD12" s="11"/>
      <c r="UFE12" s="10"/>
      <c r="UFH12" s="11"/>
      <c r="UFI12" s="10"/>
      <c r="UFL12" s="11"/>
      <c r="UFM12" s="10"/>
      <c r="UFP12" s="11"/>
      <c r="UFQ12" s="10"/>
      <c r="UFT12" s="11"/>
      <c r="UFU12" s="10"/>
      <c r="UFX12" s="11"/>
      <c r="UFY12" s="10"/>
      <c r="UGB12" s="11"/>
      <c r="UGC12" s="10"/>
      <c r="UGF12" s="11"/>
      <c r="UGG12" s="10"/>
      <c r="UGJ12" s="11"/>
      <c r="UGK12" s="10"/>
      <c r="UGN12" s="11"/>
      <c r="UGO12" s="10"/>
      <c r="UGR12" s="11"/>
      <c r="UGS12" s="10"/>
      <c r="UGV12" s="11"/>
      <c r="UGW12" s="10"/>
      <c r="UGZ12" s="11"/>
      <c r="UHA12" s="10"/>
      <c r="UHD12" s="11"/>
      <c r="UHE12" s="10"/>
      <c r="UHH12" s="11"/>
      <c r="UHI12" s="10"/>
      <c r="UHL12" s="11"/>
      <c r="UHM12" s="10"/>
      <c r="UHP12" s="11"/>
      <c r="UHQ12" s="10"/>
      <c r="UHT12" s="11"/>
      <c r="UHU12" s="10"/>
      <c r="UHX12" s="11"/>
      <c r="UHY12" s="10"/>
      <c r="UIB12" s="11"/>
      <c r="UIC12" s="10"/>
      <c r="UIF12" s="11"/>
      <c r="UIG12" s="10"/>
      <c r="UIJ12" s="11"/>
      <c r="UIK12" s="10"/>
      <c r="UIN12" s="11"/>
      <c r="UIO12" s="10"/>
      <c r="UIR12" s="11"/>
      <c r="UIS12" s="10"/>
      <c r="UIV12" s="11"/>
      <c r="UIW12" s="10"/>
      <c r="UIZ12" s="11"/>
      <c r="UJA12" s="10"/>
      <c r="UJD12" s="11"/>
      <c r="UJE12" s="10"/>
      <c r="UJH12" s="11"/>
      <c r="UJI12" s="10"/>
      <c r="UJL12" s="11"/>
      <c r="UJM12" s="10"/>
      <c r="UJP12" s="11"/>
      <c r="UJQ12" s="10"/>
      <c r="UJT12" s="11"/>
      <c r="UJU12" s="10"/>
      <c r="UJX12" s="11"/>
      <c r="UJY12" s="10"/>
      <c r="UKB12" s="11"/>
      <c r="UKC12" s="10"/>
      <c r="UKF12" s="11"/>
      <c r="UKG12" s="10"/>
      <c r="UKJ12" s="11"/>
      <c r="UKK12" s="10"/>
      <c r="UKN12" s="11"/>
      <c r="UKO12" s="10"/>
      <c r="UKR12" s="11"/>
      <c r="UKS12" s="10"/>
      <c r="UKV12" s="11"/>
      <c r="UKW12" s="10"/>
      <c r="UKZ12" s="11"/>
      <c r="ULA12" s="10"/>
      <c r="ULD12" s="11"/>
      <c r="ULE12" s="10"/>
      <c r="ULH12" s="11"/>
      <c r="ULI12" s="10"/>
      <c r="ULL12" s="11"/>
      <c r="ULM12" s="10"/>
      <c r="ULP12" s="11"/>
      <c r="ULQ12" s="10"/>
      <c r="ULT12" s="11"/>
      <c r="ULU12" s="10"/>
      <c r="ULX12" s="11"/>
      <c r="ULY12" s="10"/>
      <c r="UMB12" s="11"/>
      <c r="UMC12" s="10"/>
      <c r="UMF12" s="11"/>
      <c r="UMG12" s="10"/>
      <c r="UMJ12" s="11"/>
      <c r="UMK12" s="10"/>
      <c r="UMN12" s="11"/>
      <c r="UMO12" s="10"/>
      <c r="UMR12" s="11"/>
      <c r="UMS12" s="10"/>
      <c r="UMV12" s="11"/>
      <c r="UMW12" s="10"/>
      <c r="UMZ12" s="11"/>
      <c r="UNA12" s="10"/>
      <c r="UND12" s="11"/>
      <c r="UNE12" s="10"/>
      <c r="UNH12" s="11"/>
      <c r="UNI12" s="10"/>
      <c r="UNL12" s="11"/>
      <c r="UNM12" s="10"/>
      <c r="UNP12" s="11"/>
      <c r="UNQ12" s="10"/>
      <c r="UNT12" s="11"/>
      <c r="UNU12" s="10"/>
      <c r="UNX12" s="11"/>
      <c r="UNY12" s="10"/>
      <c r="UOB12" s="11"/>
      <c r="UOC12" s="10"/>
      <c r="UOF12" s="11"/>
      <c r="UOG12" s="10"/>
      <c r="UOJ12" s="11"/>
      <c r="UOK12" s="10"/>
      <c r="UON12" s="11"/>
      <c r="UOO12" s="10"/>
      <c r="UOR12" s="11"/>
      <c r="UOS12" s="10"/>
      <c r="UOV12" s="11"/>
      <c r="UOW12" s="10"/>
      <c r="UOZ12" s="11"/>
      <c r="UPA12" s="10"/>
      <c r="UPD12" s="11"/>
      <c r="UPE12" s="10"/>
      <c r="UPH12" s="11"/>
      <c r="UPI12" s="10"/>
      <c r="UPL12" s="11"/>
      <c r="UPM12" s="10"/>
      <c r="UPP12" s="11"/>
      <c r="UPQ12" s="10"/>
      <c r="UPT12" s="11"/>
      <c r="UPU12" s="10"/>
      <c r="UPX12" s="11"/>
      <c r="UPY12" s="10"/>
      <c r="UQB12" s="11"/>
      <c r="UQC12" s="10"/>
      <c r="UQF12" s="11"/>
      <c r="UQG12" s="10"/>
      <c r="UQJ12" s="11"/>
      <c r="UQK12" s="10"/>
      <c r="UQN12" s="11"/>
      <c r="UQO12" s="10"/>
      <c r="UQR12" s="11"/>
      <c r="UQS12" s="10"/>
      <c r="UQV12" s="11"/>
      <c r="UQW12" s="10"/>
      <c r="UQZ12" s="11"/>
      <c r="URA12" s="10"/>
      <c r="URD12" s="11"/>
      <c r="URE12" s="10"/>
      <c r="URH12" s="11"/>
      <c r="URI12" s="10"/>
      <c r="URL12" s="11"/>
      <c r="URM12" s="10"/>
      <c r="URP12" s="11"/>
      <c r="URQ12" s="10"/>
      <c r="URT12" s="11"/>
      <c r="URU12" s="10"/>
      <c r="URX12" s="11"/>
      <c r="URY12" s="10"/>
      <c r="USB12" s="11"/>
      <c r="USC12" s="10"/>
      <c r="USF12" s="11"/>
      <c r="USG12" s="10"/>
      <c r="USJ12" s="11"/>
      <c r="USK12" s="10"/>
      <c r="USN12" s="11"/>
      <c r="USO12" s="10"/>
      <c r="USR12" s="11"/>
      <c r="USS12" s="10"/>
      <c r="USV12" s="11"/>
      <c r="USW12" s="10"/>
      <c r="USZ12" s="11"/>
      <c r="UTA12" s="10"/>
      <c r="UTD12" s="11"/>
      <c r="UTE12" s="10"/>
      <c r="UTH12" s="11"/>
      <c r="UTI12" s="10"/>
      <c r="UTL12" s="11"/>
      <c r="UTM12" s="10"/>
      <c r="UTP12" s="11"/>
      <c r="UTQ12" s="10"/>
      <c r="UTT12" s="11"/>
      <c r="UTU12" s="10"/>
      <c r="UTX12" s="11"/>
      <c r="UTY12" s="10"/>
      <c r="UUB12" s="11"/>
      <c r="UUC12" s="10"/>
      <c r="UUF12" s="11"/>
      <c r="UUG12" s="10"/>
      <c r="UUJ12" s="11"/>
      <c r="UUK12" s="10"/>
      <c r="UUN12" s="11"/>
      <c r="UUO12" s="10"/>
      <c r="UUR12" s="11"/>
      <c r="UUS12" s="10"/>
      <c r="UUV12" s="11"/>
      <c r="UUW12" s="10"/>
      <c r="UUZ12" s="11"/>
      <c r="UVA12" s="10"/>
      <c r="UVD12" s="11"/>
      <c r="UVE12" s="10"/>
      <c r="UVH12" s="11"/>
      <c r="UVI12" s="10"/>
      <c r="UVL12" s="11"/>
      <c r="UVM12" s="10"/>
      <c r="UVP12" s="11"/>
      <c r="UVQ12" s="10"/>
      <c r="UVT12" s="11"/>
      <c r="UVU12" s="10"/>
      <c r="UVX12" s="11"/>
      <c r="UVY12" s="10"/>
      <c r="UWB12" s="11"/>
      <c r="UWC12" s="10"/>
      <c r="UWF12" s="11"/>
      <c r="UWG12" s="10"/>
      <c r="UWJ12" s="11"/>
      <c r="UWK12" s="10"/>
      <c r="UWN12" s="11"/>
      <c r="UWO12" s="10"/>
      <c r="UWR12" s="11"/>
      <c r="UWS12" s="10"/>
      <c r="UWV12" s="11"/>
      <c r="UWW12" s="10"/>
      <c r="UWZ12" s="11"/>
      <c r="UXA12" s="10"/>
      <c r="UXD12" s="11"/>
      <c r="UXE12" s="10"/>
      <c r="UXH12" s="11"/>
      <c r="UXI12" s="10"/>
      <c r="UXL12" s="11"/>
      <c r="UXM12" s="10"/>
      <c r="UXP12" s="11"/>
      <c r="UXQ12" s="10"/>
      <c r="UXT12" s="11"/>
      <c r="UXU12" s="10"/>
      <c r="UXX12" s="11"/>
      <c r="UXY12" s="10"/>
      <c r="UYB12" s="11"/>
      <c r="UYC12" s="10"/>
      <c r="UYF12" s="11"/>
      <c r="UYG12" s="10"/>
      <c r="UYJ12" s="11"/>
      <c r="UYK12" s="10"/>
      <c r="UYN12" s="11"/>
      <c r="UYO12" s="10"/>
      <c r="UYR12" s="11"/>
      <c r="UYS12" s="10"/>
      <c r="UYV12" s="11"/>
      <c r="UYW12" s="10"/>
      <c r="UYZ12" s="11"/>
      <c r="UZA12" s="10"/>
      <c r="UZD12" s="11"/>
      <c r="UZE12" s="10"/>
      <c r="UZH12" s="11"/>
      <c r="UZI12" s="10"/>
      <c r="UZL12" s="11"/>
      <c r="UZM12" s="10"/>
      <c r="UZP12" s="11"/>
      <c r="UZQ12" s="10"/>
      <c r="UZT12" s="11"/>
      <c r="UZU12" s="10"/>
      <c r="UZX12" s="11"/>
      <c r="UZY12" s="10"/>
      <c r="VAB12" s="11"/>
      <c r="VAC12" s="10"/>
      <c r="VAF12" s="11"/>
      <c r="VAG12" s="10"/>
      <c r="VAJ12" s="11"/>
      <c r="VAK12" s="10"/>
      <c r="VAN12" s="11"/>
      <c r="VAO12" s="10"/>
      <c r="VAR12" s="11"/>
      <c r="VAS12" s="10"/>
      <c r="VAV12" s="11"/>
      <c r="VAW12" s="10"/>
      <c r="VAZ12" s="11"/>
      <c r="VBA12" s="10"/>
      <c r="VBD12" s="11"/>
      <c r="VBE12" s="10"/>
      <c r="VBH12" s="11"/>
      <c r="VBI12" s="10"/>
      <c r="VBL12" s="11"/>
      <c r="VBM12" s="10"/>
      <c r="VBP12" s="11"/>
      <c r="VBQ12" s="10"/>
      <c r="VBT12" s="11"/>
      <c r="VBU12" s="10"/>
      <c r="VBX12" s="11"/>
      <c r="VBY12" s="10"/>
      <c r="VCB12" s="11"/>
      <c r="VCC12" s="10"/>
      <c r="VCF12" s="11"/>
      <c r="VCG12" s="10"/>
      <c r="VCJ12" s="11"/>
      <c r="VCK12" s="10"/>
      <c r="VCN12" s="11"/>
      <c r="VCO12" s="10"/>
      <c r="VCR12" s="11"/>
      <c r="VCS12" s="10"/>
      <c r="VCV12" s="11"/>
      <c r="VCW12" s="10"/>
      <c r="VCZ12" s="11"/>
      <c r="VDA12" s="10"/>
      <c r="VDD12" s="11"/>
      <c r="VDE12" s="10"/>
      <c r="VDH12" s="11"/>
      <c r="VDI12" s="10"/>
      <c r="VDL12" s="11"/>
      <c r="VDM12" s="10"/>
      <c r="VDP12" s="11"/>
      <c r="VDQ12" s="10"/>
      <c r="VDT12" s="11"/>
      <c r="VDU12" s="10"/>
      <c r="VDX12" s="11"/>
      <c r="VDY12" s="10"/>
      <c r="VEB12" s="11"/>
      <c r="VEC12" s="10"/>
      <c r="VEF12" s="11"/>
      <c r="VEG12" s="10"/>
      <c r="VEJ12" s="11"/>
      <c r="VEK12" s="10"/>
      <c r="VEN12" s="11"/>
      <c r="VEO12" s="10"/>
      <c r="VER12" s="11"/>
      <c r="VES12" s="10"/>
      <c r="VEV12" s="11"/>
      <c r="VEW12" s="10"/>
      <c r="VEZ12" s="11"/>
      <c r="VFA12" s="10"/>
      <c r="VFD12" s="11"/>
      <c r="VFE12" s="10"/>
      <c r="VFH12" s="11"/>
      <c r="VFI12" s="10"/>
      <c r="VFL12" s="11"/>
      <c r="VFM12" s="10"/>
      <c r="VFP12" s="11"/>
      <c r="VFQ12" s="10"/>
      <c r="VFT12" s="11"/>
      <c r="VFU12" s="10"/>
      <c r="VFX12" s="11"/>
      <c r="VFY12" s="10"/>
      <c r="VGB12" s="11"/>
      <c r="VGC12" s="10"/>
      <c r="VGF12" s="11"/>
      <c r="VGG12" s="10"/>
      <c r="VGJ12" s="11"/>
      <c r="VGK12" s="10"/>
      <c r="VGN12" s="11"/>
      <c r="VGO12" s="10"/>
      <c r="VGR12" s="11"/>
      <c r="VGS12" s="10"/>
      <c r="VGV12" s="11"/>
      <c r="VGW12" s="10"/>
      <c r="VGZ12" s="11"/>
      <c r="VHA12" s="10"/>
      <c r="VHD12" s="11"/>
      <c r="VHE12" s="10"/>
      <c r="VHH12" s="11"/>
      <c r="VHI12" s="10"/>
      <c r="VHL12" s="11"/>
      <c r="VHM12" s="10"/>
      <c r="VHP12" s="11"/>
      <c r="VHQ12" s="10"/>
      <c r="VHT12" s="11"/>
      <c r="VHU12" s="10"/>
      <c r="VHX12" s="11"/>
      <c r="VHY12" s="10"/>
      <c r="VIB12" s="11"/>
      <c r="VIC12" s="10"/>
      <c r="VIF12" s="11"/>
      <c r="VIG12" s="10"/>
      <c r="VIJ12" s="11"/>
      <c r="VIK12" s="10"/>
      <c r="VIN12" s="11"/>
      <c r="VIO12" s="10"/>
      <c r="VIR12" s="11"/>
      <c r="VIS12" s="10"/>
      <c r="VIV12" s="11"/>
      <c r="VIW12" s="10"/>
      <c r="VIZ12" s="11"/>
      <c r="VJA12" s="10"/>
      <c r="VJD12" s="11"/>
      <c r="VJE12" s="10"/>
      <c r="VJH12" s="11"/>
      <c r="VJI12" s="10"/>
      <c r="VJL12" s="11"/>
      <c r="VJM12" s="10"/>
      <c r="VJP12" s="11"/>
      <c r="VJQ12" s="10"/>
      <c r="VJT12" s="11"/>
      <c r="VJU12" s="10"/>
      <c r="VJX12" s="11"/>
      <c r="VJY12" s="10"/>
      <c r="VKB12" s="11"/>
      <c r="VKC12" s="10"/>
      <c r="VKF12" s="11"/>
      <c r="VKG12" s="10"/>
      <c r="VKJ12" s="11"/>
      <c r="VKK12" s="10"/>
      <c r="VKN12" s="11"/>
      <c r="VKO12" s="10"/>
      <c r="VKR12" s="11"/>
      <c r="VKS12" s="10"/>
      <c r="VKV12" s="11"/>
      <c r="VKW12" s="10"/>
      <c r="VKZ12" s="11"/>
      <c r="VLA12" s="10"/>
      <c r="VLD12" s="11"/>
      <c r="VLE12" s="10"/>
      <c r="VLH12" s="11"/>
      <c r="VLI12" s="10"/>
      <c r="VLL12" s="11"/>
      <c r="VLM12" s="10"/>
      <c r="VLP12" s="11"/>
      <c r="VLQ12" s="10"/>
      <c r="VLT12" s="11"/>
      <c r="VLU12" s="10"/>
      <c r="VLX12" s="11"/>
      <c r="VLY12" s="10"/>
      <c r="VMB12" s="11"/>
      <c r="VMC12" s="10"/>
      <c r="VMF12" s="11"/>
      <c r="VMG12" s="10"/>
      <c r="VMJ12" s="11"/>
      <c r="VMK12" s="10"/>
      <c r="VMN12" s="11"/>
      <c r="VMO12" s="10"/>
      <c r="VMR12" s="11"/>
      <c r="VMS12" s="10"/>
      <c r="VMV12" s="11"/>
      <c r="VMW12" s="10"/>
      <c r="VMZ12" s="11"/>
      <c r="VNA12" s="10"/>
      <c r="VND12" s="11"/>
      <c r="VNE12" s="10"/>
      <c r="VNH12" s="11"/>
      <c r="VNI12" s="10"/>
      <c r="VNL12" s="11"/>
      <c r="VNM12" s="10"/>
      <c r="VNP12" s="11"/>
      <c r="VNQ12" s="10"/>
      <c r="VNT12" s="11"/>
      <c r="VNU12" s="10"/>
      <c r="VNX12" s="11"/>
      <c r="VNY12" s="10"/>
      <c r="VOB12" s="11"/>
      <c r="VOC12" s="10"/>
      <c r="VOF12" s="11"/>
      <c r="VOG12" s="10"/>
      <c r="VOJ12" s="11"/>
      <c r="VOK12" s="10"/>
      <c r="VON12" s="11"/>
      <c r="VOO12" s="10"/>
      <c r="VOR12" s="11"/>
      <c r="VOS12" s="10"/>
      <c r="VOV12" s="11"/>
      <c r="VOW12" s="10"/>
      <c r="VOZ12" s="11"/>
      <c r="VPA12" s="10"/>
      <c r="VPD12" s="11"/>
      <c r="VPE12" s="10"/>
      <c r="VPH12" s="11"/>
      <c r="VPI12" s="10"/>
      <c r="VPL12" s="11"/>
      <c r="VPM12" s="10"/>
      <c r="VPP12" s="11"/>
      <c r="VPQ12" s="10"/>
      <c r="VPT12" s="11"/>
      <c r="VPU12" s="10"/>
      <c r="VPX12" s="11"/>
      <c r="VPY12" s="10"/>
      <c r="VQB12" s="11"/>
      <c r="VQC12" s="10"/>
      <c r="VQF12" s="11"/>
      <c r="VQG12" s="10"/>
      <c r="VQJ12" s="11"/>
      <c r="VQK12" s="10"/>
      <c r="VQN12" s="11"/>
      <c r="VQO12" s="10"/>
      <c r="VQR12" s="11"/>
      <c r="VQS12" s="10"/>
      <c r="VQV12" s="11"/>
      <c r="VQW12" s="10"/>
      <c r="VQZ12" s="11"/>
      <c r="VRA12" s="10"/>
      <c r="VRD12" s="11"/>
      <c r="VRE12" s="10"/>
      <c r="VRH12" s="11"/>
      <c r="VRI12" s="10"/>
      <c r="VRL12" s="11"/>
      <c r="VRM12" s="10"/>
      <c r="VRP12" s="11"/>
      <c r="VRQ12" s="10"/>
      <c r="VRT12" s="11"/>
      <c r="VRU12" s="10"/>
      <c r="VRX12" s="11"/>
      <c r="VRY12" s="10"/>
      <c r="VSB12" s="11"/>
      <c r="VSC12" s="10"/>
      <c r="VSF12" s="11"/>
      <c r="VSG12" s="10"/>
      <c r="VSJ12" s="11"/>
      <c r="VSK12" s="10"/>
      <c r="VSN12" s="11"/>
      <c r="VSO12" s="10"/>
      <c r="VSR12" s="11"/>
      <c r="VSS12" s="10"/>
      <c r="VSV12" s="11"/>
      <c r="VSW12" s="10"/>
      <c r="VSZ12" s="11"/>
      <c r="VTA12" s="10"/>
      <c r="VTD12" s="11"/>
      <c r="VTE12" s="10"/>
      <c r="VTH12" s="11"/>
      <c r="VTI12" s="10"/>
      <c r="VTL12" s="11"/>
      <c r="VTM12" s="10"/>
      <c r="VTP12" s="11"/>
      <c r="VTQ12" s="10"/>
      <c r="VTT12" s="11"/>
      <c r="VTU12" s="10"/>
      <c r="VTX12" s="11"/>
      <c r="VTY12" s="10"/>
      <c r="VUB12" s="11"/>
      <c r="VUC12" s="10"/>
      <c r="VUF12" s="11"/>
      <c r="VUG12" s="10"/>
      <c r="VUJ12" s="11"/>
      <c r="VUK12" s="10"/>
      <c r="VUN12" s="11"/>
      <c r="VUO12" s="10"/>
      <c r="VUR12" s="11"/>
      <c r="VUS12" s="10"/>
      <c r="VUV12" s="11"/>
      <c r="VUW12" s="10"/>
      <c r="VUZ12" s="11"/>
      <c r="VVA12" s="10"/>
      <c r="VVD12" s="11"/>
      <c r="VVE12" s="10"/>
      <c r="VVH12" s="11"/>
      <c r="VVI12" s="10"/>
      <c r="VVL12" s="11"/>
      <c r="VVM12" s="10"/>
      <c r="VVP12" s="11"/>
      <c r="VVQ12" s="10"/>
      <c r="VVT12" s="11"/>
      <c r="VVU12" s="10"/>
      <c r="VVX12" s="11"/>
      <c r="VVY12" s="10"/>
      <c r="VWB12" s="11"/>
      <c r="VWC12" s="10"/>
      <c r="VWF12" s="11"/>
      <c r="VWG12" s="10"/>
      <c r="VWJ12" s="11"/>
      <c r="VWK12" s="10"/>
      <c r="VWN12" s="11"/>
      <c r="VWO12" s="10"/>
      <c r="VWR12" s="11"/>
      <c r="VWS12" s="10"/>
      <c r="VWV12" s="11"/>
      <c r="VWW12" s="10"/>
      <c r="VWZ12" s="11"/>
      <c r="VXA12" s="10"/>
      <c r="VXD12" s="11"/>
      <c r="VXE12" s="10"/>
      <c r="VXH12" s="11"/>
      <c r="VXI12" s="10"/>
      <c r="VXL12" s="11"/>
      <c r="VXM12" s="10"/>
      <c r="VXP12" s="11"/>
      <c r="VXQ12" s="10"/>
      <c r="VXT12" s="11"/>
      <c r="VXU12" s="10"/>
      <c r="VXX12" s="11"/>
      <c r="VXY12" s="10"/>
      <c r="VYB12" s="11"/>
      <c r="VYC12" s="10"/>
      <c r="VYF12" s="11"/>
      <c r="VYG12" s="10"/>
      <c r="VYJ12" s="11"/>
      <c r="VYK12" s="10"/>
      <c r="VYN12" s="11"/>
      <c r="VYO12" s="10"/>
      <c r="VYR12" s="11"/>
      <c r="VYS12" s="10"/>
      <c r="VYV12" s="11"/>
      <c r="VYW12" s="10"/>
      <c r="VYZ12" s="11"/>
      <c r="VZA12" s="10"/>
      <c r="VZD12" s="11"/>
      <c r="VZE12" s="10"/>
      <c r="VZH12" s="11"/>
      <c r="VZI12" s="10"/>
      <c r="VZL12" s="11"/>
      <c r="VZM12" s="10"/>
      <c r="VZP12" s="11"/>
      <c r="VZQ12" s="10"/>
      <c r="VZT12" s="11"/>
      <c r="VZU12" s="10"/>
      <c r="VZX12" s="11"/>
      <c r="VZY12" s="10"/>
      <c r="WAB12" s="11"/>
      <c r="WAC12" s="10"/>
      <c r="WAF12" s="11"/>
      <c r="WAG12" s="10"/>
      <c r="WAJ12" s="11"/>
      <c r="WAK12" s="10"/>
      <c r="WAN12" s="11"/>
      <c r="WAO12" s="10"/>
      <c r="WAR12" s="11"/>
      <c r="WAS12" s="10"/>
      <c r="WAV12" s="11"/>
      <c r="WAW12" s="10"/>
      <c r="WAZ12" s="11"/>
      <c r="WBA12" s="10"/>
      <c r="WBD12" s="11"/>
      <c r="WBE12" s="10"/>
      <c r="WBH12" s="11"/>
      <c r="WBI12" s="10"/>
      <c r="WBL12" s="11"/>
      <c r="WBM12" s="10"/>
      <c r="WBP12" s="11"/>
      <c r="WBQ12" s="10"/>
      <c r="WBT12" s="11"/>
      <c r="WBU12" s="10"/>
      <c r="WBX12" s="11"/>
      <c r="WBY12" s="10"/>
      <c r="WCB12" s="11"/>
      <c r="WCC12" s="10"/>
      <c r="WCF12" s="11"/>
      <c r="WCG12" s="10"/>
      <c r="WCJ12" s="11"/>
      <c r="WCK12" s="10"/>
      <c r="WCN12" s="11"/>
      <c r="WCO12" s="10"/>
      <c r="WCR12" s="11"/>
      <c r="WCS12" s="10"/>
      <c r="WCV12" s="11"/>
      <c r="WCW12" s="10"/>
      <c r="WCZ12" s="11"/>
      <c r="WDA12" s="10"/>
      <c r="WDD12" s="11"/>
      <c r="WDE12" s="10"/>
      <c r="WDH12" s="11"/>
      <c r="WDI12" s="10"/>
      <c r="WDL12" s="11"/>
      <c r="WDM12" s="10"/>
      <c r="WDP12" s="11"/>
      <c r="WDQ12" s="10"/>
      <c r="WDT12" s="11"/>
      <c r="WDU12" s="10"/>
      <c r="WDX12" s="11"/>
      <c r="WDY12" s="10"/>
      <c r="WEB12" s="11"/>
      <c r="WEC12" s="10"/>
      <c r="WEF12" s="11"/>
      <c r="WEG12" s="10"/>
      <c r="WEJ12" s="11"/>
      <c r="WEK12" s="10"/>
      <c r="WEN12" s="11"/>
      <c r="WEO12" s="10"/>
      <c r="WER12" s="11"/>
      <c r="WES12" s="10"/>
      <c r="WEV12" s="11"/>
      <c r="WEW12" s="10"/>
      <c r="WEZ12" s="11"/>
      <c r="WFA12" s="10"/>
      <c r="WFD12" s="11"/>
      <c r="WFE12" s="10"/>
      <c r="WFH12" s="11"/>
      <c r="WFI12" s="10"/>
      <c r="WFL12" s="11"/>
      <c r="WFM12" s="10"/>
      <c r="WFP12" s="11"/>
      <c r="WFQ12" s="10"/>
      <c r="WFT12" s="11"/>
      <c r="WFU12" s="10"/>
      <c r="WFX12" s="11"/>
      <c r="WFY12" s="10"/>
      <c r="WGB12" s="11"/>
      <c r="WGC12" s="10"/>
      <c r="WGF12" s="11"/>
      <c r="WGG12" s="10"/>
      <c r="WGJ12" s="11"/>
      <c r="WGK12" s="10"/>
      <c r="WGN12" s="11"/>
      <c r="WGO12" s="10"/>
      <c r="WGR12" s="11"/>
      <c r="WGS12" s="10"/>
      <c r="WGV12" s="11"/>
      <c r="WGW12" s="10"/>
      <c r="WGZ12" s="11"/>
      <c r="WHA12" s="10"/>
      <c r="WHD12" s="11"/>
      <c r="WHE12" s="10"/>
      <c r="WHH12" s="11"/>
      <c r="WHI12" s="10"/>
      <c r="WHL12" s="11"/>
      <c r="WHM12" s="10"/>
      <c r="WHP12" s="11"/>
      <c r="WHQ12" s="10"/>
      <c r="WHT12" s="11"/>
      <c r="WHU12" s="10"/>
      <c r="WHX12" s="11"/>
      <c r="WHY12" s="10"/>
      <c r="WIB12" s="11"/>
      <c r="WIC12" s="10"/>
      <c r="WIF12" s="11"/>
      <c r="WIG12" s="10"/>
      <c r="WIJ12" s="11"/>
      <c r="WIK12" s="10"/>
      <c r="WIN12" s="11"/>
      <c r="WIO12" s="10"/>
      <c r="WIR12" s="11"/>
      <c r="WIS12" s="10"/>
      <c r="WIV12" s="11"/>
      <c r="WIW12" s="10"/>
      <c r="WIZ12" s="11"/>
      <c r="WJA12" s="10"/>
      <c r="WJD12" s="11"/>
      <c r="WJE12" s="10"/>
      <c r="WJH12" s="11"/>
      <c r="WJI12" s="10"/>
      <c r="WJL12" s="11"/>
      <c r="WJM12" s="10"/>
      <c r="WJP12" s="11"/>
      <c r="WJQ12" s="10"/>
      <c r="WJT12" s="11"/>
      <c r="WJU12" s="10"/>
      <c r="WJX12" s="11"/>
      <c r="WJY12" s="10"/>
      <c r="WKB12" s="11"/>
      <c r="WKC12" s="10"/>
      <c r="WKF12" s="11"/>
      <c r="WKG12" s="10"/>
      <c r="WKJ12" s="11"/>
      <c r="WKK12" s="10"/>
      <c r="WKN12" s="11"/>
      <c r="WKO12" s="10"/>
      <c r="WKR12" s="11"/>
      <c r="WKS12" s="10"/>
      <c r="WKV12" s="11"/>
      <c r="WKW12" s="10"/>
      <c r="WKZ12" s="11"/>
      <c r="WLA12" s="10"/>
      <c r="WLD12" s="11"/>
      <c r="WLE12" s="10"/>
      <c r="WLH12" s="11"/>
      <c r="WLI12" s="10"/>
      <c r="WLL12" s="11"/>
      <c r="WLM12" s="10"/>
      <c r="WLP12" s="11"/>
      <c r="WLQ12" s="10"/>
      <c r="WLT12" s="11"/>
      <c r="WLU12" s="10"/>
      <c r="WLX12" s="11"/>
      <c r="WLY12" s="10"/>
      <c r="WMB12" s="11"/>
      <c r="WMC12" s="10"/>
      <c r="WMF12" s="11"/>
      <c r="WMG12" s="10"/>
      <c r="WMJ12" s="11"/>
      <c r="WMK12" s="10"/>
      <c r="WMN12" s="11"/>
      <c r="WMO12" s="10"/>
      <c r="WMR12" s="11"/>
      <c r="WMS12" s="10"/>
      <c r="WMV12" s="11"/>
      <c r="WMW12" s="10"/>
      <c r="WMZ12" s="11"/>
      <c r="WNA12" s="10"/>
      <c r="WND12" s="11"/>
      <c r="WNE12" s="10"/>
      <c r="WNH12" s="11"/>
      <c r="WNI12" s="10"/>
      <c r="WNL12" s="11"/>
      <c r="WNM12" s="10"/>
      <c r="WNP12" s="11"/>
      <c r="WNQ12" s="10"/>
      <c r="WNT12" s="11"/>
      <c r="WNU12" s="10"/>
      <c r="WNX12" s="11"/>
      <c r="WNY12" s="10"/>
      <c r="WOB12" s="11"/>
      <c r="WOC12" s="10"/>
      <c r="WOF12" s="11"/>
      <c r="WOG12" s="10"/>
      <c r="WOJ12" s="11"/>
      <c r="WOK12" s="10"/>
      <c r="WON12" s="11"/>
      <c r="WOO12" s="10"/>
      <c r="WOR12" s="11"/>
      <c r="WOS12" s="10"/>
      <c r="WOV12" s="11"/>
      <c r="WOW12" s="10"/>
      <c r="WOZ12" s="11"/>
      <c r="WPA12" s="10"/>
      <c r="WPD12" s="11"/>
      <c r="WPE12" s="10"/>
      <c r="WPH12" s="11"/>
      <c r="WPI12" s="10"/>
      <c r="WPL12" s="11"/>
      <c r="WPM12" s="10"/>
      <c r="WPP12" s="11"/>
      <c r="WPQ12" s="10"/>
      <c r="WPT12" s="11"/>
      <c r="WPU12" s="10"/>
      <c r="WPX12" s="11"/>
      <c r="WPY12" s="10"/>
      <c r="WQB12" s="11"/>
      <c r="WQC12" s="10"/>
      <c r="WQF12" s="11"/>
      <c r="WQG12" s="10"/>
      <c r="WQJ12" s="11"/>
      <c r="WQK12" s="10"/>
      <c r="WQN12" s="11"/>
      <c r="WQO12" s="10"/>
      <c r="WQR12" s="11"/>
      <c r="WQS12" s="10"/>
      <c r="WQV12" s="11"/>
      <c r="WQW12" s="10"/>
      <c r="WQZ12" s="11"/>
      <c r="WRA12" s="10"/>
      <c r="WRD12" s="11"/>
      <c r="WRE12" s="10"/>
      <c r="WRH12" s="11"/>
      <c r="WRI12" s="10"/>
      <c r="WRL12" s="11"/>
      <c r="WRM12" s="10"/>
      <c r="WRP12" s="11"/>
      <c r="WRQ12" s="10"/>
      <c r="WRT12" s="11"/>
      <c r="WRU12" s="10"/>
      <c r="WRX12" s="11"/>
      <c r="WRY12" s="10"/>
      <c r="WSB12" s="11"/>
      <c r="WSC12" s="10"/>
      <c r="WSF12" s="11"/>
      <c r="WSG12" s="10"/>
      <c r="WSJ12" s="11"/>
      <c r="WSK12" s="10"/>
      <c r="WSN12" s="11"/>
      <c r="WSO12" s="10"/>
      <c r="WSR12" s="11"/>
      <c r="WSS12" s="10"/>
      <c r="WSV12" s="11"/>
      <c r="WSW12" s="10"/>
      <c r="WSZ12" s="11"/>
      <c r="WTA12" s="10"/>
      <c r="WTD12" s="11"/>
      <c r="WTE12" s="10"/>
      <c r="WTH12" s="11"/>
      <c r="WTI12" s="10"/>
      <c r="WTL12" s="11"/>
      <c r="WTM12" s="10"/>
      <c r="WTP12" s="11"/>
      <c r="WTQ12" s="10"/>
      <c r="WTT12" s="11"/>
      <c r="WTU12" s="10"/>
      <c r="WTX12" s="11"/>
      <c r="WTY12" s="10"/>
      <c r="WUB12" s="11"/>
      <c r="WUC12" s="10"/>
      <c r="WUF12" s="11"/>
      <c r="WUG12" s="10"/>
      <c r="WUJ12" s="11"/>
      <c r="WUK12" s="10"/>
      <c r="WUN12" s="11"/>
      <c r="WUO12" s="10"/>
      <c r="WUR12" s="11"/>
      <c r="WUS12" s="10"/>
      <c r="WUV12" s="11"/>
      <c r="WUW12" s="10"/>
      <c r="WUZ12" s="11"/>
      <c r="WVA12" s="10"/>
      <c r="WVD12" s="11"/>
      <c r="WVE12" s="10"/>
      <c r="WVH12" s="11"/>
      <c r="WVI12" s="10"/>
      <c r="WVL12" s="11"/>
      <c r="WVM12" s="10"/>
      <c r="WVP12" s="11"/>
      <c r="WVQ12" s="10"/>
      <c r="WVT12" s="11"/>
      <c r="WVU12" s="10"/>
      <c r="WVX12" s="11"/>
      <c r="WVY12" s="10"/>
      <c r="WWB12" s="11"/>
      <c r="WWC12" s="10"/>
      <c r="WWF12" s="11"/>
      <c r="WWG12" s="10"/>
      <c r="WWJ12" s="11"/>
      <c r="WWK12" s="10"/>
      <c r="WWN12" s="11"/>
      <c r="WWO12" s="10"/>
      <c r="WWR12" s="11"/>
      <c r="WWS12" s="10"/>
      <c r="WWV12" s="11"/>
      <c r="WWW12" s="10"/>
      <c r="WWZ12" s="11"/>
      <c r="WXA12" s="10"/>
      <c r="WXD12" s="11"/>
      <c r="WXE12" s="10"/>
      <c r="WXH12" s="11"/>
      <c r="WXI12" s="10"/>
      <c r="WXL12" s="11"/>
      <c r="WXM12" s="10"/>
      <c r="WXP12" s="11"/>
      <c r="WXQ12" s="10"/>
      <c r="WXT12" s="11"/>
      <c r="WXU12" s="10"/>
      <c r="WXX12" s="11"/>
      <c r="WXY12" s="10"/>
      <c r="WYB12" s="11"/>
      <c r="WYC12" s="10"/>
      <c r="WYF12" s="11"/>
      <c r="WYG12" s="10"/>
      <c r="WYJ12" s="11"/>
      <c r="WYK12" s="10"/>
      <c r="WYN12" s="11"/>
      <c r="WYO12" s="10"/>
      <c r="WYR12" s="11"/>
      <c r="WYS12" s="10"/>
      <c r="WYV12" s="11"/>
      <c r="WYW12" s="10"/>
      <c r="WYZ12" s="11"/>
      <c r="WZA12" s="10"/>
      <c r="WZD12" s="11"/>
      <c r="WZE12" s="10"/>
      <c r="WZH12" s="11"/>
      <c r="WZI12" s="10"/>
      <c r="WZL12" s="11"/>
      <c r="WZM12" s="10"/>
      <c r="WZP12" s="11"/>
      <c r="WZQ12" s="10"/>
      <c r="WZT12" s="11"/>
      <c r="WZU12" s="10"/>
      <c r="WZX12" s="11"/>
      <c r="WZY12" s="10"/>
      <c r="XAB12" s="11"/>
      <c r="XAC12" s="10"/>
      <c r="XAF12" s="11"/>
      <c r="XAG12" s="10"/>
      <c r="XAJ12" s="11"/>
      <c r="XAK12" s="10"/>
      <c r="XAN12" s="11"/>
      <c r="XAO12" s="10"/>
      <c r="XAR12" s="11"/>
      <c r="XAS12" s="10"/>
      <c r="XAV12" s="11"/>
      <c r="XAW12" s="10"/>
      <c r="XAZ12" s="11"/>
      <c r="XBA12" s="10"/>
      <c r="XBD12" s="11"/>
      <c r="XBE12" s="10"/>
      <c r="XBH12" s="11"/>
      <c r="XBI12" s="10"/>
      <c r="XBL12" s="11"/>
      <c r="XBM12" s="10"/>
      <c r="XBP12" s="11"/>
      <c r="XBQ12" s="10"/>
      <c r="XBT12" s="11"/>
      <c r="XBU12" s="10"/>
      <c r="XBX12" s="11"/>
      <c r="XBY12" s="10"/>
      <c r="XCB12" s="11"/>
      <c r="XCC12" s="10"/>
      <c r="XCF12" s="11"/>
      <c r="XCG12" s="10"/>
      <c r="XCJ12" s="11"/>
      <c r="XCK12" s="10"/>
      <c r="XCN12" s="11"/>
      <c r="XCO12" s="10"/>
      <c r="XCR12" s="11"/>
      <c r="XCS12" s="10"/>
      <c r="XCV12" s="11"/>
      <c r="XCW12" s="10"/>
      <c r="XCZ12" s="11"/>
      <c r="XDA12" s="10"/>
      <c r="XDD12" s="11"/>
      <c r="XDE12" s="10"/>
      <c r="XDH12" s="11"/>
      <c r="XDI12" s="10"/>
      <c r="XDL12" s="11"/>
      <c r="XDM12" s="10"/>
      <c r="XDP12" s="11"/>
      <c r="XDQ12" s="10"/>
      <c r="XDT12" s="11"/>
      <c r="XDU12" s="10"/>
      <c r="XDX12" s="11"/>
      <c r="XDY12" s="10"/>
      <c r="XEB12" s="11"/>
      <c r="XEC12" s="10"/>
      <c r="XEF12" s="11"/>
      <c r="XEG12" s="10"/>
      <c r="XEJ12" s="11"/>
      <c r="XEK12" s="10"/>
      <c r="XEN12" s="11"/>
      <c r="XEO12" s="10"/>
      <c r="XER12" s="11"/>
      <c r="XES12" s="10"/>
      <c r="XEV12" s="11"/>
      <c r="XEW12" s="10"/>
      <c r="XEZ12" s="11"/>
      <c r="XFA12" s="10"/>
    </row>
    <row r="13" spans="1:16381" x14ac:dyDescent="0.25">
      <c r="A13" s="9" t="s">
        <v>1862</v>
      </c>
      <c r="B13" s="5" t="s">
        <v>1907</v>
      </c>
      <c r="C13" s="5" t="s">
        <v>1948</v>
      </c>
      <c r="D13" s="5" t="s">
        <v>1993</v>
      </c>
      <c r="E13" s="5" t="s">
        <v>2038</v>
      </c>
      <c r="F13" s="5" t="s">
        <v>2083</v>
      </c>
      <c r="G13" s="5" t="s">
        <v>2127</v>
      </c>
      <c r="H13" s="5" t="s">
        <v>2172</v>
      </c>
      <c r="I13" s="5" t="s">
        <v>2730</v>
      </c>
      <c r="J13" s="5" t="s">
        <v>2627</v>
      </c>
      <c r="K13" s="5" t="s">
        <v>2522</v>
      </c>
      <c r="L13" s="5" t="s">
        <v>2417</v>
      </c>
      <c r="M13" s="5" t="s">
        <v>3572</v>
      </c>
      <c r="N13" s="5" t="s">
        <v>3474</v>
      </c>
    </row>
    <row r="14" spans="1:16381" x14ac:dyDescent="0.25">
      <c r="A14" s="9" t="s">
        <v>1880</v>
      </c>
      <c r="B14" s="5" t="s">
        <v>1923</v>
      </c>
      <c r="C14" s="5" t="s">
        <v>1966</v>
      </c>
      <c r="D14" s="5" t="s">
        <v>2011</v>
      </c>
      <c r="E14" s="5" t="s">
        <v>2056</v>
      </c>
      <c r="F14" s="5" t="s">
        <v>2101</v>
      </c>
      <c r="G14" s="5" t="s">
        <v>2145</v>
      </c>
      <c r="H14" s="5" t="s">
        <v>2190</v>
      </c>
      <c r="I14" s="5" t="s">
        <v>2731</v>
      </c>
      <c r="J14" s="5" t="s">
        <v>2628</v>
      </c>
      <c r="K14" s="5" t="s">
        <v>2523</v>
      </c>
      <c r="L14" s="5" t="s">
        <v>2418</v>
      </c>
      <c r="M14" s="5" t="s">
        <v>3573</v>
      </c>
      <c r="N14" s="5" t="s">
        <v>3475</v>
      </c>
    </row>
    <row r="15" spans="1:16381" x14ac:dyDescent="0.25">
      <c r="A15" s="9" t="s">
        <v>1874</v>
      </c>
      <c r="B15" s="5" t="s">
        <v>1918</v>
      </c>
      <c r="C15" s="5" t="s">
        <v>1960</v>
      </c>
      <c r="D15" s="5" t="s">
        <v>2005</v>
      </c>
      <c r="E15" s="5" t="s">
        <v>2050</v>
      </c>
      <c r="F15" s="5" t="s">
        <v>2095</v>
      </c>
      <c r="G15" s="5" t="s">
        <v>2139</v>
      </c>
      <c r="H15" s="5" t="s">
        <v>2184</v>
      </c>
      <c r="I15" s="5" t="s">
        <v>2732</v>
      </c>
      <c r="J15" s="5" t="s">
        <v>2629</v>
      </c>
      <c r="K15" s="5" t="s">
        <v>2524</v>
      </c>
      <c r="L15" s="5" t="s">
        <v>2419</v>
      </c>
      <c r="M15" s="5" t="s">
        <v>3574</v>
      </c>
      <c r="N15" s="5" t="s">
        <v>3476</v>
      </c>
    </row>
    <row r="16" spans="1:16381" x14ac:dyDescent="0.25">
      <c r="A16" s="9" t="s">
        <v>1860</v>
      </c>
      <c r="B16" s="5" t="s">
        <v>1905</v>
      </c>
      <c r="C16" s="5" t="s">
        <v>1946</v>
      </c>
      <c r="D16" s="5" t="s">
        <v>1991</v>
      </c>
      <c r="E16" s="5" t="s">
        <v>2036</v>
      </c>
      <c r="F16" s="5" t="s">
        <v>2081</v>
      </c>
      <c r="G16" s="5" t="s">
        <v>2125</v>
      </c>
      <c r="H16" s="5" t="s">
        <v>2170</v>
      </c>
      <c r="I16" s="5" t="s">
        <v>2733</v>
      </c>
      <c r="J16" s="5" t="s">
        <v>2630</v>
      </c>
      <c r="K16" s="5" t="s">
        <v>2525</v>
      </c>
      <c r="L16" s="5" t="s">
        <v>2420</v>
      </c>
      <c r="M16" s="5" t="s">
        <v>3575</v>
      </c>
      <c r="N16" s="5" t="s">
        <v>3477</v>
      </c>
    </row>
    <row r="17" spans="1:14" x14ac:dyDescent="0.25">
      <c r="A17" s="9" t="s">
        <v>1857</v>
      </c>
      <c r="B17" s="5" t="s">
        <v>1902</v>
      </c>
      <c r="C17" s="5" t="s">
        <v>1943</v>
      </c>
      <c r="D17" s="5" t="s">
        <v>1988</v>
      </c>
      <c r="E17" s="5" t="s">
        <v>2033</v>
      </c>
      <c r="F17" s="5" t="s">
        <v>2078</v>
      </c>
      <c r="G17" s="5" t="s">
        <v>2122</v>
      </c>
      <c r="H17" s="5" t="s">
        <v>2167</v>
      </c>
      <c r="I17" s="5" t="s">
        <v>2734</v>
      </c>
      <c r="J17" s="5" t="s">
        <v>2631</v>
      </c>
      <c r="K17" s="5" t="s">
        <v>2526</v>
      </c>
      <c r="L17" s="5" t="s">
        <v>2421</v>
      </c>
      <c r="M17" s="5" t="s">
        <v>3576</v>
      </c>
      <c r="N17" s="5" t="s">
        <v>3478</v>
      </c>
    </row>
    <row r="18" spans="1:14" x14ac:dyDescent="0.25">
      <c r="A18" s="9" t="s">
        <v>1878</v>
      </c>
      <c r="B18" s="5" t="s">
        <v>1921</v>
      </c>
      <c r="C18" s="5" t="s">
        <v>1964</v>
      </c>
      <c r="D18" s="5" t="s">
        <v>2009</v>
      </c>
      <c r="E18" s="5" t="s">
        <v>2054</v>
      </c>
      <c r="F18" s="5" t="s">
        <v>2099</v>
      </c>
      <c r="G18" s="5" t="s">
        <v>2143</v>
      </c>
      <c r="H18" s="5" t="s">
        <v>2188</v>
      </c>
      <c r="I18" s="5" t="s">
        <v>2735</v>
      </c>
      <c r="J18" s="5" t="s">
        <v>2632</v>
      </c>
      <c r="K18" s="5" t="s">
        <v>2527</v>
      </c>
      <c r="L18" s="5" t="s">
        <v>2422</v>
      </c>
      <c r="M18" s="5" t="s">
        <v>3577</v>
      </c>
      <c r="N18" s="5" t="s">
        <v>3479</v>
      </c>
    </row>
    <row r="19" spans="1:14" x14ac:dyDescent="0.25">
      <c r="A19" s="9" t="s">
        <v>288</v>
      </c>
      <c r="B19" s="5" t="s">
        <v>635</v>
      </c>
      <c r="C19" s="5" t="s">
        <v>289</v>
      </c>
      <c r="D19" s="5" t="s">
        <v>290</v>
      </c>
      <c r="E19" s="5" t="s">
        <v>291</v>
      </c>
      <c r="F19" s="5" t="s">
        <v>292</v>
      </c>
      <c r="G19" s="5" t="s">
        <v>293</v>
      </c>
      <c r="H19" s="5" t="s">
        <v>294</v>
      </c>
      <c r="I19" s="5" t="s">
        <v>2736</v>
      </c>
      <c r="J19" s="5" t="s">
        <v>2633</v>
      </c>
      <c r="K19" s="5" t="s">
        <v>2528</v>
      </c>
      <c r="L19" s="5" t="s">
        <v>2423</v>
      </c>
      <c r="M19" s="5" t="s">
        <v>3578</v>
      </c>
      <c r="N19" s="5" t="s">
        <v>3480</v>
      </c>
    </row>
    <row r="20" spans="1:14" x14ac:dyDescent="0.25">
      <c r="A20" s="9" t="s">
        <v>2265</v>
      </c>
      <c r="B20" s="5" t="s">
        <v>2279</v>
      </c>
      <c r="C20" s="5" t="s">
        <v>2277</v>
      </c>
      <c r="D20" s="5" t="s">
        <v>2275</v>
      </c>
      <c r="E20" s="5" t="s">
        <v>2273</v>
      </c>
      <c r="F20" s="5" t="s">
        <v>2271</v>
      </c>
      <c r="G20" s="5" t="s">
        <v>2269</v>
      </c>
      <c r="H20" s="5" t="s">
        <v>2267</v>
      </c>
      <c r="I20" s="5" t="s">
        <v>2737</v>
      </c>
      <c r="J20" s="5" t="s">
        <v>2634</v>
      </c>
      <c r="K20" s="5" t="s">
        <v>2529</v>
      </c>
      <c r="L20" s="5" t="s">
        <v>2424</v>
      </c>
      <c r="M20" s="5" t="s">
        <v>3579</v>
      </c>
      <c r="N20" s="5" t="s">
        <v>3481</v>
      </c>
    </row>
    <row r="21" spans="1:14" x14ac:dyDescent="0.25">
      <c r="A21" s="9" t="s">
        <v>1867</v>
      </c>
      <c r="B21" s="5" t="s">
        <v>1911</v>
      </c>
      <c r="C21" s="5" t="s">
        <v>1953</v>
      </c>
      <c r="D21" s="5" t="s">
        <v>1998</v>
      </c>
      <c r="E21" s="5" t="s">
        <v>2043</v>
      </c>
      <c r="F21" s="5" t="s">
        <v>2088</v>
      </c>
      <c r="G21" s="5" t="s">
        <v>2132</v>
      </c>
      <c r="H21" s="5" t="s">
        <v>2177</v>
      </c>
      <c r="I21" s="5" t="s">
        <v>2738</v>
      </c>
      <c r="J21" s="5" t="s">
        <v>2635</v>
      </c>
      <c r="K21" s="5" t="s">
        <v>2530</v>
      </c>
      <c r="L21" s="5" t="s">
        <v>2425</v>
      </c>
      <c r="M21" s="5" t="s">
        <v>3580</v>
      </c>
      <c r="N21" s="5" t="s">
        <v>3482</v>
      </c>
    </row>
    <row r="22" spans="1:14" x14ac:dyDescent="0.25">
      <c r="A22" s="9" t="s">
        <v>1868</v>
      </c>
      <c r="B22" s="5" t="s">
        <v>1912</v>
      </c>
      <c r="C22" s="5" t="s">
        <v>1954</v>
      </c>
      <c r="D22" s="5" t="s">
        <v>1999</v>
      </c>
      <c r="E22" s="5" t="s">
        <v>2044</v>
      </c>
      <c r="F22" s="5" t="s">
        <v>2089</v>
      </c>
      <c r="G22" s="5" t="s">
        <v>2133</v>
      </c>
      <c r="H22" s="5" t="s">
        <v>2178</v>
      </c>
      <c r="I22" s="5" t="s">
        <v>2739</v>
      </c>
      <c r="J22" s="5" t="s">
        <v>2636</v>
      </c>
      <c r="K22" s="5" t="s">
        <v>2531</v>
      </c>
      <c r="L22" s="5" t="s">
        <v>2426</v>
      </c>
      <c r="M22" s="5" t="s">
        <v>3581</v>
      </c>
      <c r="N22" s="5" t="s">
        <v>3483</v>
      </c>
    </row>
    <row r="23" spans="1:14" x14ac:dyDescent="0.25">
      <c r="A23" s="9" t="s">
        <v>2215</v>
      </c>
      <c r="B23" s="5" t="s">
        <v>2221</v>
      </c>
      <c r="C23" s="5" t="s">
        <v>2228</v>
      </c>
      <c r="D23" s="5" t="s">
        <v>2235</v>
      </c>
      <c r="E23" s="5" t="s">
        <v>2242</v>
      </c>
      <c r="F23" s="5" t="s">
        <v>2249</v>
      </c>
      <c r="G23" s="5" t="s">
        <v>2256</v>
      </c>
      <c r="H23" s="5" t="s">
        <v>2263</v>
      </c>
      <c r="I23" s="5" t="s">
        <v>2740</v>
      </c>
      <c r="J23" s="5" t="s">
        <v>2637</v>
      </c>
      <c r="K23" s="5" t="s">
        <v>2532</v>
      </c>
      <c r="L23" s="5" t="s">
        <v>2427</v>
      </c>
      <c r="M23" s="5" t="s">
        <v>3582</v>
      </c>
      <c r="N23" s="5" t="s">
        <v>3484</v>
      </c>
    </row>
    <row r="24" spans="1:14" x14ac:dyDescent="0.25">
      <c r="A24" s="9" t="s">
        <v>1872</v>
      </c>
      <c r="B24" s="5" t="s">
        <v>1916</v>
      </c>
      <c r="C24" s="5" t="s">
        <v>1958</v>
      </c>
      <c r="D24" s="5" t="s">
        <v>2003</v>
      </c>
      <c r="E24" s="5" t="s">
        <v>2048</v>
      </c>
      <c r="F24" s="5" t="s">
        <v>2093</v>
      </c>
      <c r="G24" s="5" t="s">
        <v>2137</v>
      </c>
      <c r="H24" s="5" t="s">
        <v>2182</v>
      </c>
      <c r="I24" s="5" t="s">
        <v>2741</v>
      </c>
      <c r="J24" s="5" t="s">
        <v>2638</v>
      </c>
      <c r="K24" s="5" t="s">
        <v>2533</v>
      </c>
      <c r="L24" s="5" t="s">
        <v>2428</v>
      </c>
      <c r="M24" s="5" t="s">
        <v>3583</v>
      </c>
      <c r="N24" s="5" t="s">
        <v>3485</v>
      </c>
    </row>
    <row r="25" spans="1:14" x14ac:dyDescent="0.25">
      <c r="A25" s="9" t="s">
        <v>2285</v>
      </c>
      <c r="B25" s="5" t="s">
        <v>2287</v>
      </c>
      <c r="C25" s="5" t="s">
        <v>2289</v>
      </c>
      <c r="D25" s="5" t="s">
        <v>2291</v>
      </c>
      <c r="E25" s="5" t="s">
        <v>2293</v>
      </c>
      <c r="F25" s="5" t="s">
        <v>2295</v>
      </c>
      <c r="G25" s="5" t="s">
        <v>2291</v>
      </c>
      <c r="H25" s="5" t="s">
        <v>2298</v>
      </c>
      <c r="I25" s="5" t="s">
        <v>2742</v>
      </c>
      <c r="J25" s="5" t="s">
        <v>2639</v>
      </c>
      <c r="K25" s="5" t="s">
        <v>2534</v>
      </c>
      <c r="L25" s="5" t="s">
        <v>2429</v>
      </c>
      <c r="M25" s="5" t="s">
        <v>3584</v>
      </c>
      <c r="N25" s="5" t="s">
        <v>3486</v>
      </c>
    </row>
    <row r="26" spans="1:14" x14ac:dyDescent="0.25">
      <c r="A26" s="9" t="s">
        <v>489</v>
      </c>
      <c r="B26" s="5" t="s">
        <v>636</v>
      </c>
      <c r="C26" s="5" t="s">
        <v>713</v>
      </c>
      <c r="D26" s="5" t="s">
        <v>804</v>
      </c>
      <c r="E26" s="5" t="s">
        <v>895</v>
      </c>
      <c r="F26" s="5" t="s">
        <v>983</v>
      </c>
      <c r="G26" s="5" t="s">
        <v>1073</v>
      </c>
      <c r="H26" s="5" t="s">
        <v>1153</v>
      </c>
      <c r="I26" s="5" t="s">
        <v>2743</v>
      </c>
      <c r="J26" s="5" t="s">
        <v>2640</v>
      </c>
      <c r="K26" s="5" t="s">
        <v>2535</v>
      </c>
      <c r="L26" s="5" t="s">
        <v>2430</v>
      </c>
      <c r="M26" s="5" t="s">
        <v>3585</v>
      </c>
      <c r="N26" s="5" t="s">
        <v>3487</v>
      </c>
    </row>
    <row r="27" spans="1:14" x14ac:dyDescent="0.25">
      <c r="A27" s="9" t="s">
        <v>233</v>
      </c>
      <c r="B27" s="5" t="s">
        <v>637</v>
      </c>
      <c r="C27" s="5" t="s">
        <v>714</v>
      </c>
      <c r="D27" s="5" t="s">
        <v>234</v>
      </c>
      <c r="E27" s="5" t="s">
        <v>235</v>
      </c>
      <c r="F27" s="5" t="s">
        <v>236</v>
      </c>
      <c r="G27" s="5" t="s">
        <v>237</v>
      </c>
      <c r="H27" s="5" t="s">
        <v>238</v>
      </c>
      <c r="I27" s="5" t="s">
        <v>2744</v>
      </c>
      <c r="J27" s="5" t="s">
        <v>2641</v>
      </c>
      <c r="K27" s="5" t="s">
        <v>2536</v>
      </c>
      <c r="L27" s="5" t="s">
        <v>2431</v>
      </c>
      <c r="M27" s="5" t="s">
        <v>3586</v>
      </c>
      <c r="N27" s="5" t="s">
        <v>3488</v>
      </c>
    </row>
    <row r="28" spans="1:14" x14ac:dyDescent="0.25">
      <c r="A28" s="9" t="s">
        <v>227</v>
      </c>
      <c r="B28" s="5" t="s">
        <v>638</v>
      </c>
      <c r="C28" s="5" t="s">
        <v>715</v>
      </c>
      <c r="D28" s="5" t="s">
        <v>228</v>
      </c>
      <c r="E28" s="5" t="s">
        <v>229</v>
      </c>
      <c r="F28" s="5" t="s">
        <v>230</v>
      </c>
      <c r="G28" s="5" t="s">
        <v>231</v>
      </c>
      <c r="H28" s="5" t="s">
        <v>232</v>
      </c>
      <c r="I28" s="5" t="s">
        <v>2745</v>
      </c>
      <c r="J28" s="5" t="s">
        <v>2642</v>
      </c>
      <c r="K28" s="5" t="s">
        <v>2537</v>
      </c>
      <c r="L28" s="5" t="s">
        <v>2432</v>
      </c>
      <c r="M28" s="5" t="s">
        <v>3587</v>
      </c>
      <c r="N28" s="5" t="s">
        <v>3489</v>
      </c>
    </row>
    <row r="29" spans="1:14" x14ac:dyDescent="0.25">
      <c r="A29" s="9" t="s">
        <v>490</v>
      </c>
      <c r="B29" s="5" t="s">
        <v>639</v>
      </c>
      <c r="C29" s="5" t="s">
        <v>716</v>
      </c>
      <c r="D29" s="5" t="s">
        <v>805</v>
      </c>
      <c r="E29" s="5" t="s">
        <v>896</v>
      </c>
      <c r="F29" s="5" t="s">
        <v>984</v>
      </c>
      <c r="G29" s="5" t="s">
        <v>1074</v>
      </c>
      <c r="H29" s="5" t="s">
        <v>1154</v>
      </c>
      <c r="I29" s="5" t="s">
        <v>2746</v>
      </c>
      <c r="J29" s="5" t="s">
        <v>2643</v>
      </c>
      <c r="K29" s="5" t="s">
        <v>2538</v>
      </c>
      <c r="L29" s="5" t="s">
        <v>2433</v>
      </c>
      <c r="M29" s="5" t="s">
        <v>3588</v>
      </c>
      <c r="N29" s="5" t="s">
        <v>3490</v>
      </c>
    </row>
    <row r="30" spans="1:14" x14ac:dyDescent="0.25">
      <c r="A30" s="9" t="s">
        <v>1837</v>
      </c>
      <c r="B30" s="5" t="s">
        <v>1891</v>
      </c>
      <c r="C30" s="5" t="s">
        <v>1932</v>
      </c>
      <c r="D30" s="5" t="s">
        <v>1977</v>
      </c>
      <c r="E30" s="5" t="s">
        <v>2022</v>
      </c>
      <c r="F30" s="5" t="s">
        <v>2067</v>
      </c>
      <c r="G30" s="5" t="s">
        <v>2112</v>
      </c>
      <c r="H30" s="5" t="s">
        <v>2156</v>
      </c>
      <c r="I30" s="5" t="s">
        <v>2747</v>
      </c>
      <c r="J30" s="5" t="s">
        <v>2644</v>
      </c>
      <c r="K30" s="5" t="s">
        <v>2539</v>
      </c>
      <c r="L30" s="5" t="s">
        <v>2434</v>
      </c>
      <c r="M30" s="5" t="s">
        <v>3589</v>
      </c>
      <c r="N30" s="5" t="s">
        <v>3491</v>
      </c>
    </row>
    <row r="31" spans="1:14" x14ac:dyDescent="0.25">
      <c r="A31" s="9" t="s">
        <v>239</v>
      </c>
      <c r="B31" s="5" t="s">
        <v>640</v>
      </c>
      <c r="C31" s="5" t="s">
        <v>717</v>
      </c>
      <c r="D31" s="5" t="s">
        <v>240</v>
      </c>
      <c r="E31" s="5" t="s">
        <v>241</v>
      </c>
      <c r="F31" s="5" t="s">
        <v>242</v>
      </c>
      <c r="G31" s="5" t="s">
        <v>243</v>
      </c>
      <c r="H31" s="5" t="s">
        <v>244</v>
      </c>
      <c r="I31" s="5" t="s">
        <v>2748</v>
      </c>
      <c r="J31" s="5" t="s">
        <v>2645</v>
      </c>
      <c r="K31" s="5" t="s">
        <v>2540</v>
      </c>
      <c r="L31" s="5" t="s">
        <v>2435</v>
      </c>
      <c r="M31" s="5" t="s">
        <v>3590</v>
      </c>
      <c r="N31" s="5" t="s">
        <v>3492</v>
      </c>
    </row>
    <row r="32" spans="1:14" x14ac:dyDescent="0.25">
      <c r="A32" s="9" t="s">
        <v>1886</v>
      </c>
      <c r="B32" s="5" t="s">
        <v>3461</v>
      </c>
      <c r="C32" s="5" t="s">
        <v>1973</v>
      </c>
      <c r="D32" s="5" t="s">
        <v>2018</v>
      </c>
      <c r="E32" s="5" t="s">
        <v>2063</v>
      </c>
      <c r="F32" s="5" t="s">
        <v>2108</v>
      </c>
      <c r="G32" s="5" t="s">
        <v>2152</v>
      </c>
      <c r="H32" s="5" t="s">
        <v>2197</v>
      </c>
      <c r="I32" s="5" t="s">
        <v>2749</v>
      </c>
      <c r="J32" s="5" t="s">
        <v>2646</v>
      </c>
      <c r="K32" s="5" t="s">
        <v>2541</v>
      </c>
      <c r="L32" s="5" t="s">
        <v>2436</v>
      </c>
      <c r="M32" s="5" t="s">
        <v>3591</v>
      </c>
      <c r="N32" s="5" t="s">
        <v>3493</v>
      </c>
    </row>
    <row r="33" spans="1:14" x14ac:dyDescent="0.25">
      <c r="A33" s="9" t="s">
        <v>491</v>
      </c>
      <c r="B33" s="5" t="s">
        <v>2283</v>
      </c>
      <c r="C33" s="5" t="s">
        <v>718</v>
      </c>
      <c r="D33" s="5" t="s">
        <v>806</v>
      </c>
      <c r="E33" s="5" t="s">
        <v>897</v>
      </c>
      <c r="F33" s="5" t="s">
        <v>985</v>
      </c>
      <c r="G33" s="5" t="s">
        <v>1075</v>
      </c>
      <c r="H33" s="5" t="s">
        <v>1155</v>
      </c>
      <c r="I33" s="5" t="s">
        <v>2750</v>
      </c>
      <c r="J33" s="5" t="s">
        <v>2647</v>
      </c>
      <c r="K33" s="5" t="s">
        <v>2542</v>
      </c>
      <c r="L33" s="5" t="s">
        <v>2437</v>
      </c>
      <c r="M33" s="5" t="s">
        <v>3592</v>
      </c>
      <c r="N33" s="5" t="s">
        <v>3494</v>
      </c>
    </row>
    <row r="34" spans="1:14" x14ac:dyDescent="0.25">
      <c r="A34" s="9" t="s">
        <v>492</v>
      </c>
      <c r="B34" s="5" t="s">
        <v>641</v>
      </c>
      <c r="C34" s="5" t="s">
        <v>719</v>
      </c>
      <c r="D34" s="5" t="s">
        <v>807</v>
      </c>
      <c r="E34" s="5" t="s">
        <v>898</v>
      </c>
      <c r="F34" s="5" t="s">
        <v>986</v>
      </c>
      <c r="G34" s="5" t="s">
        <v>1076</v>
      </c>
      <c r="H34" s="5" t="s">
        <v>1156</v>
      </c>
      <c r="I34" s="5" t="s">
        <v>2751</v>
      </c>
      <c r="J34" s="5" t="s">
        <v>2648</v>
      </c>
      <c r="K34" s="5" t="s">
        <v>2543</v>
      </c>
      <c r="L34" s="5" t="s">
        <v>2438</v>
      </c>
      <c r="M34" s="5" t="s">
        <v>3593</v>
      </c>
      <c r="N34" s="5" t="s">
        <v>3495</v>
      </c>
    </row>
    <row r="35" spans="1:14" x14ac:dyDescent="0.25">
      <c r="A35" s="9" t="s">
        <v>2214</v>
      </c>
      <c r="B35" s="5" t="s">
        <v>2220</v>
      </c>
      <c r="C35" s="5" t="s">
        <v>2227</v>
      </c>
      <c r="D35" s="5" t="s">
        <v>2234</v>
      </c>
      <c r="E35" s="5" t="s">
        <v>2241</v>
      </c>
      <c r="F35" s="5" t="s">
        <v>2248</v>
      </c>
      <c r="G35" s="5" t="s">
        <v>2255</v>
      </c>
      <c r="H35" s="5" t="s">
        <v>2262</v>
      </c>
      <c r="I35" s="5" t="s">
        <v>2752</v>
      </c>
      <c r="J35" s="5" t="s">
        <v>2649</v>
      </c>
      <c r="K35" s="5" t="s">
        <v>2544</v>
      </c>
      <c r="L35" s="5" t="s">
        <v>2439</v>
      </c>
      <c r="M35" s="5" t="s">
        <v>3594</v>
      </c>
      <c r="N35" s="5" t="s">
        <v>3496</v>
      </c>
    </row>
    <row r="36" spans="1:14" x14ac:dyDescent="0.25">
      <c r="A36" s="9" t="s">
        <v>295</v>
      </c>
      <c r="B36" s="5" t="s">
        <v>296</v>
      </c>
      <c r="C36" s="5" t="s">
        <v>297</v>
      </c>
      <c r="D36" s="5" t="s">
        <v>298</v>
      </c>
      <c r="E36" s="5" t="s">
        <v>899</v>
      </c>
      <c r="F36" s="5" t="s">
        <v>299</v>
      </c>
      <c r="G36" s="5" t="s">
        <v>300</v>
      </c>
      <c r="H36" s="5" t="s">
        <v>301</v>
      </c>
      <c r="I36" s="5" t="s">
        <v>2753</v>
      </c>
      <c r="J36" s="5" t="s">
        <v>2650</v>
      </c>
      <c r="K36" s="5" t="s">
        <v>2545</v>
      </c>
      <c r="L36" s="5" t="s">
        <v>2440</v>
      </c>
      <c r="M36" s="5" t="s">
        <v>3595</v>
      </c>
      <c r="N36" s="5" t="s">
        <v>3497</v>
      </c>
    </row>
    <row r="37" spans="1:14" x14ac:dyDescent="0.25">
      <c r="A37" s="9" t="s">
        <v>493</v>
      </c>
      <c r="B37" s="5" t="s">
        <v>642</v>
      </c>
      <c r="C37" s="5" t="s">
        <v>720</v>
      </c>
      <c r="D37" s="5" t="s">
        <v>808</v>
      </c>
      <c r="E37" s="5" t="s">
        <v>900</v>
      </c>
      <c r="F37" s="5" t="s">
        <v>987</v>
      </c>
      <c r="G37" s="5" t="s">
        <v>1077</v>
      </c>
      <c r="H37" s="5" t="s">
        <v>1157</v>
      </c>
      <c r="I37" s="5" t="s">
        <v>2754</v>
      </c>
      <c r="J37" s="5" t="s">
        <v>2651</v>
      </c>
      <c r="K37" s="5" t="s">
        <v>2546</v>
      </c>
      <c r="L37" s="5" t="s">
        <v>2441</v>
      </c>
      <c r="M37" s="5" t="s">
        <v>3596</v>
      </c>
      <c r="N37" s="5" t="s">
        <v>3498</v>
      </c>
    </row>
    <row r="38" spans="1:14" x14ac:dyDescent="0.25">
      <c r="A38" s="9" t="s">
        <v>102</v>
      </c>
      <c r="B38" s="5" t="s">
        <v>643</v>
      </c>
      <c r="C38" s="5" t="s">
        <v>102</v>
      </c>
      <c r="D38" s="5" t="s">
        <v>103</v>
      </c>
      <c r="E38" s="5" t="s">
        <v>102</v>
      </c>
      <c r="F38" s="5" t="s">
        <v>104</v>
      </c>
      <c r="G38" s="5" t="s">
        <v>1078</v>
      </c>
      <c r="H38" s="5" t="s">
        <v>105</v>
      </c>
      <c r="I38" s="5" t="s">
        <v>2755</v>
      </c>
      <c r="J38" s="5" t="s">
        <v>2652</v>
      </c>
      <c r="K38" s="5" t="s">
        <v>2547</v>
      </c>
      <c r="L38" s="5" t="s">
        <v>2442</v>
      </c>
      <c r="M38" s="5" t="s">
        <v>3597</v>
      </c>
      <c r="N38" s="5" t="s">
        <v>3499</v>
      </c>
    </row>
    <row r="39" spans="1:14" x14ac:dyDescent="0.25">
      <c r="A39" s="9" t="s">
        <v>494</v>
      </c>
      <c r="B39" s="5" t="s">
        <v>644</v>
      </c>
      <c r="C39" s="5" t="s">
        <v>721</v>
      </c>
      <c r="D39" s="5" t="s">
        <v>809</v>
      </c>
      <c r="E39" s="5" t="s">
        <v>901</v>
      </c>
      <c r="F39" s="5" t="s">
        <v>988</v>
      </c>
      <c r="G39" s="5" t="s">
        <v>1079</v>
      </c>
      <c r="H39" s="5" t="s">
        <v>1158</v>
      </c>
      <c r="I39" s="5" t="s">
        <v>2756</v>
      </c>
      <c r="J39" s="5" t="s">
        <v>2653</v>
      </c>
      <c r="K39" s="5" t="s">
        <v>2548</v>
      </c>
      <c r="L39" s="5" t="s">
        <v>2443</v>
      </c>
      <c r="M39" s="5" t="s">
        <v>3598</v>
      </c>
      <c r="N39" s="5" t="s">
        <v>3500</v>
      </c>
    </row>
    <row r="40" spans="1:14" x14ac:dyDescent="0.25">
      <c r="A40" s="9" t="s">
        <v>495</v>
      </c>
      <c r="B40" s="5" t="s">
        <v>1825</v>
      </c>
      <c r="C40" s="5" t="s">
        <v>722</v>
      </c>
      <c r="D40" s="5" t="s">
        <v>810</v>
      </c>
      <c r="E40" s="5" t="s">
        <v>902</v>
      </c>
      <c r="F40" s="5" t="s">
        <v>989</v>
      </c>
      <c r="G40" s="5" t="s">
        <v>1080</v>
      </c>
      <c r="H40" s="5" t="s">
        <v>1159</v>
      </c>
      <c r="I40" s="5" t="s">
        <v>2757</v>
      </c>
      <c r="J40" s="5" t="s">
        <v>2654</v>
      </c>
      <c r="K40" s="5" t="s">
        <v>2549</v>
      </c>
      <c r="L40" s="5" t="s">
        <v>2444</v>
      </c>
      <c r="M40" s="5" t="s">
        <v>3599</v>
      </c>
      <c r="N40" s="5" t="s">
        <v>3501</v>
      </c>
    </row>
    <row r="41" spans="1:14" x14ac:dyDescent="0.25">
      <c r="A41" s="9" t="s">
        <v>496</v>
      </c>
      <c r="B41" s="5" t="s">
        <v>1821</v>
      </c>
      <c r="C41" s="5" t="s">
        <v>723</v>
      </c>
      <c r="D41" s="5" t="s">
        <v>811</v>
      </c>
      <c r="E41" s="5" t="s">
        <v>903</v>
      </c>
      <c r="F41" s="5" t="s">
        <v>990</v>
      </c>
      <c r="G41" s="5" t="s">
        <v>1081</v>
      </c>
      <c r="H41" s="5" t="s">
        <v>1160</v>
      </c>
      <c r="I41" s="5" t="s">
        <v>2758</v>
      </c>
      <c r="J41" s="5" t="s">
        <v>2655</v>
      </c>
      <c r="K41" s="5" t="s">
        <v>2550</v>
      </c>
      <c r="L41" s="5" t="s">
        <v>2445</v>
      </c>
      <c r="M41" s="5" t="s">
        <v>3600</v>
      </c>
      <c r="N41" s="5" t="s">
        <v>3502</v>
      </c>
    </row>
    <row r="42" spans="1:14" x14ac:dyDescent="0.25">
      <c r="A42" s="9" t="s">
        <v>4</v>
      </c>
      <c r="B42" s="5" t="s">
        <v>363</v>
      </c>
      <c r="C42" s="5" t="s">
        <v>381</v>
      </c>
      <c r="D42" s="5" t="s">
        <v>812</v>
      </c>
      <c r="E42" s="5" t="s">
        <v>904</v>
      </c>
      <c r="F42" s="5" t="s">
        <v>991</v>
      </c>
      <c r="G42" s="5" t="s">
        <v>1082</v>
      </c>
      <c r="H42" s="5" t="s">
        <v>470</v>
      </c>
      <c r="I42" s="5" t="s">
        <v>2313</v>
      </c>
      <c r="J42" s="5" t="s">
        <v>2337</v>
      </c>
      <c r="K42" s="5" t="s">
        <v>2551</v>
      </c>
      <c r="L42" s="5" t="s">
        <v>2446</v>
      </c>
      <c r="M42" s="5" t="s">
        <v>3601</v>
      </c>
      <c r="N42" s="5" t="s">
        <v>2313</v>
      </c>
    </row>
    <row r="43" spans="1:14" x14ac:dyDescent="0.25">
      <c r="A43" s="9" t="s">
        <v>497</v>
      </c>
      <c r="B43" s="5" t="s">
        <v>645</v>
      </c>
      <c r="C43" s="5" t="s">
        <v>724</v>
      </c>
      <c r="D43" s="5" t="s">
        <v>813</v>
      </c>
      <c r="E43" s="5" t="s">
        <v>905</v>
      </c>
      <c r="F43" s="5" t="s">
        <v>992</v>
      </c>
      <c r="G43" s="5" t="s">
        <v>1083</v>
      </c>
      <c r="H43" s="5" t="s">
        <v>1161</v>
      </c>
      <c r="I43" s="5" t="s">
        <v>2759</v>
      </c>
      <c r="J43" s="5" t="s">
        <v>2656</v>
      </c>
      <c r="K43" s="5" t="s">
        <v>2552</v>
      </c>
      <c r="L43" s="5" t="s">
        <v>2447</v>
      </c>
      <c r="M43" s="5" t="s">
        <v>3602</v>
      </c>
      <c r="N43" s="5" t="s">
        <v>3503</v>
      </c>
    </row>
    <row r="44" spans="1:14" x14ac:dyDescent="0.25">
      <c r="A44" s="9" t="s">
        <v>498</v>
      </c>
      <c r="B44" s="5" t="s">
        <v>1826</v>
      </c>
      <c r="C44" s="5" t="s">
        <v>725</v>
      </c>
      <c r="D44" s="5" t="s">
        <v>814</v>
      </c>
      <c r="E44" s="5" t="s">
        <v>906</v>
      </c>
      <c r="F44" s="5" t="s">
        <v>993</v>
      </c>
      <c r="G44" s="5" t="s">
        <v>1084</v>
      </c>
      <c r="H44" s="5" t="s">
        <v>1162</v>
      </c>
      <c r="I44" s="5" t="s">
        <v>2760</v>
      </c>
      <c r="J44" s="5" t="s">
        <v>2657</v>
      </c>
      <c r="K44" s="5" t="s">
        <v>2553</v>
      </c>
      <c r="L44" s="5" t="s">
        <v>2448</v>
      </c>
      <c r="M44" s="5" t="s">
        <v>3603</v>
      </c>
      <c r="N44" s="5" t="s">
        <v>3504</v>
      </c>
    </row>
    <row r="45" spans="1:14" x14ac:dyDescent="0.25">
      <c r="A45" s="9" t="s">
        <v>6</v>
      </c>
      <c r="B45" s="5" t="s">
        <v>365</v>
      </c>
      <c r="C45" s="5" t="s">
        <v>385</v>
      </c>
      <c r="D45" s="5" t="s">
        <v>815</v>
      </c>
      <c r="E45" s="5" t="s">
        <v>907</v>
      </c>
      <c r="F45" s="5" t="s">
        <v>994</v>
      </c>
      <c r="G45" s="5" t="s">
        <v>458</v>
      </c>
      <c r="H45" s="5" t="s">
        <v>474</v>
      </c>
      <c r="I45" s="5" t="s">
        <v>2317</v>
      </c>
      <c r="J45" s="5" t="s">
        <v>2341</v>
      </c>
      <c r="K45" s="5" t="s">
        <v>2365</v>
      </c>
      <c r="L45" s="5" t="s">
        <v>2390</v>
      </c>
      <c r="M45" s="5" t="s">
        <v>3604</v>
      </c>
      <c r="N45" s="5" t="s">
        <v>3505</v>
      </c>
    </row>
    <row r="46" spans="1:14" x14ac:dyDescent="0.25">
      <c r="A46" s="9" t="s">
        <v>499</v>
      </c>
      <c r="B46" s="5" t="s">
        <v>646</v>
      </c>
      <c r="C46" s="5" t="s">
        <v>726</v>
      </c>
      <c r="D46" s="5" t="s">
        <v>816</v>
      </c>
      <c r="E46" s="5" t="s">
        <v>908</v>
      </c>
      <c r="F46" s="5" t="s">
        <v>995</v>
      </c>
      <c r="G46" s="5" t="s">
        <v>1085</v>
      </c>
      <c r="H46" s="5" t="s">
        <v>1163</v>
      </c>
      <c r="I46" s="5" t="s">
        <v>2761</v>
      </c>
      <c r="J46" s="5" t="s">
        <v>2658</v>
      </c>
      <c r="K46" s="5" t="s">
        <v>2554</v>
      </c>
      <c r="L46" s="5" t="s">
        <v>2449</v>
      </c>
      <c r="M46" s="5" t="s">
        <v>3605</v>
      </c>
      <c r="N46" s="5" t="s">
        <v>3506</v>
      </c>
    </row>
    <row r="47" spans="1:14" x14ac:dyDescent="0.25">
      <c r="A47" s="9" t="s">
        <v>500</v>
      </c>
      <c r="B47" s="5" t="s">
        <v>647</v>
      </c>
      <c r="C47" s="5" t="s">
        <v>727</v>
      </c>
      <c r="D47" s="5" t="s">
        <v>817</v>
      </c>
      <c r="E47" s="5" t="s">
        <v>909</v>
      </c>
      <c r="F47" s="5" t="s">
        <v>996</v>
      </c>
      <c r="G47" s="5" t="s">
        <v>1086</v>
      </c>
      <c r="H47" s="5" t="s">
        <v>1164</v>
      </c>
      <c r="I47" s="5" t="s">
        <v>2762</v>
      </c>
      <c r="J47" s="5" t="s">
        <v>2659</v>
      </c>
      <c r="K47" s="5" t="s">
        <v>2555</v>
      </c>
      <c r="L47" s="5" t="s">
        <v>2450</v>
      </c>
      <c r="M47" s="5" t="s">
        <v>3606</v>
      </c>
      <c r="N47" s="5" t="s">
        <v>3507</v>
      </c>
    </row>
    <row r="48" spans="1:14" x14ac:dyDescent="0.25">
      <c r="A48" s="9" t="s">
        <v>10</v>
      </c>
      <c r="B48" s="5" t="s">
        <v>366</v>
      </c>
      <c r="C48" s="5" t="s">
        <v>388</v>
      </c>
      <c r="D48" s="5" t="s">
        <v>818</v>
      </c>
      <c r="E48" s="5" t="s">
        <v>910</v>
      </c>
      <c r="F48" s="5" t="s">
        <v>997</v>
      </c>
      <c r="G48" s="5" t="s">
        <v>461</v>
      </c>
      <c r="H48" s="5" t="s">
        <v>1165</v>
      </c>
      <c r="I48" s="5" t="s">
        <v>2320</v>
      </c>
      <c r="J48" s="5" t="s">
        <v>2660</v>
      </c>
      <c r="K48" s="5" t="s">
        <v>2556</v>
      </c>
      <c r="L48" s="5" t="s">
        <v>2393</v>
      </c>
      <c r="M48" s="5" t="s">
        <v>3607</v>
      </c>
      <c r="N48" s="5" t="s">
        <v>3508</v>
      </c>
    </row>
    <row r="49" spans="1:14" x14ac:dyDescent="0.25">
      <c r="A49" s="9" t="s">
        <v>501</v>
      </c>
      <c r="B49" s="5" t="s">
        <v>1822</v>
      </c>
      <c r="C49" s="5" t="s">
        <v>728</v>
      </c>
      <c r="D49" s="5" t="s">
        <v>819</v>
      </c>
      <c r="E49" s="5" t="s">
        <v>911</v>
      </c>
      <c r="F49" s="5" t="s">
        <v>998</v>
      </c>
      <c r="G49" s="5" t="s">
        <v>1087</v>
      </c>
      <c r="H49" s="5" t="s">
        <v>1166</v>
      </c>
      <c r="I49" s="5" t="s">
        <v>2763</v>
      </c>
      <c r="J49" s="5" t="s">
        <v>2661</v>
      </c>
      <c r="K49" s="5" t="s">
        <v>2557</v>
      </c>
      <c r="L49" s="5" t="s">
        <v>2451</v>
      </c>
      <c r="M49" s="5" t="s">
        <v>3608</v>
      </c>
      <c r="N49" s="5" t="s">
        <v>3509</v>
      </c>
    </row>
    <row r="50" spans="1:14" x14ac:dyDescent="0.25">
      <c r="A50" s="9" t="s">
        <v>12</v>
      </c>
      <c r="B50" s="5" t="s">
        <v>369</v>
      </c>
      <c r="C50" s="5" t="s">
        <v>729</v>
      </c>
      <c r="D50" s="5" t="s">
        <v>820</v>
      </c>
      <c r="E50" s="5" t="s">
        <v>912</v>
      </c>
      <c r="F50" s="5" t="s">
        <v>999</v>
      </c>
      <c r="G50" s="5" t="s">
        <v>464</v>
      </c>
      <c r="H50" s="5" t="s">
        <v>480</v>
      </c>
      <c r="I50" s="5" t="s">
        <v>2323</v>
      </c>
      <c r="J50" s="5" t="s">
        <v>2347</v>
      </c>
      <c r="K50" s="5" t="s">
        <v>2371</v>
      </c>
      <c r="L50" s="5" t="s">
        <v>2452</v>
      </c>
      <c r="M50" s="5" t="s">
        <v>3609</v>
      </c>
      <c r="N50" s="5" t="s">
        <v>3510</v>
      </c>
    </row>
    <row r="51" spans="1:14" x14ac:dyDescent="0.25">
      <c r="A51" s="9" t="s">
        <v>502</v>
      </c>
      <c r="B51" s="5" t="s">
        <v>648</v>
      </c>
      <c r="C51" s="5" t="s">
        <v>730</v>
      </c>
      <c r="D51" s="5" t="s">
        <v>821</v>
      </c>
      <c r="E51" s="5" t="s">
        <v>913</v>
      </c>
      <c r="F51" s="5" t="s">
        <v>1000</v>
      </c>
      <c r="G51" s="5" t="s">
        <v>1088</v>
      </c>
      <c r="H51" s="5" t="s">
        <v>1167</v>
      </c>
      <c r="I51" s="5" t="s">
        <v>2764</v>
      </c>
      <c r="J51" s="5" t="s">
        <v>2662</v>
      </c>
      <c r="K51" s="5" t="s">
        <v>2558</v>
      </c>
      <c r="L51" s="5" t="s">
        <v>2453</v>
      </c>
      <c r="M51" s="5" t="s">
        <v>3610</v>
      </c>
      <c r="N51" s="5" t="s">
        <v>3511</v>
      </c>
    </row>
    <row r="52" spans="1:14" x14ac:dyDescent="0.25">
      <c r="A52" s="9" t="s">
        <v>16</v>
      </c>
      <c r="B52" s="5" t="s">
        <v>649</v>
      </c>
      <c r="C52" s="5" t="s">
        <v>731</v>
      </c>
      <c r="D52" s="5" t="s">
        <v>822</v>
      </c>
      <c r="E52" s="5" t="s">
        <v>914</v>
      </c>
      <c r="F52" s="5" t="s">
        <v>1001</v>
      </c>
      <c r="G52" s="5" t="s">
        <v>1089</v>
      </c>
      <c r="H52" s="5" t="s">
        <v>1168</v>
      </c>
      <c r="I52" s="5" t="s">
        <v>2765</v>
      </c>
      <c r="J52" s="5" t="s">
        <v>2663</v>
      </c>
      <c r="K52" s="5" t="s">
        <v>2559</v>
      </c>
      <c r="L52" s="5" t="s">
        <v>2454</v>
      </c>
      <c r="M52" s="5" t="s">
        <v>3611</v>
      </c>
      <c r="N52" s="5" t="s">
        <v>3512</v>
      </c>
    </row>
    <row r="53" spans="1:14" x14ac:dyDescent="0.25">
      <c r="A53" s="9" t="s">
        <v>503</v>
      </c>
      <c r="B53" s="5" t="s">
        <v>370</v>
      </c>
      <c r="C53" s="5" t="s">
        <v>732</v>
      </c>
      <c r="D53" s="5" t="s">
        <v>823</v>
      </c>
      <c r="E53" s="5" t="s">
        <v>915</v>
      </c>
      <c r="F53" s="5" t="s">
        <v>1002</v>
      </c>
      <c r="G53" s="5" t="s">
        <v>1090</v>
      </c>
      <c r="H53" s="5" t="s">
        <v>482</v>
      </c>
      <c r="I53" s="5" t="s">
        <v>2325</v>
      </c>
      <c r="J53" s="5" t="s">
        <v>2664</v>
      </c>
      <c r="K53" s="5" t="s">
        <v>2560</v>
      </c>
      <c r="L53" s="5" t="s">
        <v>2455</v>
      </c>
      <c r="M53" s="5" t="s">
        <v>3612</v>
      </c>
      <c r="N53" s="5" t="s">
        <v>2325</v>
      </c>
    </row>
    <row r="54" spans="1:14" x14ac:dyDescent="0.25">
      <c r="A54" s="9" t="s">
        <v>504</v>
      </c>
      <c r="B54" s="5" t="s">
        <v>650</v>
      </c>
      <c r="C54" s="5" t="s">
        <v>733</v>
      </c>
      <c r="D54" s="5" t="s">
        <v>824</v>
      </c>
      <c r="E54" s="5" t="s">
        <v>916</v>
      </c>
      <c r="F54" s="5" t="s">
        <v>1003</v>
      </c>
      <c r="G54" s="5" t="s">
        <v>504</v>
      </c>
      <c r="H54" s="5" t="s">
        <v>1169</v>
      </c>
      <c r="I54" s="5" t="s">
        <v>2766</v>
      </c>
      <c r="J54" s="5" t="s">
        <v>2665</v>
      </c>
      <c r="K54" s="5" t="s">
        <v>2561</v>
      </c>
      <c r="L54" s="5" t="s">
        <v>2456</v>
      </c>
      <c r="M54" s="5" t="s">
        <v>3613</v>
      </c>
      <c r="N54" s="5" t="s">
        <v>3513</v>
      </c>
    </row>
    <row r="55" spans="1:14" x14ac:dyDescent="0.25">
      <c r="A55" s="9" t="s">
        <v>505</v>
      </c>
      <c r="B55" s="5" t="s">
        <v>651</v>
      </c>
      <c r="C55" s="5" t="s">
        <v>734</v>
      </c>
      <c r="D55" s="5" t="s">
        <v>825</v>
      </c>
      <c r="E55" s="5" t="s">
        <v>917</v>
      </c>
      <c r="F55" s="5" t="s">
        <v>1004</v>
      </c>
      <c r="G55" s="5" t="s">
        <v>1091</v>
      </c>
      <c r="H55" s="5" t="s">
        <v>1170</v>
      </c>
      <c r="I55" s="5" t="s">
        <v>2767</v>
      </c>
      <c r="J55" s="5" t="s">
        <v>2666</v>
      </c>
      <c r="K55" s="5" t="s">
        <v>2562</v>
      </c>
      <c r="L55" s="5" t="s">
        <v>2457</v>
      </c>
      <c r="M55" s="5" t="s">
        <v>3614</v>
      </c>
      <c r="N55" s="5" t="s">
        <v>3514</v>
      </c>
    </row>
    <row r="56" spans="1:14" x14ac:dyDescent="0.25">
      <c r="A56" s="12" t="s">
        <v>506</v>
      </c>
      <c r="B56" s="5" t="s">
        <v>652</v>
      </c>
      <c r="C56" s="5" t="s">
        <v>735</v>
      </c>
      <c r="D56" s="5" t="s">
        <v>826</v>
      </c>
      <c r="E56" s="5" t="s">
        <v>918</v>
      </c>
      <c r="F56" s="5" t="s">
        <v>1005</v>
      </c>
      <c r="G56" s="5" t="s">
        <v>1092</v>
      </c>
      <c r="H56" s="5" t="s">
        <v>1171</v>
      </c>
      <c r="I56" s="5" t="s">
        <v>2768</v>
      </c>
      <c r="J56" s="5" t="s">
        <v>2667</v>
      </c>
      <c r="K56" s="5" t="s">
        <v>2563</v>
      </c>
      <c r="L56" s="5" t="s">
        <v>2458</v>
      </c>
      <c r="M56" s="5" t="s">
        <v>3615</v>
      </c>
      <c r="N56" s="5" t="s">
        <v>3515</v>
      </c>
    </row>
    <row r="57" spans="1:14" x14ac:dyDescent="0.25">
      <c r="A57" s="12" t="s">
        <v>19</v>
      </c>
      <c r="B57" s="5" t="s">
        <v>371</v>
      </c>
      <c r="C57" s="5" t="s">
        <v>19</v>
      </c>
      <c r="D57" s="5" t="s">
        <v>827</v>
      </c>
      <c r="E57" s="5" t="s">
        <v>919</v>
      </c>
      <c r="F57" s="5" t="s">
        <v>19</v>
      </c>
      <c r="G57" s="5" t="s">
        <v>414</v>
      </c>
      <c r="H57" s="5" t="s">
        <v>1172</v>
      </c>
      <c r="I57" s="5" t="s">
        <v>357</v>
      </c>
      <c r="J57" s="5" t="s">
        <v>19</v>
      </c>
      <c r="K57" s="5" t="s">
        <v>2564</v>
      </c>
      <c r="L57" s="5" t="s">
        <v>2459</v>
      </c>
      <c r="M57" s="5" t="s">
        <v>3616</v>
      </c>
      <c r="N57" s="5" t="s">
        <v>3516</v>
      </c>
    </row>
    <row r="58" spans="1:14" x14ac:dyDescent="0.25">
      <c r="A58" s="12" t="s">
        <v>507</v>
      </c>
      <c r="B58" s="5" t="s">
        <v>653</v>
      </c>
      <c r="C58" s="5" t="s">
        <v>736</v>
      </c>
      <c r="D58" s="5" t="s">
        <v>828</v>
      </c>
      <c r="E58" s="5" t="s">
        <v>920</v>
      </c>
      <c r="F58" s="5" t="s">
        <v>1006</v>
      </c>
      <c r="G58" s="5" t="s">
        <v>1093</v>
      </c>
      <c r="H58" s="5" t="s">
        <v>1173</v>
      </c>
      <c r="I58" s="5" t="s">
        <v>2769</v>
      </c>
      <c r="J58" s="5" t="s">
        <v>2668</v>
      </c>
      <c r="K58" s="5" t="s">
        <v>2565</v>
      </c>
      <c r="L58" s="5" t="s">
        <v>2460</v>
      </c>
      <c r="M58" s="5" t="s">
        <v>3617</v>
      </c>
      <c r="N58" s="5" t="s">
        <v>3517</v>
      </c>
    </row>
    <row r="59" spans="1:14" x14ac:dyDescent="0.25">
      <c r="A59" s="12" t="s">
        <v>508</v>
      </c>
      <c r="B59" s="5" t="s">
        <v>654</v>
      </c>
      <c r="C59" s="5" t="s">
        <v>737</v>
      </c>
      <c r="D59" s="5" t="s">
        <v>829</v>
      </c>
      <c r="E59" s="5" t="s">
        <v>921</v>
      </c>
      <c r="F59" s="5" t="s">
        <v>1007</v>
      </c>
      <c r="G59" s="5" t="s">
        <v>1094</v>
      </c>
      <c r="H59" s="5" t="s">
        <v>1174</v>
      </c>
      <c r="I59" s="5" t="s">
        <v>2770</v>
      </c>
      <c r="J59" s="5" t="s">
        <v>2669</v>
      </c>
      <c r="K59" s="5" t="s">
        <v>2566</v>
      </c>
      <c r="L59" s="5" t="s">
        <v>2461</v>
      </c>
      <c r="M59" s="5" t="s">
        <v>3618</v>
      </c>
      <c r="N59" s="5" t="s">
        <v>3518</v>
      </c>
    </row>
    <row r="60" spans="1:14" x14ac:dyDescent="0.25">
      <c r="A60" s="12" t="s">
        <v>509</v>
      </c>
      <c r="B60" s="5" t="s">
        <v>655</v>
      </c>
      <c r="C60" s="5" t="s">
        <v>738</v>
      </c>
      <c r="D60" s="5" t="s">
        <v>830</v>
      </c>
      <c r="E60" s="5" t="s">
        <v>922</v>
      </c>
      <c r="F60" s="5" t="s">
        <v>1008</v>
      </c>
      <c r="G60" s="5" t="s">
        <v>1095</v>
      </c>
      <c r="H60" s="5" t="s">
        <v>1175</v>
      </c>
      <c r="I60" s="5" t="s">
        <v>2771</v>
      </c>
      <c r="J60" s="5" t="s">
        <v>2670</v>
      </c>
      <c r="K60" s="5" t="s">
        <v>2567</v>
      </c>
      <c r="L60" s="5" t="s">
        <v>2462</v>
      </c>
      <c r="M60" s="5" t="s">
        <v>3619</v>
      </c>
      <c r="N60" s="5" t="s">
        <v>3519</v>
      </c>
    </row>
    <row r="61" spans="1:14" x14ac:dyDescent="0.25">
      <c r="A61" s="12" t="s">
        <v>95</v>
      </c>
      <c r="B61" s="5" t="s">
        <v>96</v>
      </c>
      <c r="C61" s="5" t="s">
        <v>97</v>
      </c>
      <c r="D61" s="5" t="s">
        <v>98</v>
      </c>
      <c r="E61" s="5" t="s">
        <v>434</v>
      </c>
      <c r="F61" s="5" t="s">
        <v>99</v>
      </c>
      <c r="G61" s="5" t="s">
        <v>100</v>
      </c>
      <c r="H61" s="5" t="s">
        <v>101</v>
      </c>
      <c r="I61" s="5" t="s">
        <v>2333</v>
      </c>
      <c r="J61" s="5" t="s">
        <v>2357</v>
      </c>
      <c r="K61" s="5" t="s">
        <v>2382</v>
      </c>
      <c r="L61" s="5" t="s">
        <v>2406</v>
      </c>
      <c r="M61" s="5" t="s">
        <v>3620</v>
      </c>
      <c r="N61" s="5" t="s">
        <v>3520</v>
      </c>
    </row>
    <row r="62" spans="1:14" x14ac:dyDescent="0.25">
      <c r="A62" s="12" t="s">
        <v>510</v>
      </c>
      <c r="B62" s="5" t="s">
        <v>656</v>
      </c>
      <c r="C62" s="5" t="s">
        <v>739</v>
      </c>
      <c r="D62" s="5" t="s">
        <v>831</v>
      </c>
      <c r="E62" s="5" t="s">
        <v>739</v>
      </c>
      <c r="F62" s="5" t="s">
        <v>1009</v>
      </c>
      <c r="G62" s="5" t="s">
        <v>1096</v>
      </c>
      <c r="H62" s="5" t="s">
        <v>1176</v>
      </c>
      <c r="I62" s="5" t="s">
        <v>2772</v>
      </c>
      <c r="J62" s="5" t="s">
        <v>2671</v>
      </c>
      <c r="K62" s="5" t="s">
        <v>2568</v>
      </c>
      <c r="L62" s="5" t="s">
        <v>2463</v>
      </c>
      <c r="M62" s="5" t="s">
        <v>3621</v>
      </c>
      <c r="N62" s="5" t="s">
        <v>2772</v>
      </c>
    </row>
    <row r="63" spans="1:14" x14ac:dyDescent="0.25">
      <c r="A63" s="12" t="s">
        <v>511</v>
      </c>
      <c r="B63" s="5" t="s">
        <v>657</v>
      </c>
      <c r="C63" s="5" t="s">
        <v>740</v>
      </c>
      <c r="D63" s="5" t="s">
        <v>832</v>
      </c>
      <c r="E63" s="5" t="s">
        <v>923</v>
      </c>
      <c r="F63" s="5" t="s">
        <v>1010</v>
      </c>
      <c r="G63" s="5" t="s">
        <v>1097</v>
      </c>
      <c r="H63" s="5" t="s">
        <v>1177</v>
      </c>
      <c r="I63" s="5" t="s">
        <v>2773</v>
      </c>
      <c r="J63" s="5" t="s">
        <v>2672</v>
      </c>
      <c r="K63" s="5" t="s">
        <v>2569</v>
      </c>
      <c r="L63" s="5" t="s">
        <v>2464</v>
      </c>
      <c r="M63" s="5" t="s">
        <v>3622</v>
      </c>
      <c r="N63" s="5" t="s">
        <v>2773</v>
      </c>
    </row>
    <row r="64" spans="1:14" x14ac:dyDescent="0.25">
      <c r="A64" s="12" t="s">
        <v>512</v>
      </c>
      <c r="B64" s="5" t="s">
        <v>1827</v>
      </c>
      <c r="C64" s="5" t="s">
        <v>741</v>
      </c>
      <c r="D64" s="5" t="s">
        <v>833</v>
      </c>
      <c r="E64" s="5" t="s">
        <v>924</v>
      </c>
      <c r="F64" s="5" t="s">
        <v>1011</v>
      </c>
      <c r="G64" s="5" t="s">
        <v>1098</v>
      </c>
      <c r="H64" s="5" t="s">
        <v>1178</v>
      </c>
      <c r="I64" s="5" t="s">
        <v>2774</v>
      </c>
      <c r="J64" s="5" t="s">
        <v>2673</v>
      </c>
      <c r="K64" s="5" t="s">
        <v>2570</v>
      </c>
      <c r="L64" s="5" t="s">
        <v>2465</v>
      </c>
      <c r="M64" s="5" t="s">
        <v>3623</v>
      </c>
      <c r="N64" s="5" t="s">
        <v>3521</v>
      </c>
    </row>
    <row r="65" spans="1:14" x14ac:dyDescent="0.25">
      <c r="A65" s="12" t="s">
        <v>513</v>
      </c>
      <c r="B65" s="5" t="s">
        <v>658</v>
      </c>
      <c r="C65" s="5" t="s">
        <v>742</v>
      </c>
      <c r="D65" s="5" t="s">
        <v>834</v>
      </c>
      <c r="E65" s="5" t="s">
        <v>925</v>
      </c>
      <c r="F65" s="5" t="s">
        <v>1012</v>
      </c>
      <c r="G65" s="5" t="s">
        <v>1099</v>
      </c>
      <c r="H65" s="5" t="s">
        <v>1179</v>
      </c>
      <c r="I65" s="5" t="s">
        <v>2775</v>
      </c>
      <c r="J65" s="5" t="s">
        <v>2674</v>
      </c>
      <c r="K65" s="5" t="s">
        <v>2571</v>
      </c>
      <c r="L65" s="5" t="s">
        <v>2466</v>
      </c>
      <c r="M65" s="5" t="s">
        <v>3624</v>
      </c>
      <c r="N65" s="5" t="s">
        <v>3522</v>
      </c>
    </row>
    <row r="66" spans="1:14" x14ac:dyDescent="0.25">
      <c r="A66" s="12" t="s">
        <v>514</v>
      </c>
      <c r="B66" s="5" t="s">
        <v>659</v>
      </c>
      <c r="C66" s="5" t="s">
        <v>743</v>
      </c>
      <c r="D66" s="5" t="s">
        <v>835</v>
      </c>
      <c r="E66" s="5" t="s">
        <v>926</v>
      </c>
      <c r="F66" s="5" t="s">
        <v>1013</v>
      </c>
      <c r="G66" s="5" t="s">
        <v>1100</v>
      </c>
      <c r="H66" s="5" t="s">
        <v>1180</v>
      </c>
      <c r="I66" s="5" t="s">
        <v>2776</v>
      </c>
      <c r="J66" s="5" t="s">
        <v>2675</v>
      </c>
      <c r="K66" s="5" t="s">
        <v>2572</v>
      </c>
      <c r="L66" s="5" t="s">
        <v>2467</v>
      </c>
      <c r="M66" s="5" t="s">
        <v>3625</v>
      </c>
      <c r="N66" s="5" t="s">
        <v>3523</v>
      </c>
    </row>
    <row r="67" spans="1:14" x14ac:dyDescent="0.25">
      <c r="A67" s="12" t="s">
        <v>515</v>
      </c>
      <c r="B67" s="5" t="s">
        <v>660</v>
      </c>
      <c r="C67" s="5" t="s">
        <v>744</v>
      </c>
      <c r="D67" s="5" t="s">
        <v>836</v>
      </c>
      <c r="E67" s="5" t="s">
        <v>927</v>
      </c>
      <c r="F67" s="5" t="s">
        <v>1014</v>
      </c>
      <c r="G67" s="5" t="s">
        <v>1101</v>
      </c>
      <c r="H67" s="5" t="s">
        <v>1181</v>
      </c>
      <c r="I67" s="5" t="s">
        <v>2777</v>
      </c>
      <c r="J67" s="5" t="s">
        <v>2676</v>
      </c>
      <c r="K67" s="5" t="s">
        <v>2573</v>
      </c>
      <c r="L67" s="5" t="s">
        <v>2468</v>
      </c>
      <c r="M67" s="5" t="s">
        <v>3626</v>
      </c>
      <c r="N67" s="5" t="s">
        <v>3524</v>
      </c>
    </row>
    <row r="68" spans="1:14" x14ac:dyDescent="0.25">
      <c r="A68" s="12" t="s">
        <v>9</v>
      </c>
      <c r="B68" s="5" t="s">
        <v>661</v>
      </c>
      <c r="C68" s="5" t="s">
        <v>745</v>
      </c>
      <c r="D68" s="5" t="s">
        <v>837</v>
      </c>
      <c r="E68" s="5" t="s">
        <v>928</v>
      </c>
      <c r="F68" s="5" t="s">
        <v>1015</v>
      </c>
      <c r="G68" s="5" t="s">
        <v>1102</v>
      </c>
      <c r="H68" s="5" t="s">
        <v>1182</v>
      </c>
      <c r="I68" s="5" t="s">
        <v>2778</v>
      </c>
      <c r="J68" s="5" t="s">
        <v>2677</v>
      </c>
      <c r="K68" s="5" t="s">
        <v>2574</v>
      </c>
      <c r="L68" s="5" t="s">
        <v>2469</v>
      </c>
      <c r="M68" s="5" t="s">
        <v>3627</v>
      </c>
      <c r="N68" s="5" t="s">
        <v>3525</v>
      </c>
    </row>
    <row r="69" spans="1:14" x14ac:dyDescent="0.25">
      <c r="A69" s="12" t="s">
        <v>23</v>
      </c>
      <c r="B69" s="5" t="s">
        <v>1843</v>
      </c>
      <c r="C69" s="5" t="s">
        <v>746</v>
      </c>
      <c r="D69" s="5" t="s">
        <v>23</v>
      </c>
      <c r="E69" s="5" t="s">
        <v>23</v>
      </c>
      <c r="F69" s="5" t="s">
        <v>23</v>
      </c>
      <c r="G69" s="5" t="s">
        <v>23</v>
      </c>
      <c r="H69" s="5" t="s">
        <v>1183</v>
      </c>
      <c r="I69" s="5" t="s">
        <v>2779</v>
      </c>
      <c r="J69" s="5" t="s">
        <v>2678</v>
      </c>
      <c r="K69" s="5" t="s">
        <v>2575</v>
      </c>
      <c r="L69" s="5" t="s">
        <v>2470</v>
      </c>
      <c r="M69" s="5" t="s">
        <v>3628</v>
      </c>
      <c r="N69" s="5" t="s">
        <v>2779</v>
      </c>
    </row>
    <row r="70" spans="1:14" x14ac:dyDescent="0.25">
      <c r="A70" s="12" t="s">
        <v>26</v>
      </c>
      <c r="B70" s="5" t="s">
        <v>1845</v>
      </c>
      <c r="C70" s="5" t="s">
        <v>26</v>
      </c>
      <c r="D70" s="5" t="s">
        <v>838</v>
      </c>
      <c r="E70" s="5" t="s">
        <v>929</v>
      </c>
      <c r="F70" s="5" t="s">
        <v>1016</v>
      </c>
      <c r="G70" s="5" t="s">
        <v>26</v>
      </c>
      <c r="H70" s="5" t="s">
        <v>1184</v>
      </c>
      <c r="I70" s="5" t="s">
        <v>26</v>
      </c>
      <c r="J70" s="5" t="s">
        <v>2679</v>
      </c>
      <c r="K70" s="5" t="s">
        <v>2576</v>
      </c>
      <c r="L70" s="5" t="s">
        <v>2471</v>
      </c>
      <c r="M70" s="5" t="s">
        <v>3629</v>
      </c>
      <c r="N70" s="5" t="s">
        <v>3526</v>
      </c>
    </row>
    <row r="71" spans="1:14" x14ac:dyDescent="0.25">
      <c r="A71" s="12" t="s">
        <v>27</v>
      </c>
      <c r="B71" s="5" t="s">
        <v>1844</v>
      </c>
      <c r="C71" s="5" t="s">
        <v>747</v>
      </c>
      <c r="D71" s="5" t="s">
        <v>839</v>
      </c>
      <c r="E71" s="5" t="s">
        <v>930</v>
      </c>
      <c r="F71" s="5" t="s">
        <v>1017</v>
      </c>
      <c r="G71" s="5" t="s">
        <v>1103</v>
      </c>
      <c r="H71" s="5" t="s">
        <v>1185</v>
      </c>
      <c r="I71" s="5" t="s">
        <v>2780</v>
      </c>
      <c r="J71" s="5" t="s">
        <v>2680</v>
      </c>
      <c r="K71" s="5" t="s">
        <v>2577</v>
      </c>
      <c r="L71" s="5" t="s">
        <v>2472</v>
      </c>
      <c r="M71" s="5" t="s">
        <v>3630</v>
      </c>
      <c r="N71" s="5" t="s">
        <v>3527</v>
      </c>
    </row>
    <row r="72" spans="1:14" x14ac:dyDescent="0.25">
      <c r="A72" s="12" t="s">
        <v>516</v>
      </c>
      <c r="B72" s="5" t="s">
        <v>662</v>
      </c>
      <c r="C72" s="5" t="s">
        <v>748</v>
      </c>
      <c r="D72" s="5" t="s">
        <v>840</v>
      </c>
      <c r="E72" s="5" t="s">
        <v>931</v>
      </c>
      <c r="F72" s="5" t="s">
        <v>1018</v>
      </c>
      <c r="G72" s="5" t="s">
        <v>1104</v>
      </c>
      <c r="H72" s="5" t="s">
        <v>1186</v>
      </c>
      <c r="I72" s="5" t="s">
        <v>2781</v>
      </c>
      <c r="J72" s="5" t="s">
        <v>2681</v>
      </c>
      <c r="K72" s="5" t="s">
        <v>2578</v>
      </c>
      <c r="L72" s="5" t="s">
        <v>2473</v>
      </c>
      <c r="M72" s="5" t="s">
        <v>3631</v>
      </c>
      <c r="N72" s="5" t="s">
        <v>3528</v>
      </c>
    </row>
    <row r="73" spans="1:14" x14ac:dyDescent="0.25">
      <c r="A73" s="12" t="s">
        <v>35</v>
      </c>
      <c r="B73" s="5" t="s">
        <v>663</v>
      </c>
      <c r="C73" s="5" t="s">
        <v>749</v>
      </c>
      <c r="D73" s="5" t="s">
        <v>841</v>
      </c>
      <c r="E73" s="5" t="s">
        <v>932</v>
      </c>
      <c r="F73" s="5" t="s">
        <v>1019</v>
      </c>
      <c r="G73" s="5" t="s">
        <v>1105</v>
      </c>
      <c r="H73" s="5" t="s">
        <v>1187</v>
      </c>
      <c r="I73" s="5" t="s">
        <v>2782</v>
      </c>
      <c r="J73" s="5" t="s">
        <v>2682</v>
      </c>
      <c r="K73" s="5" t="s">
        <v>2579</v>
      </c>
      <c r="L73" s="5" t="s">
        <v>2474</v>
      </c>
      <c r="M73" s="5" t="s">
        <v>3632</v>
      </c>
      <c r="N73" s="5" t="s">
        <v>3529</v>
      </c>
    </row>
    <row r="74" spans="1:14" x14ac:dyDescent="0.25">
      <c r="A74" s="12" t="s">
        <v>7</v>
      </c>
      <c r="B74" s="5" t="s">
        <v>664</v>
      </c>
      <c r="C74" s="5" t="s">
        <v>750</v>
      </c>
      <c r="D74" s="5" t="s">
        <v>842</v>
      </c>
      <c r="E74" s="5" t="s">
        <v>933</v>
      </c>
      <c r="F74" s="5" t="s">
        <v>1020</v>
      </c>
      <c r="G74" s="5" t="s">
        <v>1106</v>
      </c>
      <c r="H74" s="5" t="s">
        <v>1188</v>
      </c>
      <c r="I74" s="5" t="s">
        <v>2783</v>
      </c>
      <c r="J74" s="5" t="s">
        <v>2683</v>
      </c>
      <c r="K74" s="5" t="s">
        <v>2580</v>
      </c>
      <c r="L74" s="5" t="s">
        <v>2475</v>
      </c>
      <c r="M74" s="5" t="s">
        <v>3633</v>
      </c>
      <c r="N74" s="5" t="s">
        <v>3530</v>
      </c>
    </row>
    <row r="75" spans="1:14" x14ac:dyDescent="0.25">
      <c r="A75" s="12" t="s">
        <v>517</v>
      </c>
      <c r="B75" s="5" t="s">
        <v>665</v>
      </c>
      <c r="C75" s="5" t="s">
        <v>751</v>
      </c>
      <c r="D75" s="5" t="s">
        <v>843</v>
      </c>
      <c r="E75" s="5" t="s">
        <v>934</v>
      </c>
      <c r="F75" s="5" t="s">
        <v>1021</v>
      </c>
      <c r="G75" s="5" t="s">
        <v>1107</v>
      </c>
      <c r="H75" s="5" t="s">
        <v>1189</v>
      </c>
      <c r="I75" s="5" t="s">
        <v>2784</v>
      </c>
      <c r="J75" s="5" t="s">
        <v>2684</v>
      </c>
      <c r="K75" s="5" t="s">
        <v>2581</v>
      </c>
      <c r="L75" s="5" t="s">
        <v>2476</v>
      </c>
      <c r="M75" s="5" t="s">
        <v>3634</v>
      </c>
      <c r="N75" s="5" t="s">
        <v>2784</v>
      </c>
    </row>
    <row r="76" spans="1:14" x14ac:dyDescent="0.25">
      <c r="A76" s="12" t="s">
        <v>518</v>
      </c>
      <c r="B76" s="5" t="s">
        <v>666</v>
      </c>
      <c r="C76" s="5" t="s">
        <v>752</v>
      </c>
      <c r="D76" s="5" t="s">
        <v>844</v>
      </c>
      <c r="E76" s="5" t="s">
        <v>935</v>
      </c>
      <c r="F76" s="5" t="s">
        <v>1022</v>
      </c>
      <c r="G76" s="5" t="s">
        <v>1108</v>
      </c>
      <c r="H76" s="5" t="s">
        <v>1190</v>
      </c>
      <c r="I76" s="5" t="s">
        <v>2785</v>
      </c>
      <c r="J76" s="5" t="s">
        <v>2685</v>
      </c>
      <c r="K76" s="5" t="s">
        <v>2582</v>
      </c>
      <c r="L76" s="5" t="s">
        <v>2477</v>
      </c>
      <c r="M76" s="5" t="s">
        <v>3635</v>
      </c>
      <c r="N76" s="5" t="s">
        <v>3531</v>
      </c>
    </row>
    <row r="77" spans="1:14" x14ac:dyDescent="0.25">
      <c r="A77" s="12" t="s">
        <v>519</v>
      </c>
      <c r="B77" s="5" t="s">
        <v>667</v>
      </c>
      <c r="C77" s="5" t="s">
        <v>753</v>
      </c>
      <c r="D77" s="5" t="s">
        <v>845</v>
      </c>
      <c r="E77" s="5" t="s">
        <v>936</v>
      </c>
      <c r="F77" s="5" t="s">
        <v>1023</v>
      </c>
      <c r="G77" s="5" t="s">
        <v>1109</v>
      </c>
      <c r="H77" s="5" t="s">
        <v>1191</v>
      </c>
      <c r="I77" s="5" t="s">
        <v>2786</v>
      </c>
      <c r="J77" s="5" t="s">
        <v>2686</v>
      </c>
      <c r="K77" s="5" t="s">
        <v>2583</v>
      </c>
      <c r="L77" s="5" t="s">
        <v>2478</v>
      </c>
      <c r="M77" s="5" t="s">
        <v>3636</v>
      </c>
      <c r="N77" s="5" t="s">
        <v>2786</v>
      </c>
    </row>
    <row r="78" spans="1:14" x14ac:dyDescent="0.25">
      <c r="A78" s="12" t="s">
        <v>2208</v>
      </c>
      <c r="B78" s="5" t="s">
        <v>2216</v>
      </c>
      <c r="C78" s="5" t="s">
        <v>2223</v>
      </c>
      <c r="D78" s="5" t="s">
        <v>2230</v>
      </c>
      <c r="E78" s="5" t="s">
        <v>2237</v>
      </c>
      <c r="F78" s="5" t="s">
        <v>2244</v>
      </c>
      <c r="G78" s="5" t="s">
        <v>2251</v>
      </c>
      <c r="H78" s="5" t="s">
        <v>2258</v>
      </c>
      <c r="I78" s="5" t="s">
        <v>2787</v>
      </c>
      <c r="J78" s="5" t="s">
        <v>2687</v>
      </c>
      <c r="K78" s="5" t="s">
        <v>2584</v>
      </c>
      <c r="L78" s="5" t="s">
        <v>2479</v>
      </c>
      <c r="M78" s="5" t="s">
        <v>3637</v>
      </c>
      <c r="N78" s="5" t="s">
        <v>3532</v>
      </c>
    </row>
    <row r="79" spans="1:14" x14ac:dyDescent="0.25">
      <c r="A79" s="12" t="s">
        <v>520</v>
      </c>
      <c r="B79" s="5" t="s">
        <v>668</v>
      </c>
      <c r="C79" s="5" t="s">
        <v>754</v>
      </c>
      <c r="D79" s="5" t="s">
        <v>846</v>
      </c>
      <c r="E79" s="5" t="s">
        <v>937</v>
      </c>
      <c r="F79" s="5" t="s">
        <v>1024</v>
      </c>
      <c r="G79" s="5" t="s">
        <v>1110</v>
      </c>
      <c r="H79" s="5" t="s">
        <v>1192</v>
      </c>
      <c r="I79" s="5" t="s">
        <v>2788</v>
      </c>
      <c r="J79" s="5" t="s">
        <v>2688</v>
      </c>
      <c r="K79" s="5" t="s">
        <v>2585</v>
      </c>
      <c r="L79" s="5" t="s">
        <v>2480</v>
      </c>
      <c r="M79" s="5" t="s">
        <v>3638</v>
      </c>
      <c r="N79" s="5" t="s">
        <v>3533</v>
      </c>
    </row>
    <row r="80" spans="1:14" x14ac:dyDescent="0.25">
      <c r="A80" s="12" t="s">
        <v>521</v>
      </c>
      <c r="B80" s="5" t="s">
        <v>669</v>
      </c>
      <c r="C80" s="5" t="s">
        <v>755</v>
      </c>
      <c r="D80" s="5" t="s">
        <v>521</v>
      </c>
      <c r="E80" s="5" t="s">
        <v>521</v>
      </c>
      <c r="F80" s="5" t="s">
        <v>1025</v>
      </c>
      <c r="G80" s="5" t="s">
        <v>1111</v>
      </c>
      <c r="H80" s="5" t="s">
        <v>1193</v>
      </c>
      <c r="I80" s="5" t="s">
        <v>2789</v>
      </c>
      <c r="J80" s="5" t="s">
        <v>2689</v>
      </c>
      <c r="K80" s="5" t="s">
        <v>2586</v>
      </c>
      <c r="L80" s="5" t="s">
        <v>2481</v>
      </c>
      <c r="M80" s="5" t="s">
        <v>3639</v>
      </c>
      <c r="N80" s="5" t="s">
        <v>3534</v>
      </c>
    </row>
    <row r="81" spans="1:14" x14ac:dyDescent="0.25">
      <c r="A81" s="12" t="s">
        <v>2211</v>
      </c>
      <c r="B81" s="5" t="s">
        <v>2217</v>
      </c>
      <c r="C81" s="5" t="s">
        <v>2224</v>
      </c>
      <c r="D81" s="5" t="s">
        <v>2231</v>
      </c>
      <c r="E81" s="5" t="s">
        <v>2238</v>
      </c>
      <c r="F81" s="5" t="s">
        <v>2245</v>
      </c>
      <c r="G81" s="5" t="s">
        <v>2252</v>
      </c>
      <c r="H81" s="5" t="s">
        <v>2259</v>
      </c>
      <c r="I81" s="5" t="s">
        <v>2790</v>
      </c>
      <c r="J81" s="5" t="s">
        <v>2690</v>
      </c>
      <c r="K81" s="5" t="s">
        <v>2587</v>
      </c>
      <c r="L81" s="5" t="s">
        <v>2482</v>
      </c>
      <c r="M81" s="5" t="s">
        <v>3640</v>
      </c>
      <c r="N81" s="5" t="s">
        <v>3535</v>
      </c>
    </row>
    <row r="82" spans="1:14" x14ac:dyDescent="0.25">
      <c r="A82" s="12" t="s">
        <v>522</v>
      </c>
      <c r="B82" s="5" t="s">
        <v>670</v>
      </c>
      <c r="C82" s="5" t="s">
        <v>756</v>
      </c>
      <c r="D82" s="5" t="s">
        <v>847</v>
      </c>
      <c r="E82" s="5" t="s">
        <v>938</v>
      </c>
      <c r="F82" s="5" t="s">
        <v>1026</v>
      </c>
      <c r="G82" s="5" t="s">
        <v>1112</v>
      </c>
      <c r="H82" s="5" t="s">
        <v>1194</v>
      </c>
      <c r="I82" s="5" t="s">
        <v>2791</v>
      </c>
      <c r="J82" s="5" t="s">
        <v>2691</v>
      </c>
      <c r="K82" s="5" t="s">
        <v>2588</v>
      </c>
      <c r="L82" s="5" t="s">
        <v>2483</v>
      </c>
      <c r="M82" s="5" t="s">
        <v>3641</v>
      </c>
      <c r="N82" s="5" t="s">
        <v>3536</v>
      </c>
    </row>
    <row r="83" spans="1:14" x14ac:dyDescent="0.25">
      <c r="A83" s="12" t="s">
        <v>21</v>
      </c>
      <c r="B83" s="5" t="s">
        <v>171</v>
      </c>
      <c r="C83" s="5" t="s">
        <v>172</v>
      </c>
      <c r="D83" s="5" t="s">
        <v>173</v>
      </c>
      <c r="E83" s="5" t="s">
        <v>174</v>
      </c>
      <c r="F83" s="5" t="s">
        <v>175</v>
      </c>
      <c r="G83" s="5" t="s">
        <v>176</v>
      </c>
      <c r="H83" s="5" t="s">
        <v>177</v>
      </c>
      <c r="I83" s="5" t="s">
        <v>2792</v>
      </c>
      <c r="J83" s="5" t="s">
        <v>2692</v>
      </c>
      <c r="K83" s="5" t="s">
        <v>2589</v>
      </c>
      <c r="L83" s="5" t="s">
        <v>2484</v>
      </c>
      <c r="M83" s="5" t="s">
        <v>3642</v>
      </c>
      <c r="N83" s="5" t="s">
        <v>3537</v>
      </c>
    </row>
    <row r="84" spans="1:14" x14ac:dyDescent="0.25">
      <c r="A84" s="12" t="s">
        <v>523</v>
      </c>
      <c r="B84" s="5" t="s">
        <v>671</v>
      </c>
      <c r="C84" s="5" t="s">
        <v>757</v>
      </c>
      <c r="D84" s="5" t="s">
        <v>848</v>
      </c>
      <c r="E84" s="5" t="s">
        <v>939</v>
      </c>
      <c r="F84" s="5" t="s">
        <v>1027</v>
      </c>
      <c r="G84" s="5" t="s">
        <v>1113</v>
      </c>
      <c r="H84" s="5" t="s">
        <v>1195</v>
      </c>
      <c r="I84" s="5" t="s">
        <v>2793</v>
      </c>
      <c r="J84" s="5" t="s">
        <v>2693</v>
      </c>
      <c r="K84" s="5" t="s">
        <v>2590</v>
      </c>
      <c r="L84" s="5" t="s">
        <v>2485</v>
      </c>
      <c r="M84" s="5" t="s">
        <v>3643</v>
      </c>
      <c r="N84" s="5" t="s">
        <v>3538</v>
      </c>
    </row>
    <row r="85" spans="1:14" x14ac:dyDescent="0.25">
      <c r="A85" s="12" t="s">
        <v>524</v>
      </c>
      <c r="B85" s="5" t="s">
        <v>672</v>
      </c>
      <c r="C85" s="5" t="s">
        <v>758</v>
      </c>
      <c r="D85" s="5" t="s">
        <v>849</v>
      </c>
      <c r="E85" s="5" t="s">
        <v>940</v>
      </c>
      <c r="F85" s="5" t="s">
        <v>849</v>
      </c>
      <c r="G85" s="5" t="s">
        <v>849</v>
      </c>
      <c r="H85" s="5" t="s">
        <v>1196</v>
      </c>
      <c r="I85" s="5" t="s">
        <v>2794</v>
      </c>
      <c r="J85" s="5" t="s">
        <v>2694</v>
      </c>
      <c r="K85" s="5" t="s">
        <v>2591</v>
      </c>
      <c r="L85" s="5" t="s">
        <v>2486</v>
      </c>
      <c r="M85" s="5" t="s">
        <v>3644</v>
      </c>
      <c r="N85" s="5" t="s">
        <v>2794</v>
      </c>
    </row>
    <row r="86" spans="1:14" x14ac:dyDescent="0.25">
      <c r="A86" s="12" t="s">
        <v>525</v>
      </c>
      <c r="B86" s="5" t="s">
        <v>673</v>
      </c>
      <c r="C86" s="5" t="s">
        <v>759</v>
      </c>
      <c r="D86" s="5" t="s">
        <v>850</v>
      </c>
      <c r="E86" s="5" t="s">
        <v>941</v>
      </c>
      <c r="F86" s="5" t="s">
        <v>1028</v>
      </c>
      <c r="G86" s="5" t="s">
        <v>1114</v>
      </c>
      <c r="H86" s="5" t="s">
        <v>1197</v>
      </c>
      <c r="I86" s="5" t="s">
        <v>2795</v>
      </c>
      <c r="J86" s="5" t="s">
        <v>2695</v>
      </c>
      <c r="K86" s="5" t="s">
        <v>2592</v>
      </c>
      <c r="L86" s="5" t="s">
        <v>2487</v>
      </c>
      <c r="M86" s="5" t="s">
        <v>3645</v>
      </c>
      <c r="N86" s="5" t="s">
        <v>3539</v>
      </c>
    </row>
    <row r="87" spans="1:14" x14ac:dyDescent="0.25">
      <c r="A87" s="12" t="s">
        <v>526</v>
      </c>
      <c r="B87" s="5" t="s">
        <v>674</v>
      </c>
      <c r="C87" s="5" t="s">
        <v>760</v>
      </c>
      <c r="D87" s="5" t="s">
        <v>851</v>
      </c>
      <c r="E87" s="5" t="s">
        <v>942</v>
      </c>
      <c r="F87" s="5" t="s">
        <v>1029</v>
      </c>
      <c r="G87" s="5" t="s">
        <v>1115</v>
      </c>
      <c r="H87" s="5" t="s">
        <v>1198</v>
      </c>
      <c r="I87" s="5" t="s">
        <v>2796</v>
      </c>
      <c r="J87" s="5" t="s">
        <v>2696</v>
      </c>
      <c r="K87" s="5" t="s">
        <v>2593</v>
      </c>
      <c r="L87" s="5" t="s">
        <v>2488</v>
      </c>
      <c r="M87" s="5" t="s">
        <v>3646</v>
      </c>
      <c r="N87" s="5" t="s">
        <v>3540</v>
      </c>
    </row>
    <row r="88" spans="1:14" x14ac:dyDescent="0.25">
      <c r="A88" s="12" t="s">
        <v>527</v>
      </c>
      <c r="B88" s="5" t="s">
        <v>675</v>
      </c>
      <c r="C88" s="5" t="s">
        <v>527</v>
      </c>
      <c r="D88" s="5" t="s">
        <v>852</v>
      </c>
      <c r="E88" s="5" t="s">
        <v>943</v>
      </c>
      <c r="F88" s="5" t="s">
        <v>1030</v>
      </c>
      <c r="G88" s="5" t="s">
        <v>1116</v>
      </c>
      <c r="H88" s="5" t="s">
        <v>1199</v>
      </c>
      <c r="I88" s="5" t="s">
        <v>527</v>
      </c>
      <c r="J88" s="5" t="s">
        <v>2697</v>
      </c>
      <c r="K88" s="5" t="s">
        <v>2594</v>
      </c>
      <c r="L88" s="5" t="s">
        <v>2489</v>
      </c>
      <c r="M88" s="5" t="s">
        <v>3647</v>
      </c>
      <c r="N88" s="5" t="s">
        <v>527</v>
      </c>
    </row>
    <row r="89" spans="1:14" x14ac:dyDescent="0.25">
      <c r="A89" s="12" t="s">
        <v>4057</v>
      </c>
      <c r="B89" s="5" t="s">
        <v>4069</v>
      </c>
      <c r="C89" s="5" t="s">
        <v>4068</v>
      </c>
      <c r="D89" s="5" t="s">
        <v>4065</v>
      </c>
      <c r="E89" s="5" t="s">
        <v>4067</v>
      </c>
      <c r="F89" s="5" t="s">
        <v>4066</v>
      </c>
      <c r="G89" s="5" t="s">
        <v>4065</v>
      </c>
      <c r="H89" s="5" t="s">
        <v>4064</v>
      </c>
      <c r="I89" s="5" t="s">
        <v>4063</v>
      </c>
      <c r="J89" s="5" t="s">
        <v>4062</v>
      </c>
      <c r="K89" s="5" t="s">
        <v>4061</v>
      </c>
      <c r="L89" s="5" t="s">
        <v>4060</v>
      </c>
      <c r="M89" s="5" t="s">
        <v>4059</v>
      </c>
      <c r="N89" s="5" t="s">
        <v>4058</v>
      </c>
    </row>
    <row r="90" spans="1:14" x14ac:dyDescent="0.25">
      <c r="A90" s="12" t="s">
        <v>528</v>
      </c>
      <c r="B90" s="5" t="s">
        <v>676</v>
      </c>
      <c r="C90" s="5" t="s">
        <v>761</v>
      </c>
      <c r="D90" s="5" t="s">
        <v>853</v>
      </c>
      <c r="E90" s="5" t="s">
        <v>944</v>
      </c>
      <c r="F90" s="5" t="s">
        <v>1031</v>
      </c>
      <c r="G90" s="5" t="s">
        <v>853</v>
      </c>
      <c r="H90" s="5" t="s">
        <v>1200</v>
      </c>
      <c r="I90" s="5" t="s">
        <v>2797</v>
      </c>
      <c r="J90" s="5" t="s">
        <v>2698</v>
      </c>
      <c r="K90" s="5" t="s">
        <v>2595</v>
      </c>
      <c r="L90" s="5" t="s">
        <v>2490</v>
      </c>
      <c r="M90" s="5" t="s">
        <v>3648</v>
      </c>
      <c r="N90" s="5" t="s">
        <v>3541</v>
      </c>
    </row>
    <row r="91" spans="1:14" x14ac:dyDescent="0.25">
      <c r="A91" s="12" t="s">
        <v>529</v>
      </c>
      <c r="B91" s="5" t="s">
        <v>1823</v>
      </c>
      <c r="C91" s="5" t="s">
        <v>762</v>
      </c>
      <c r="D91" s="5" t="s">
        <v>854</v>
      </c>
      <c r="E91" s="5" t="s">
        <v>945</v>
      </c>
      <c r="F91" s="5" t="s">
        <v>1032</v>
      </c>
      <c r="G91" s="5" t="s">
        <v>1117</v>
      </c>
      <c r="H91" s="5" t="s">
        <v>1201</v>
      </c>
      <c r="I91" s="5" t="s">
        <v>2798</v>
      </c>
      <c r="J91" s="5" t="s">
        <v>2699</v>
      </c>
      <c r="K91" s="5" t="s">
        <v>2596</v>
      </c>
      <c r="L91" s="5" t="s">
        <v>2491</v>
      </c>
      <c r="M91" s="5" t="s">
        <v>3649</v>
      </c>
      <c r="N91" s="5" t="s">
        <v>3542</v>
      </c>
    </row>
    <row r="92" spans="1:14" x14ac:dyDescent="0.25">
      <c r="A92" s="12" t="s">
        <v>530</v>
      </c>
      <c r="B92" s="5" t="s">
        <v>677</v>
      </c>
      <c r="C92" s="5" t="s">
        <v>763</v>
      </c>
      <c r="D92" s="5" t="s">
        <v>855</v>
      </c>
      <c r="E92" s="5" t="s">
        <v>946</v>
      </c>
      <c r="F92" s="5" t="s">
        <v>1033</v>
      </c>
      <c r="G92" s="5" t="s">
        <v>1118</v>
      </c>
      <c r="H92" s="5" t="s">
        <v>1202</v>
      </c>
      <c r="I92" s="5" t="s">
        <v>2799</v>
      </c>
      <c r="J92" s="5" t="s">
        <v>2700</v>
      </c>
      <c r="K92" s="5" t="s">
        <v>2597</v>
      </c>
      <c r="L92" s="5" t="s">
        <v>2492</v>
      </c>
      <c r="M92" s="5" t="s">
        <v>3650</v>
      </c>
      <c r="N92" s="5" t="s">
        <v>3543</v>
      </c>
    </row>
    <row r="93" spans="1:14" x14ac:dyDescent="0.25">
      <c r="A93" s="12" t="s">
        <v>531</v>
      </c>
      <c r="B93" s="5" t="s">
        <v>678</v>
      </c>
      <c r="C93" s="5" t="s">
        <v>764</v>
      </c>
      <c r="D93" s="5" t="s">
        <v>856</v>
      </c>
      <c r="E93" s="5" t="s">
        <v>531</v>
      </c>
      <c r="F93" s="5" t="s">
        <v>1034</v>
      </c>
      <c r="G93" s="5" t="s">
        <v>1119</v>
      </c>
      <c r="H93" s="5" t="s">
        <v>1203</v>
      </c>
      <c r="I93" s="5" t="s">
        <v>2800</v>
      </c>
      <c r="J93" s="5" t="s">
        <v>2701</v>
      </c>
      <c r="K93" s="5" t="s">
        <v>2598</v>
      </c>
      <c r="L93" s="5" t="s">
        <v>2493</v>
      </c>
      <c r="M93" s="5" t="s">
        <v>3651</v>
      </c>
      <c r="N93" s="5" t="s">
        <v>2800</v>
      </c>
    </row>
    <row r="94" spans="1:14" x14ac:dyDescent="0.25">
      <c r="A94" s="12" t="s">
        <v>33</v>
      </c>
      <c r="B94" s="5" t="s">
        <v>679</v>
      </c>
      <c r="C94" s="5" t="s">
        <v>765</v>
      </c>
      <c r="D94" s="5" t="s">
        <v>857</v>
      </c>
      <c r="E94" s="5" t="s">
        <v>947</v>
      </c>
      <c r="F94" s="5" t="s">
        <v>1035</v>
      </c>
      <c r="G94" s="5" t="s">
        <v>1120</v>
      </c>
      <c r="H94" s="5" t="s">
        <v>1204</v>
      </c>
      <c r="I94" s="5" t="s">
        <v>2801</v>
      </c>
      <c r="J94" s="5" t="s">
        <v>2702</v>
      </c>
      <c r="K94" s="5" t="s">
        <v>2599</v>
      </c>
      <c r="L94" s="5" t="s">
        <v>2494</v>
      </c>
      <c r="M94" s="5" t="s">
        <v>3652</v>
      </c>
      <c r="N94" s="5" t="s">
        <v>3544</v>
      </c>
    </row>
    <row r="95" spans="1:14" x14ac:dyDescent="0.25">
      <c r="A95" s="12" t="s">
        <v>532</v>
      </c>
      <c r="B95" s="5" t="s">
        <v>680</v>
      </c>
      <c r="C95" s="5" t="s">
        <v>766</v>
      </c>
      <c r="D95" s="5" t="s">
        <v>858</v>
      </c>
      <c r="E95" s="5" t="s">
        <v>948</v>
      </c>
      <c r="F95" s="5" t="s">
        <v>1036</v>
      </c>
      <c r="G95" s="5" t="s">
        <v>1121</v>
      </c>
      <c r="H95" s="5" t="s">
        <v>1205</v>
      </c>
      <c r="I95" s="5" t="s">
        <v>2802</v>
      </c>
      <c r="J95" s="5" t="s">
        <v>2703</v>
      </c>
      <c r="K95" s="5" t="s">
        <v>2600</v>
      </c>
      <c r="L95" s="5" t="s">
        <v>2495</v>
      </c>
      <c r="M95" s="5" t="s">
        <v>3653</v>
      </c>
      <c r="N95" s="5" t="s">
        <v>3545</v>
      </c>
    </row>
    <row r="96" spans="1:14" x14ac:dyDescent="0.25">
      <c r="A96" s="12" t="s">
        <v>533</v>
      </c>
      <c r="B96" s="5" t="s">
        <v>681</v>
      </c>
      <c r="C96" s="5" t="s">
        <v>767</v>
      </c>
      <c r="D96" s="5" t="s">
        <v>859</v>
      </c>
      <c r="E96" s="5" t="s">
        <v>949</v>
      </c>
      <c r="F96" s="5" t="s">
        <v>1037</v>
      </c>
      <c r="G96" s="5" t="s">
        <v>1122</v>
      </c>
      <c r="H96" s="5" t="s">
        <v>1206</v>
      </c>
      <c r="I96" s="5" t="s">
        <v>2803</v>
      </c>
      <c r="J96" s="5" t="s">
        <v>2704</v>
      </c>
      <c r="K96" s="5" t="s">
        <v>2601</v>
      </c>
      <c r="L96" s="5" t="s">
        <v>2496</v>
      </c>
      <c r="M96" s="5" t="s">
        <v>3654</v>
      </c>
      <c r="N96" s="5" t="s">
        <v>3546</v>
      </c>
    </row>
    <row r="97" spans="1:14" x14ac:dyDescent="0.25">
      <c r="A97" s="12" t="s">
        <v>534</v>
      </c>
      <c r="B97" s="5" t="s">
        <v>2209</v>
      </c>
      <c r="C97" s="5" t="s">
        <v>768</v>
      </c>
      <c r="D97" s="5" t="s">
        <v>860</v>
      </c>
      <c r="E97" s="5" t="s">
        <v>950</v>
      </c>
      <c r="F97" s="5" t="s">
        <v>1038</v>
      </c>
      <c r="G97" s="5" t="s">
        <v>1123</v>
      </c>
      <c r="H97" s="5" t="s">
        <v>1207</v>
      </c>
      <c r="I97" s="5" t="s">
        <v>2804</v>
      </c>
      <c r="J97" s="5" t="s">
        <v>2705</v>
      </c>
      <c r="K97" s="5" t="s">
        <v>2602</v>
      </c>
      <c r="L97" s="5" t="s">
        <v>2497</v>
      </c>
      <c r="M97" s="5" t="s">
        <v>3655</v>
      </c>
      <c r="N97" s="5" t="s">
        <v>2804</v>
      </c>
    </row>
    <row r="98" spans="1:14" x14ac:dyDescent="0.25">
      <c r="A98" s="12" t="s">
        <v>535</v>
      </c>
      <c r="B98" s="5" t="s">
        <v>2210</v>
      </c>
      <c r="C98" s="5" t="s">
        <v>769</v>
      </c>
      <c r="D98" s="5" t="s">
        <v>861</v>
      </c>
      <c r="E98" s="5" t="s">
        <v>951</v>
      </c>
      <c r="F98" s="5" t="s">
        <v>1039</v>
      </c>
      <c r="G98" s="5" t="s">
        <v>1124</v>
      </c>
      <c r="H98" s="5" t="s">
        <v>1208</v>
      </c>
      <c r="I98" s="5" t="s">
        <v>2805</v>
      </c>
      <c r="J98" s="5" t="s">
        <v>2706</v>
      </c>
      <c r="K98" s="5" t="s">
        <v>2603</v>
      </c>
      <c r="L98" s="5" t="s">
        <v>2498</v>
      </c>
      <c r="M98" s="5" t="s">
        <v>3656</v>
      </c>
      <c r="N98" s="5" t="s">
        <v>3547</v>
      </c>
    </row>
    <row r="99" spans="1:14" x14ac:dyDescent="0.25">
      <c r="A99" s="12" t="s">
        <v>536</v>
      </c>
      <c r="B99" s="5" t="s">
        <v>682</v>
      </c>
      <c r="C99" s="5" t="s">
        <v>770</v>
      </c>
      <c r="D99" s="5" t="s">
        <v>862</v>
      </c>
      <c r="E99" s="5" t="s">
        <v>952</v>
      </c>
      <c r="F99" s="5" t="s">
        <v>1040</v>
      </c>
      <c r="G99" s="5" t="s">
        <v>1125</v>
      </c>
      <c r="H99" s="5" t="s">
        <v>1209</v>
      </c>
      <c r="I99" s="5" t="s">
        <v>2806</v>
      </c>
      <c r="J99" s="5" t="s">
        <v>2707</v>
      </c>
      <c r="K99" s="5" t="s">
        <v>2604</v>
      </c>
      <c r="L99" s="5" t="s">
        <v>2499</v>
      </c>
      <c r="M99" s="5" t="s">
        <v>3657</v>
      </c>
      <c r="N99" s="5" t="s">
        <v>3548</v>
      </c>
    </row>
    <row r="100" spans="1:14" x14ac:dyDescent="0.25">
      <c r="A100" s="12" t="s">
        <v>31</v>
      </c>
      <c r="B100" s="5" t="s">
        <v>683</v>
      </c>
      <c r="C100" s="5" t="s">
        <v>771</v>
      </c>
      <c r="D100" s="5" t="s">
        <v>863</v>
      </c>
      <c r="E100" s="5" t="s">
        <v>953</v>
      </c>
      <c r="F100" s="5" t="s">
        <v>1041</v>
      </c>
      <c r="G100" s="5" t="s">
        <v>1126</v>
      </c>
      <c r="H100" s="5" t="s">
        <v>1210</v>
      </c>
      <c r="I100" s="5" t="s">
        <v>2807</v>
      </c>
      <c r="J100" s="5" t="s">
        <v>2708</v>
      </c>
      <c r="K100" s="5" t="s">
        <v>2605</v>
      </c>
      <c r="L100" s="5" t="s">
        <v>2500</v>
      </c>
      <c r="M100" s="5" t="s">
        <v>3658</v>
      </c>
      <c r="N100" s="5" t="s">
        <v>3549</v>
      </c>
    </row>
    <row r="101" spans="1:14" x14ac:dyDescent="0.25">
      <c r="A101" s="12" t="s">
        <v>282</v>
      </c>
      <c r="B101" s="5" t="s">
        <v>684</v>
      </c>
      <c r="C101" s="5" t="s">
        <v>772</v>
      </c>
      <c r="D101" s="5" t="s">
        <v>283</v>
      </c>
      <c r="E101" s="5" t="s">
        <v>284</v>
      </c>
      <c r="F101" s="5" t="s">
        <v>285</v>
      </c>
      <c r="G101" s="5" t="s">
        <v>286</v>
      </c>
      <c r="H101" s="5" t="s">
        <v>287</v>
      </c>
      <c r="I101" s="5" t="s">
        <v>2808</v>
      </c>
      <c r="J101" s="5" t="s">
        <v>2709</v>
      </c>
      <c r="K101" s="5" t="s">
        <v>2606</v>
      </c>
      <c r="L101" s="5" t="s">
        <v>2501</v>
      </c>
      <c r="M101" s="5" t="s">
        <v>3659</v>
      </c>
      <c r="N101" s="5" t="s">
        <v>3550</v>
      </c>
    </row>
    <row r="102" spans="1:14" x14ac:dyDescent="0.25">
      <c r="A102" s="12" t="s">
        <v>537</v>
      </c>
      <c r="B102" s="5" t="s">
        <v>685</v>
      </c>
      <c r="C102" s="5" t="s">
        <v>773</v>
      </c>
      <c r="D102" s="5" t="s">
        <v>864</v>
      </c>
      <c r="E102" s="5" t="s">
        <v>954</v>
      </c>
      <c r="F102" s="5" t="s">
        <v>1042</v>
      </c>
      <c r="G102" s="5" t="s">
        <v>1127</v>
      </c>
      <c r="H102" s="5" t="s">
        <v>1211</v>
      </c>
      <c r="I102" s="5" t="s">
        <v>2809</v>
      </c>
      <c r="J102" s="5" t="s">
        <v>2710</v>
      </c>
      <c r="K102" s="5" t="s">
        <v>2607</v>
      </c>
      <c r="L102" s="5" t="s">
        <v>2502</v>
      </c>
      <c r="M102" s="5" t="s">
        <v>3660</v>
      </c>
      <c r="N102" s="5" t="s">
        <v>3551</v>
      </c>
    </row>
    <row r="103" spans="1:14" x14ac:dyDescent="0.25">
      <c r="A103" s="12" t="s">
        <v>538</v>
      </c>
      <c r="B103" s="5" t="s">
        <v>2200</v>
      </c>
      <c r="C103" s="5" t="s">
        <v>774</v>
      </c>
      <c r="D103" s="5" t="s">
        <v>865</v>
      </c>
      <c r="E103" s="5" t="s">
        <v>955</v>
      </c>
      <c r="F103" s="5" t="s">
        <v>1043</v>
      </c>
      <c r="G103" s="5" t="s">
        <v>1128</v>
      </c>
      <c r="H103" s="5" t="s">
        <v>1212</v>
      </c>
      <c r="I103" s="5" t="s">
        <v>2810</v>
      </c>
      <c r="J103" s="5" t="s">
        <v>2711</v>
      </c>
      <c r="K103" s="5" t="s">
        <v>2608</v>
      </c>
      <c r="L103" s="5" t="s">
        <v>2503</v>
      </c>
      <c r="M103" s="5" t="s">
        <v>3661</v>
      </c>
      <c r="N103" s="5" t="s">
        <v>3552</v>
      </c>
    </row>
    <row r="104" spans="1:14" x14ac:dyDescent="0.25">
      <c r="A104" s="12" t="s">
        <v>539</v>
      </c>
      <c r="B104" s="5" t="s">
        <v>686</v>
      </c>
      <c r="C104" s="5" t="s">
        <v>775</v>
      </c>
      <c r="D104" s="5" t="s">
        <v>866</v>
      </c>
      <c r="E104" s="5" t="s">
        <v>956</v>
      </c>
      <c r="F104" s="5" t="s">
        <v>1044</v>
      </c>
      <c r="G104" s="5" t="s">
        <v>1129</v>
      </c>
      <c r="H104" s="5" t="s">
        <v>1213</v>
      </c>
      <c r="I104" s="5" t="s">
        <v>2811</v>
      </c>
      <c r="J104" s="5" t="s">
        <v>2712</v>
      </c>
      <c r="K104" s="5" t="s">
        <v>2609</v>
      </c>
      <c r="L104" s="5" t="s">
        <v>2504</v>
      </c>
      <c r="M104" s="5" t="s">
        <v>3662</v>
      </c>
      <c r="N104" s="5" t="s">
        <v>3553</v>
      </c>
    </row>
    <row r="105" spans="1:14" x14ac:dyDescent="0.25">
      <c r="A105" s="12" t="s">
        <v>540</v>
      </c>
      <c r="B105" s="5" t="s">
        <v>687</v>
      </c>
      <c r="C105" s="5" t="s">
        <v>776</v>
      </c>
      <c r="D105" s="5" t="s">
        <v>867</v>
      </c>
      <c r="E105" s="5" t="s">
        <v>957</v>
      </c>
      <c r="F105" s="5" t="s">
        <v>1045</v>
      </c>
      <c r="G105" s="5" t="s">
        <v>1130</v>
      </c>
      <c r="H105" s="5" t="s">
        <v>1214</v>
      </c>
      <c r="I105" s="5" t="s">
        <v>2812</v>
      </c>
      <c r="J105" s="5" t="s">
        <v>2713</v>
      </c>
      <c r="K105" s="5" t="s">
        <v>2610</v>
      </c>
      <c r="L105" s="5" t="s">
        <v>2505</v>
      </c>
      <c r="M105" s="5" t="s">
        <v>3663</v>
      </c>
      <c r="N105" s="5" t="s">
        <v>3554</v>
      </c>
    </row>
    <row r="106" spans="1:14" x14ac:dyDescent="0.25">
      <c r="A106" s="12" t="s">
        <v>34</v>
      </c>
      <c r="B106" s="5" t="s">
        <v>688</v>
      </c>
      <c r="C106" s="5" t="s">
        <v>777</v>
      </c>
      <c r="D106" s="5" t="s">
        <v>868</v>
      </c>
      <c r="E106" s="5" t="s">
        <v>958</v>
      </c>
      <c r="F106" s="5" t="s">
        <v>1046</v>
      </c>
      <c r="G106" s="5" t="s">
        <v>1131</v>
      </c>
      <c r="H106" s="5" t="s">
        <v>1215</v>
      </c>
      <c r="I106" s="5" t="s">
        <v>2813</v>
      </c>
      <c r="J106" s="5" t="s">
        <v>2714</v>
      </c>
      <c r="K106" s="5" t="s">
        <v>2611</v>
      </c>
      <c r="L106" s="5" t="s">
        <v>2506</v>
      </c>
      <c r="M106" s="5" t="s">
        <v>3664</v>
      </c>
      <c r="N106" s="5" t="s">
        <v>3555</v>
      </c>
    </row>
    <row r="107" spans="1:14" x14ac:dyDescent="0.25">
      <c r="A107" s="12" t="s">
        <v>541</v>
      </c>
      <c r="B107" s="5" t="s">
        <v>689</v>
      </c>
      <c r="C107" s="5" t="s">
        <v>778</v>
      </c>
      <c r="D107" s="5" t="s">
        <v>869</v>
      </c>
      <c r="E107" s="5" t="s">
        <v>959</v>
      </c>
      <c r="F107" s="5" t="s">
        <v>1047</v>
      </c>
      <c r="G107" s="5" t="s">
        <v>1132</v>
      </c>
      <c r="H107" s="5" t="s">
        <v>1216</v>
      </c>
      <c r="I107" s="5" t="s">
        <v>2814</v>
      </c>
      <c r="J107" s="5" t="s">
        <v>2715</v>
      </c>
      <c r="K107" s="5" t="s">
        <v>2612</v>
      </c>
      <c r="L107" s="5" t="s">
        <v>2507</v>
      </c>
      <c r="M107" s="5" t="s">
        <v>3665</v>
      </c>
      <c r="N107" s="5" t="s">
        <v>3556</v>
      </c>
    </row>
    <row r="108" spans="1:14" x14ac:dyDescent="0.25">
      <c r="A108" s="12" t="s">
        <v>542</v>
      </c>
      <c r="B108" s="5" t="s">
        <v>690</v>
      </c>
      <c r="C108" s="5" t="s">
        <v>779</v>
      </c>
      <c r="D108" s="5" t="s">
        <v>870</v>
      </c>
      <c r="E108" s="5" t="s">
        <v>960</v>
      </c>
      <c r="F108" s="5" t="s">
        <v>1048</v>
      </c>
      <c r="G108" s="5" t="s">
        <v>1133</v>
      </c>
      <c r="H108" s="5" t="s">
        <v>1217</v>
      </c>
      <c r="I108" s="5" t="s">
        <v>2815</v>
      </c>
      <c r="J108" s="5" t="s">
        <v>2716</v>
      </c>
      <c r="K108" s="5" t="s">
        <v>2613</v>
      </c>
      <c r="L108" s="5" t="s">
        <v>2508</v>
      </c>
      <c r="M108" s="5" t="s">
        <v>3666</v>
      </c>
      <c r="N108" s="5" t="s">
        <v>2815</v>
      </c>
    </row>
    <row r="109" spans="1:14" x14ac:dyDescent="0.25">
      <c r="A109" s="12" t="s">
        <v>1851</v>
      </c>
      <c r="B109" s="5" t="s">
        <v>1896</v>
      </c>
      <c r="C109" s="5" t="s">
        <v>1937</v>
      </c>
      <c r="D109" s="5" t="s">
        <v>1982</v>
      </c>
      <c r="E109" s="5" t="s">
        <v>2027</v>
      </c>
      <c r="F109" s="5" t="s">
        <v>2072</v>
      </c>
      <c r="G109" s="5" t="s">
        <v>2116</v>
      </c>
      <c r="H109" s="5" t="s">
        <v>2161</v>
      </c>
      <c r="I109" s="5" t="s">
        <v>2816</v>
      </c>
      <c r="J109" s="5" t="s">
        <v>2717</v>
      </c>
      <c r="K109" s="5" t="s">
        <v>2614</v>
      </c>
      <c r="L109" s="5" t="s">
        <v>2509</v>
      </c>
      <c r="M109" s="5" t="s">
        <v>3667</v>
      </c>
      <c r="N109" s="5" t="s">
        <v>3557</v>
      </c>
    </row>
    <row r="110" spans="1:14" x14ac:dyDescent="0.25">
      <c r="A110" s="12" t="s">
        <v>543</v>
      </c>
      <c r="B110" s="5" t="s">
        <v>691</v>
      </c>
      <c r="C110" s="5" t="s">
        <v>780</v>
      </c>
      <c r="D110" s="5" t="s">
        <v>871</v>
      </c>
      <c r="E110" s="5" t="s">
        <v>961</v>
      </c>
      <c r="F110" s="5" t="s">
        <v>1049</v>
      </c>
      <c r="G110" s="5" t="s">
        <v>1134</v>
      </c>
      <c r="H110" s="5" t="s">
        <v>1218</v>
      </c>
      <c r="I110" s="5" t="s">
        <v>2817</v>
      </c>
      <c r="J110" s="5" t="s">
        <v>2718</v>
      </c>
      <c r="K110" s="5" t="s">
        <v>2615</v>
      </c>
      <c r="L110" s="5" t="s">
        <v>2510</v>
      </c>
      <c r="M110" s="5" t="s">
        <v>3668</v>
      </c>
      <c r="N110" s="5" t="s">
        <v>3558</v>
      </c>
    </row>
    <row r="111" spans="1:14" x14ac:dyDescent="0.25">
      <c r="A111" s="12" t="s">
        <v>544</v>
      </c>
      <c r="B111" s="5" t="s">
        <v>692</v>
      </c>
      <c r="C111" s="5" t="s">
        <v>781</v>
      </c>
      <c r="D111" s="5" t="s">
        <v>872</v>
      </c>
      <c r="E111" s="5" t="s">
        <v>962</v>
      </c>
      <c r="F111" s="5" t="s">
        <v>1050</v>
      </c>
      <c r="G111" s="5" t="s">
        <v>1135</v>
      </c>
      <c r="H111" s="5" t="s">
        <v>1219</v>
      </c>
      <c r="I111" s="5" t="s">
        <v>2818</v>
      </c>
      <c r="J111" s="5" t="s">
        <v>2943</v>
      </c>
      <c r="K111" s="5" t="s">
        <v>3068</v>
      </c>
      <c r="L111" s="5" t="s">
        <v>3195</v>
      </c>
      <c r="M111" s="5" t="s">
        <v>3669</v>
      </c>
      <c r="N111" s="5" t="s">
        <v>3791</v>
      </c>
    </row>
    <row r="112" spans="1:14" x14ac:dyDescent="0.25">
      <c r="A112" s="12" t="s">
        <v>8</v>
      </c>
      <c r="B112" s="5" t="s">
        <v>693</v>
      </c>
      <c r="C112" s="5" t="s">
        <v>782</v>
      </c>
      <c r="D112" s="5" t="s">
        <v>873</v>
      </c>
      <c r="E112" s="5" t="s">
        <v>963</v>
      </c>
      <c r="F112" s="5" t="s">
        <v>1051</v>
      </c>
      <c r="G112" s="5" t="s">
        <v>1136</v>
      </c>
      <c r="H112" s="5" t="s">
        <v>1220</v>
      </c>
      <c r="I112" s="5" t="s">
        <v>2819</v>
      </c>
      <c r="J112" s="5" t="s">
        <v>2944</v>
      </c>
      <c r="K112" s="5" t="s">
        <v>3069</v>
      </c>
      <c r="L112" s="5" t="s">
        <v>3196</v>
      </c>
      <c r="M112" s="5" t="s">
        <v>3670</v>
      </c>
      <c r="N112" s="5" t="s">
        <v>3792</v>
      </c>
    </row>
    <row r="113" spans="1:14" x14ac:dyDescent="0.25">
      <c r="A113" s="12" t="s">
        <v>545</v>
      </c>
      <c r="B113" s="5" t="s">
        <v>694</v>
      </c>
      <c r="C113" s="5" t="s">
        <v>783</v>
      </c>
      <c r="D113" s="5" t="s">
        <v>874</v>
      </c>
      <c r="E113" s="5" t="s">
        <v>964</v>
      </c>
      <c r="F113" s="5" t="s">
        <v>1052</v>
      </c>
      <c r="G113" s="5" t="s">
        <v>1137</v>
      </c>
      <c r="H113" s="5" t="s">
        <v>1221</v>
      </c>
      <c r="I113" s="5" t="s">
        <v>2820</v>
      </c>
      <c r="J113" s="5" t="s">
        <v>2945</v>
      </c>
      <c r="K113" s="5" t="s">
        <v>3070</v>
      </c>
      <c r="L113" s="5" t="s">
        <v>3197</v>
      </c>
      <c r="M113" s="5" t="s">
        <v>3671</v>
      </c>
      <c r="N113" s="5" t="s">
        <v>3793</v>
      </c>
    </row>
    <row r="114" spans="1:14" x14ac:dyDescent="0.25">
      <c r="A114" s="12" t="s">
        <v>546</v>
      </c>
      <c r="B114" s="5" t="s">
        <v>695</v>
      </c>
      <c r="C114" s="5" t="s">
        <v>784</v>
      </c>
      <c r="D114" s="5" t="s">
        <v>875</v>
      </c>
      <c r="E114" s="5" t="s">
        <v>965</v>
      </c>
      <c r="F114" s="5" t="s">
        <v>1053</v>
      </c>
      <c r="G114" s="5" t="s">
        <v>1138</v>
      </c>
      <c r="H114" s="5" t="s">
        <v>1222</v>
      </c>
      <c r="I114" s="5" t="s">
        <v>2821</v>
      </c>
      <c r="J114" s="5" t="s">
        <v>2946</v>
      </c>
      <c r="K114" s="5" t="s">
        <v>3071</v>
      </c>
      <c r="L114" s="5" t="s">
        <v>3198</v>
      </c>
      <c r="M114" s="5" t="s">
        <v>3672</v>
      </c>
      <c r="N114" s="5" t="s">
        <v>3794</v>
      </c>
    </row>
    <row r="115" spans="1:14" x14ac:dyDescent="0.25">
      <c r="A115" s="12" t="s">
        <v>547</v>
      </c>
      <c r="B115" s="5" t="s">
        <v>696</v>
      </c>
      <c r="C115" s="5" t="s">
        <v>785</v>
      </c>
      <c r="D115" s="5" t="s">
        <v>876</v>
      </c>
      <c r="E115" s="5" t="s">
        <v>966</v>
      </c>
      <c r="F115" s="5" t="s">
        <v>1054</v>
      </c>
      <c r="G115" s="5" t="s">
        <v>966</v>
      </c>
      <c r="H115" s="5" t="s">
        <v>1223</v>
      </c>
      <c r="I115" s="5" t="s">
        <v>2822</v>
      </c>
      <c r="J115" s="5" t="s">
        <v>2947</v>
      </c>
      <c r="K115" s="5" t="s">
        <v>3072</v>
      </c>
      <c r="L115" s="5" t="s">
        <v>3199</v>
      </c>
      <c r="M115" s="5" t="s">
        <v>3673</v>
      </c>
      <c r="N115" s="5" t="s">
        <v>2822</v>
      </c>
    </row>
    <row r="116" spans="1:14" x14ac:dyDescent="0.25">
      <c r="A116" s="12" t="s">
        <v>15</v>
      </c>
      <c r="B116" s="5" t="s">
        <v>1842</v>
      </c>
      <c r="C116" s="5" t="s">
        <v>786</v>
      </c>
      <c r="D116" s="5" t="s">
        <v>877</v>
      </c>
      <c r="E116" s="5" t="s">
        <v>967</v>
      </c>
      <c r="F116" s="5" t="s">
        <v>1055</v>
      </c>
      <c r="G116" s="5" t="s">
        <v>877</v>
      </c>
      <c r="H116" s="5" t="s">
        <v>1224</v>
      </c>
      <c r="I116" s="5" t="s">
        <v>2823</v>
      </c>
      <c r="J116" s="5" t="s">
        <v>2948</v>
      </c>
      <c r="K116" s="5" t="s">
        <v>3073</v>
      </c>
      <c r="L116" s="5" t="s">
        <v>3200</v>
      </c>
      <c r="M116" s="5" t="s">
        <v>2948</v>
      </c>
      <c r="N116" s="5" t="s">
        <v>2823</v>
      </c>
    </row>
    <row r="117" spans="1:14" x14ac:dyDescent="0.25">
      <c r="A117" s="12" t="s">
        <v>25</v>
      </c>
      <c r="B117" s="5" t="s">
        <v>697</v>
      </c>
      <c r="C117" s="5" t="s">
        <v>787</v>
      </c>
      <c r="D117" s="5" t="s">
        <v>878</v>
      </c>
      <c r="E117" s="5" t="s">
        <v>968</v>
      </c>
      <c r="F117" s="5" t="s">
        <v>1056</v>
      </c>
      <c r="G117" s="5" t="s">
        <v>1139</v>
      </c>
      <c r="H117" s="5" t="s">
        <v>1225</v>
      </c>
      <c r="I117" s="5" t="s">
        <v>2824</v>
      </c>
      <c r="J117" s="5" t="s">
        <v>2949</v>
      </c>
      <c r="K117" s="5" t="s">
        <v>3074</v>
      </c>
      <c r="L117" s="5" t="s">
        <v>3201</v>
      </c>
      <c r="M117" s="5" t="s">
        <v>3674</v>
      </c>
      <c r="N117" s="5" t="s">
        <v>3795</v>
      </c>
    </row>
    <row r="118" spans="1:14" x14ac:dyDescent="0.25">
      <c r="A118" s="12" t="s">
        <v>2201</v>
      </c>
      <c r="B118" s="5" t="s">
        <v>2206</v>
      </c>
      <c r="C118" s="5" t="s">
        <v>2205</v>
      </c>
      <c r="D118" s="5" t="s">
        <v>2201</v>
      </c>
      <c r="E118" s="5" t="s">
        <v>2201</v>
      </c>
      <c r="F118" s="5" t="s">
        <v>2204</v>
      </c>
      <c r="G118" s="5" t="s">
        <v>2203</v>
      </c>
      <c r="H118" s="5" t="s">
        <v>2202</v>
      </c>
      <c r="I118" s="5" t="s">
        <v>2825</v>
      </c>
      <c r="J118" s="5" t="s">
        <v>2950</v>
      </c>
      <c r="K118" s="5" t="s">
        <v>3075</v>
      </c>
      <c r="L118" s="5" t="s">
        <v>3202</v>
      </c>
      <c r="M118" s="5" t="s">
        <v>3675</v>
      </c>
      <c r="N118" s="5" t="s">
        <v>3796</v>
      </c>
    </row>
    <row r="119" spans="1:14" x14ac:dyDescent="0.25">
      <c r="A119" s="12" t="s">
        <v>106</v>
      </c>
      <c r="B119" s="5" t="s">
        <v>107</v>
      </c>
      <c r="C119" s="5" t="s">
        <v>108</v>
      </c>
      <c r="D119" s="5" t="s">
        <v>109</v>
      </c>
      <c r="E119" s="5" t="s">
        <v>110</v>
      </c>
      <c r="F119" s="5" t="s">
        <v>111</v>
      </c>
      <c r="G119" s="5" t="s">
        <v>112</v>
      </c>
      <c r="H119" s="5" t="s">
        <v>113</v>
      </c>
      <c r="I119" s="5" t="s">
        <v>2826</v>
      </c>
      <c r="J119" s="5" t="s">
        <v>2951</v>
      </c>
      <c r="K119" s="5" t="s">
        <v>3076</v>
      </c>
      <c r="L119" s="5" t="s">
        <v>3203</v>
      </c>
      <c r="M119" s="5" t="s">
        <v>2951</v>
      </c>
      <c r="N119" s="5" t="s">
        <v>2826</v>
      </c>
    </row>
    <row r="120" spans="1:14" x14ac:dyDescent="0.25">
      <c r="A120" s="12" t="s">
        <v>548</v>
      </c>
      <c r="B120" s="5" t="s">
        <v>1828</v>
      </c>
      <c r="C120" s="5" t="s">
        <v>788</v>
      </c>
      <c r="D120" s="5" t="s">
        <v>879</v>
      </c>
      <c r="E120" s="5" t="s">
        <v>969</v>
      </c>
      <c r="F120" s="5" t="s">
        <v>1057</v>
      </c>
      <c r="G120" s="5" t="s">
        <v>1140</v>
      </c>
      <c r="H120" s="5" t="s">
        <v>1226</v>
      </c>
      <c r="I120" s="5" t="s">
        <v>2827</v>
      </c>
      <c r="J120" s="5" t="s">
        <v>2952</v>
      </c>
      <c r="K120" s="5" t="s">
        <v>3077</v>
      </c>
      <c r="L120" s="5" t="s">
        <v>3204</v>
      </c>
      <c r="M120" s="5" t="s">
        <v>3676</v>
      </c>
      <c r="N120" s="5" t="s">
        <v>3797</v>
      </c>
    </row>
    <row r="121" spans="1:14" x14ac:dyDescent="0.25">
      <c r="A121" s="12" t="s">
        <v>549</v>
      </c>
      <c r="B121" s="5" t="s">
        <v>698</v>
      </c>
      <c r="C121" s="5" t="s">
        <v>789</v>
      </c>
      <c r="D121" s="5" t="s">
        <v>880</v>
      </c>
      <c r="E121" s="5" t="s">
        <v>549</v>
      </c>
      <c r="F121" s="5" t="s">
        <v>1058</v>
      </c>
      <c r="G121" s="5" t="s">
        <v>549</v>
      </c>
      <c r="H121" s="5" t="s">
        <v>1227</v>
      </c>
      <c r="I121" s="5" t="s">
        <v>2828</v>
      </c>
      <c r="J121" s="5" t="s">
        <v>2953</v>
      </c>
      <c r="K121" s="5" t="s">
        <v>3078</v>
      </c>
      <c r="L121" s="5" t="s">
        <v>3205</v>
      </c>
      <c r="M121" s="5" t="s">
        <v>3677</v>
      </c>
      <c r="N121" s="5" t="s">
        <v>2828</v>
      </c>
    </row>
    <row r="122" spans="1:14" x14ac:dyDescent="0.25">
      <c r="A122" s="12" t="s">
        <v>2212</v>
      </c>
      <c r="B122" s="5" t="s">
        <v>2218</v>
      </c>
      <c r="C122" s="5" t="s">
        <v>2225</v>
      </c>
      <c r="D122" s="5" t="s">
        <v>2232</v>
      </c>
      <c r="E122" s="5" t="s">
        <v>2239</v>
      </c>
      <c r="F122" s="5" t="s">
        <v>2246</v>
      </c>
      <c r="G122" s="5" t="s">
        <v>2253</v>
      </c>
      <c r="H122" s="5" t="s">
        <v>2260</v>
      </c>
      <c r="I122" s="5" t="s">
        <v>2829</v>
      </c>
      <c r="J122" s="5" t="s">
        <v>2954</v>
      </c>
      <c r="K122" s="5" t="s">
        <v>3079</v>
      </c>
      <c r="L122" s="5" t="s">
        <v>3206</v>
      </c>
      <c r="M122" s="5" t="s">
        <v>3678</v>
      </c>
      <c r="N122" s="5" t="s">
        <v>2829</v>
      </c>
    </row>
    <row r="123" spans="1:14" x14ac:dyDescent="0.25">
      <c r="A123" s="12" t="s">
        <v>550</v>
      </c>
      <c r="B123" s="5" t="s">
        <v>699</v>
      </c>
      <c r="C123" s="5" t="s">
        <v>790</v>
      </c>
      <c r="D123" s="5" t="s">
        <v>881</v>
      </c>
      <c r="E123" s="5" t="s">
        <v>970</v>
      </c>
      <c r="F123" s="5" t="s">
        <v>1059</v>
      </c>
      <c r="G123" s="5" t="s">
        <v>881</v>
      </c>
      <c r="H123" s="5" t="s">
        <v>1228</v>
      </c>
      <c r="I123" s="5" t="s">
        <v>2830</v>
      </c>
      <c r="J123" s="5" t="s">
        <v>2955</v>
      </c>
      <c r="K123" s="5" t="s">
        <v>3080</v>
      </c>
      <c r="L123" s="5" t="s">
        <v>3207</v>
      </c>
      <c r="M123" s="5" t="s">
        <v>3679</v>
      </c>
      <c r="N123" s="5" t="s">
        <v>2830</v>
      </c>
    </row>
    <row r="124" spans="1:14" x14ac:dyDescent="0.25">
      <c r="A124" s="12" t="s">
        <v>1864</v>
      </c>
      <c r="B124" s="5" t="s">
        <v>2199</v>
      </c>
      <c r="C124" s="5" t="s">
        <v>1950</v>
      </c>
      <c r="D124" s="5" t="s">
        <v>1995</v>
      </c>
      <c r="E124" s="5" t="s">
        <v>2040</v>
      </c>
      <c r="F124" s="5" t="s">
        <v>2085</v>
      </c>
      <c r="G124" s="5" t="s">
        <v>2129</v>
      </c>
      <c r="H124" s="5" t="s">
        <v>2174</v>
      </c>
      <c r="I124" s="5" t="s">
        <v>2831</v>
      </c>
      <c r="J124" s="5" t="s">
        <v>2956</v>
      </c>
      <c r="K124" s="5" t="s">
        <v>3081</v>
      </c>
      <c r="L124" s="5" t="s">
        <v>3208</v>
      </c>
      <c r="M124" s="5" t="s">
        <v>3680</v>
      </c>
      <c r="N124" s="5" t="s">
        <v>2831</v>
      </c>
    </row>
    <row r="125" spans="1:14" x14ac:dyDescent="0.25">
      <c r="A125" s="12" t="s">
        <v>551</v>
      </c>
      <c r="B125" s="5" t="s">
        <v>700</v>
      </c>
      <c r="C125" s="5" t="s">
        <v>791</v>
      </c>
      <c r="D125" s="5" t="s">
        <v>882</v>
      </c>
      <c r="E125" s="5" t="s">
        <v>971</v>
      </c>
      <c r="F125" s="5" t="s">
        <v>1060</v>
      </c>
      <c r="G125" s="5" t="s">
        <v>1141</v>
      </c>
      <c r="H125" s="5" t="s">
        <v>1229</v>
      </c>
      <c r="I125" s="5" t="s">
        <v>2832</v>
      </c>
      <c r="J125" s="5" t="s">
        <v>2957</v>
      </c>
      <c r="K125" s="5" t="s">
        <v>3082</v>
      </c>
      <c r="L125" s="5" t="s">
        <v>3209</v>
      </c>
      <c r="M125" s="5" t="s">
        <v>3681</v>
      </c>
      <c r="N125" s="5" t="s">
        <v>2832</v>
      </c>
    </row>
    <row r="126" spans="1:14" x14ac:dyDescent="0.25">
      <c r="A126" s="12" t="s">
        <v>337</v>
      </c>
      <c r="B126" s="5" t="s">
        <v>701</v>
      </c>
      <c r="C126" s="5" t="s">
        <v>792</v>
      </c>
      <c r="D126" s="5" t="s">
        <v>882</v>
      </c>
      <c r="E126" s="5" t="s">
        <v>971</v>
      </c>
      <c r="F126" s="5" t="s">
        <v>1060</v>
      </c>
      <c r="G126" s="5" t="s">
        <v>1142</v>
      </c>
      <c r="H126" s="5" t="s">
        <v>1230</v>
      </c>
      <c r="I126" s="5" t="s">
        <v>2832</v>
      </c>
      <c r="J126" s="5" t="s">
        <v>2957</v>
      </c>
      <c r="K126" s="5" t="s">
        <v>3082</v>
      </c>
      <c r="L126" s="5" t="s">
        <v>3210</v>
      </c>
      <c r="M126" s="5" t="s">
        <v>3682</v>
      </c>
      <c r="N126" s="5" t="s">
        <v>2832</v>
      </c>
    </row>
    <row r="127" spans="1:14" x14ac:dyDescent="0.25">
      <c r="A127" s="12" t="s">
        <v>18</v>
      </c>
      <c r="B127" s="5" t="s">
        <v>702</v>
      </c>
      <c r="C127" s="5" t="s">
        <v>793</v>
      </c>
      <c r="D127" s="5" t="s">
        <v>883</v>
      </c>
      <c r="E127" s="5" t="s">
        <v>972</v>
      </c>
      <c r="F127" s="5" t="s">
        <v>1061</v>
      </c>
      <c r="G127" s="5" t="s">
        <v>1143</v>
      </c>
      <c r="H127" s="5" t="s">
        <v>1231</v>
      </c>
      <c r="I127" s="5" t="s">
        <v>2833</v>
      </c>
      <c r="J127" s="5" t="s">
        <v>2958</v>
      </c>
      <c r="K127" s="5" t="s">
        <v>3083</v>
      </c>
      <c r="L127" s="5" t="s">
        <v>3211</v>
      </c>
      <c r="M127" s="5" t="s">
        <v>3683</v>
      </c>
      <c r="N127" s="5" t="s">
        <v>2833</v>
      </c>
    </row>
    <row r="128" spans="1:14" x14ac:dyDescent="0.25">
      <c r="A128" s="12" t="s">
        <v>552</v>
      </c>
      <c r="B128" s="5" t="s">
        <v>703</v>
      </c>
      <c r="C128" s="5" t="s">
        <v>794</v>
      </c>
      <c r="D128" s="5" t="s">
        <v>884</v>
      </c>
      <c r="E128" s="5" t="s">
        <v>973</v>
      </c>
      <c r="F128" s="5" t="s">
        <v>1062</v>
      </c>
      <c r="G128" s="5" t="s">
        <v>1144</v>
      </c>
      <c r="H128" s="5" t="s">
        <v>1232</v>
      </c>
      <c r="I128" s="5" t="s">
        <v>2834</v>
      </c>
      <c r="J128" s="5" t="s">
        <v>2959</v>
      </c>
      <c r="K128" s="5" t="s">
        <v>3084</v>
      </c>
      <c r="L128" s="5" t="s">
        <v>3212</v>
      </c>
      <c r="M128" s="5" t="s">
        <v>3684</v>
      </c>
      <c r="N128" s="5" t="s">
        <v>2834</v>
      </c>
    </row>
    <row r="129" spans="1:14" x14ac:dyDescent="0.25">
      <c r="A129" s="12" t="s">
        <v>553</v>
      </c>
      <c r="B129" s="5" t="s">
        <v>703</v>
      </c>
      <c r="C129" s="5" t="s">
        <v>794</v>
      </c>
      <c r="D129" s="5" t="s">
        <v>884</v>
      </c>
      <c r="E129" s="5" t="s">
        <v>973</v>
      </c>
      <c r="F129" s="5" t="s">
        <v>1062</v>
      </c>
      <c r="G129" s="5" t="s">
        <v>1145</v>
      </c>
      <c r="H129" s="5" t="s">
        <v>1232</v>
      </c>
      <c r="I129" s="5" t="s">
        <v>2834</v>
      </c>
      <c r="J129" s="5" t="s">
        <v>2959</v>
      </c>
      <c r="K129" s="5" t="s">
        <v>3084</v>
      </c>
      <c r="L129" s="5" t="s">
        <v>3213</v>
      </c>
      <c r="M129" s="5" t="s">
        <v>3684</v>
      </c>
      <c r="N129" s="5" t="s">
        <v>2834</v>
      </c>
    </row>
    <row r="130" spans="1:14" x14ac:dyDescent="0.25">
      <c r="A130" s="12" t="s">
        <v>554</v>
      </c>
      <c r="B130" s="5" t="s">
        <v>704</v>
      </c>
      <c r="C130" s="5" t="s">
        <v>794</v>
      </c>
      <c r="D130" s="5" t="s">
        <v>885</v>
      </c>
      <c r="E130" s="5" t="s">
        <v>974</v>
      </c>
      <c r="F130" s="5" t="s">
        <v>1063</v>
      </c>
      <c r="G130" s="5" t="s">
        <v>1146</v>
      </c>
      <c r="H130" s="5" t="s">
        <v>1233</v>
      </c>
      <c r="I130" s="5" t="s">
        <v>2834</v>
      </c>
      <c r="J130" s="5" t="s">
        <v>2960</v>
      </c>
      <c r="K130" s="5" t="s">
        <v>3085</v>
      </c>
      <c r="L130" s="5" t="s">
        <v>3214</v>
      </c>
      <c r="M130" s="5" t="s">
        <v>3684</v>
      </c>
      <c r="N130" s="5" t="s">
        <v>2834</v>
      </c>
    </row>
    <row r="131" spans="1:14" x14ac:dyDescent="0.25">
      <c r="A131" s="12" t="s">
        <v>1849</v>
      </c>
      <c r="B131" s="5" t="s">
        <v>1894</v>
      </c>
      <c r="C131" s="5" t="s">
        <v>1935</v>
      </c>
      <c r="D131" s="5" t="s">
        <v>1980</v>
      </c>
      <c r="E131" s="5" t="s">
        <v>2025</v>
      </c>
      <c r="F131" s="5" t="s">
        <v>2070</v>
      </c>
      <c r="G131" s="5" t="s">
        <v>2114</v>
      </c>
      <c r="H131" s="5" t="s">
        <v>2159</v>
      </c>
      <c r="I131" s="5" t="s">
        <v>2835</v>
      </c>
      <c r="J131" s="5" t="s">
        <v>2961</v>
      </c>
      <c r="K131" s="5" t="s">
        <v>3086</v>
      </c>
      <c r="L131" s="5" t="s">
        <v>3215</v>
      </c>
      <c r="M131" s="5" t="s">
        <v>3685</v>
      </c>
      <c r="N131" s="5" t="s">
        <v>3798</v>
      </c>
    </row>
    <row r="132" spans="1:14" x14ac:dyDescent="0.25">
      <c r="A132" s="12" t="s">
        <v>555</v>
      </c>
      <c r="B132" s="5" t="s">
        <v>705</v>
      </c>
      <c r="C132" s="5" t="s">
        <v>795</v>
      </c>
      <c r="D132" s="5" t="s">
        <v>886</v>
      </c>
      <c r="E132" s="5" t="s">
        <v>975</v>
      </c>
      <c r="F132" s="5" t="s">
        <v>1064</v>
      </c>
      <c r="G132" s="5" t="s">
        <v>1147</v>
      </c>
      <c r="H132" s="5" t="s">
        <v>1234</v>
      </c>
      <c r="I132" s="5" t="s">
        <v>2836</v>
      </c>
      <c r="J132" s="5" t="s">
        <v>2962</v>
      </c>
      <c r="K132" s="5" t="s">
        <v>3087</v>
      </c>
      <c r="L132" s="5" t="s">
        <v>3216</v>
      </c>
      <c r="M132" s="5" t="s">
        <v>3686</v>
      </c>
      <c r="N132" s="5" t="s">
        <v>3799</v>
      </c>
    </row>
    <row r="133" spans="1:14" x14ac:dyDescent="0.25">
      <c r="A133" s="12" t="s">
        <v>556</v>
      </c>
      <c r="B133" s="5" t="s">
        <v>706</v>
      </c>
      <c r="C133" s="5" t="s">
        <v>796</v>
      </c>
      <c r="D133" s="5" t="s">
        <v>887</v>
      </c>
      <c r="E133" s="5" t="s">
        <v>556</v>
      </c>
      <c r="F133" s="5" t="s">
        <v>1065</v>
      </c>
      <c r="G133" s="5" t="s">
        <v>556</v>
      </c>
      <c r="H133" s="5" t="s">
        <v>1235</v>
      </c>
      <c r="I133" s="5" t="s">
        <v>2837</v>
      </c>
      <c r="J133" s="5" t="s">
        <v>2963</v>
      </c>
      <c r="K133" s="5" t="s">
        <v>3088</v>
      </c>
      <c r="L133" s="5" t="s">
        <v>3217</v>
      </c>
      <c r="M133" s="5" t="s">
        <v>3687</v>
      </c>
      <c r="N133" s="5" t="s">
        <v>2837</v>
      </c>
    </row>
    <row r="134" spans="1:14" x14ac:dyDescent="0.25">
      <c r="A134" s="12" t="s">
        <v>557</v>
      </c>
      <c r="B134" s="5" t="s">
        <v>2281</v>
      </c>
      <c r="C134" s="5" t="s">
        <v>797</v>
      </c>
      <c r="D134" s="5" t="s">
        <v>888</v>
      </c>
      <c r="E134" s="5" t="s">
        <v>976</v>
      </c>
      <c r="F134" s="5" t="s">
        <v>1066</v>
      </c>
      <c r="G134" s="5" t="s">
        <v>888</v>
      </c>
      <c r="H134" s="5" t="s">
        <v>1236</v>
      </c>
      <c r="I134" s="5" t="s">
        <v>2838</v>
      </c>
      <c r="J134" s="5" t="s">
        <v>2964</v>
      </c>
      <c r="K134" s="5" t="s">
        <v>3089</v>
      </c>
      <c r="L134" s="5" t="s">
        <v>3218</v>
      </c>
      <c r="M134" s="5" t="s">
        <v>3688</v>
      </c>
      <c r="N134" s="5" t="s">
        <v>3800</v>
      </c>
    </row>
    <row r="135" spans="1:14" x14ac:dyDescent="0.25">
      <c r="A135" s="12" t="s">
        <v>558</v>
      </c>
      <c r="B135" s="5" t="s">
        <v>707</v>
      </c>
      <c r="C135" s="5" t="s">
        <v>798</v>
      </c>
      <c r="D135" s="5" t="s">
        <v>889</v>
      </c>
      <c r="E135" s="5" t="s">
        <v>977</v>
      </c>
      <c r="F135" s="5" t="s">
        <v>1067</v>
      </c>
      <c r="G135" s="5" t="s">
        <v>1148</v>
      </c>
      <c r="H135" s="5" t="s">
        <v>1237</v>
      </c>
      <c r="I135" s="5" t="s">
        <v>2839</v>
      </c>
      <c r="J135" s="5" t="s">
        <v>2965</v>
      </c>
      <c r="K135" s="5" t="s">
        <v>3090</v>
      </c>
      <c r="L135" s="5" t="s">
        <v>3219</v>
      </c>
      <c r="M135" s="5" t="s">
        <v>3689</v>
      </c>
      <c r="N135" s="5" t="s">
        <v>3801</v>
      </c>
    </row>
    <row r="136" spans="1:14" x14ac:dyDescent="0.25">
      <c r="A136" s="12" t="s">
        <v>559</v>
      </c>
      <c r="B136" s="5" t="s">
        <v>708</v>
      </c>
      <c r="C136" s="5" t="s">
        <v>799</v>
      </c>
      <c r="D136" s="5" t="s">
        <v>890</v>
      </c>
      <c r="E136" s="5" t="s">
        <v>978</v>
      </c>
      <c r="F136" s="5" t="s">
        <v>1068</v>
      </c>
      <c r="G136" s="5" t="s">
        <v>890</v>
      </c>
      <c r="H136" s="5" t="s">
        <v>1238</v>
      </c>
      <c r="I136" s="5" t="s">
        <v>2840</v>
      </c>
      <c r="J136" s="5" t="s">
        <v>2966</v>
      </c>
      <c r="K136" s="5" t="s">
        <v>3091</v>
      </c>
      <c r="L136" s="5" t="s">
        <v>3220</v>
      </c>
      <c r="M136" s="5" t="s">
        <v>3690</v>
      </c>
      <c r="N136" s="5" t="s">
        <v>3802</v>
      </c>
    </row>
    <row r="137" spans="1:14" x14ac:dyDescent="0.25">
      <c r="A137" s="12" t="s">
        <v>1848</v>
      </c>
      <c r="B137" s="5" t="s">
        <v>1893</v>
      </c>
      <c r="C137" s="5" t="s">
        <v>1934</v>
      </c>
      <c r="D137" s="5" t="s">
        <v>1979</v>
      </c>
      <c r="E137" s="5" t="s">
        <v>2024</v>
      </c>
      <c r="F137" s="5" t="s">
        <v>2069</v>
      </c>
      <c r="G137" s="5" t="s">
        <v>2113</v>
      </c>
      <c r="H137" s="5" t="s">
        <v>2158</v>
      </c>
      <c r="I137" s="5" t="s">
        <v>2841</v>
      </c>
      <c r="J137" s="5" t="s">
        <v>2967</v>
      </c>
      <c r="K137" s="5" t="s">
        <v>3092</v>
      </c>
      <c r="L137" s="5" t="s">
        <v>3221</v>
      </c>
      <c r="M137" s="5" t="s">
        <v>3691</v>
      </c>
      <c r="N137" s="5" t="s">
        <v>3803</v>
      </c>
    </row>
    <row r="138" spans="1:14" x14ac:dyDescent="0.25">
      <c r="A138" s="12" t="s">
        <v>560</v>
      </c>
      <c r="B138" s="5" t="s">
        <v>709</v>
      </c>
      <c r="C138" s="5" t="s">
        <v>800</v>
      </c>
      <c r="D138" s="5" t="s">
        <v>891</v>
      </c>
      <c r="E138" s="5" t="s">
        <v>979</v>
      </c>
      <c r="F138" s="5" t="s">
        <v>1069</v>
      </c>
      <c r="G138" s="5" t="s">
        <v>1149</v>
      </c>
      <c r="H138" s="5" t="s">
        <v>1239</v>
      </c>
      <c r="I138" s="5" t="s">
        <v>2842</v>
      </c>
      <c r="J138" s="5" t="s">
        <v>2968</v>
      </c>
      <c r="K138" s="5" t="s">
        <v>3093</v>
      </c>
      <c r="L138" s="5" t="s">
        <v>3222</v>
      </c>
      <c r="M138" s="5" t="s">
        <v>3692</v>
      </c>
      <c r="N138" s="5" t="s">
        <v>3804</v>
      </c>
    </row>
    <row r="139" spans="1:14" x14ac:dyDescent="0.25">
      <c r="A139" s="12" t="s">
        <v>561</v>
      </c>
      <c r="B139" s="5" t="s">
        <v>710</v>
      </c>
      <c r="C139" s="5" t="s">
        <v>801</v>
      </c>
      <c r="D139" s="5" t="s">
        <v>892</v>
      </c>
      <c r="E139" s="5" t="s">
        <v>980</v>
      </c>
      <c r="F139" s="5" t="s">
        <v>1070</v>
      </c>
      <c r="G139" s="5" t="s">
        <v>1150</v>
      </c>
      <c r="H139" s="5" t="s">
        <v>1240</v>
      </c>
      <c r="I139" s="5" t="s">
        <v>2843</v>
      </c>
      <c r="J139" s="5" t="s">
        <v>2968</v>
      </c>
      <c r="K139" s="5" t="s">
        <v>3094</v>
      </c>
      <c r="L139" s="5" t="s">
        <v>3223</v>
      </c>
      <c r="M139" s="5" t="s">
        <v>3693</v>
      </c>
      <c r="N139" s="5" t="s">
        <v>3805</v>
      </c>
    </row>
    <row r="140" spans="1:14" x14ac:dyDescent="0.25">
      <c r="A140" s="12" t="s">
        <v>191</v>
      </c>
      <c r="B140" s="5" t="s">
        <v>192</v>
      </c>
      <c r="C140" s="5" t="s">
        <v>191</v>
      </c>
      <c r="D140" s="5" t="s">
        <v>193</v>
      </c>
      <c r="E140" s="5" t="s">
        <v>194</v>
      </c>
      <c r="F140" s="5" t="s">
        <v>195</v>
      </c>
      <c r="G140" s="5" t="s">
        <v>195</v>
      </c>
      <c r="H140" s="5" t="s">
        <v>196</v>
      </c>
      <c r="I140" s="5" t="s">
        <v>2844</v>
      </c>
      <c r="J140" s="5" t="s">
        <v>2969</v>
      </c>
      <c r="K140" s="5" t="s">
        <v>3095</v>
      </c>
      <c r="L140" s="5" t="s">
        <v>3224</v>
      </c>
      <c r="M140" s="5" t="s">
        <v>2969</v>
      </c>
      <c r="N140" s="5" t="s">
        <v>2844</v>
      </c>
    </row>
    <row r="141" spans="1:14" x14ac:dyDescent="0.25">
      <c r="A141" s="12" t="s">
        <v>562</v>
      </c>
      <c r="B141" s="5" t="s">
        <v>711</v>
      </c>
      <c r="C141" s="5" t="s">
        <v>802</v>
      </c>
      <c r="D141" s="5" t="s">
        <v>893</v>
      </c>
      <c r="E141" s="5" t="s">
        <v>981</v>
      </c>
      <c r="F141" s="5" t="s">
        <v>1071</v>
      </c>
      <c r="G141" s="5" t="s">
        <v>1151</v>
      </c>
      <c r="H141" s="5" t="s">
        <v>1241</v>
      </c>
      <c r="I141" s="5" t="s">
        <v>2845</v>
      </c>
      <c r="J141" s="5" t="s">
        <v>2970</v>
      </c>
      <c r="K141" s="5" t="s">
        <v>3096</v>
      </c>
      <c r="L141" s="5" t="s">
        <v>3225</v>
      </c>
      <c r="M141" s="5" t="s">
        <v>3694</v>
      </c>
      <c r="N141" s="5" t="s">
        <v>3806</v>
      </c>
    </row>
    <row r="142" spans="1:14" x14ac:dyDescent="0.25">
      <c r="A142" s="12" t="s">
        <v>165</v>
      </c>
      <c r="B142" s="5" t="s">
        <v>166</v>
      </c>
      <c r="C142" s="5" t="s">
        <v>167</v>
      </c>
      <c r="D142" s="5" t="s">
        <v>165</v>
      </c>
      <c r="E142" s="5" t="s">
        <v>168</v>
      </c>
      <c r="F142" s="5" t="s">
        <v>165</v>
      </c>
      <c r="G142" s="5" t="s">
        <v>169</v>
      </c>
      <c r="H142" s="5" t="s">
        <v>170</v>
      </c>
      <c r="I142" s="5" t="s">
        <v>2846</v>
      </c>
      <c r="J142" s="5" t="s">
        <v>2971</v>
      </c>
      <c r="K142" s="5" t="s">
        <v>3097</v>
      </c>
      <c r="L142" s="5" t="s">
        <v>3226</v>
      </c>
      <c r="M142" s="5" t="s">
        <v>3695</v>
      </c>
      <c r="N142" s="5" t="s">
        <v>2846</v>
      </c>
    </row>
    <row r="143" spans="1:14" x14ac:dyDescent="0.25">
      <c r="A143" s="12" t="s">
        <v>563</v>
      </c>
      <c r="B143" s="5" t="s">
        <v>1242</v>
      </c>
      <c r="C143" s="5" t="s">
        <v>1310</v>
      </c>
      <c r="D143" s="5" t="s">
        <v>1382</v>
      </c>
      <c r="E143" s="5" t="s">
        <v>1455</v>
      </c>
      <c r="F143" s="5" t="s">
        <v>1528</v>
      </c>
      <c r="G143" s="5" t="s">
        <v>1599</v>
      </c>
      <c r="H143" s="5" t="s">
        <v>1665</v>
      </c>
      <c r="I143" s="5" t="s">
        <v>2847</v>
      </c>
      <c r="J143" s="5" t="s">
        <v>2972</v>
      </c>
      <c r="K143" s="5" t="s">
        <v>3098</v>
      </c>
      <c r="L143" s="5" t="s">
        <v>3227</v>
      </c>
      <c r="M143" s="5" t="s">
        <v>3696</v>
      </c>
      <c r="N143" s="5" t="s">
        <v>3807</v>
      </c>
    </row>
    <row r="144" spans="1:14" x14ac:dyDescent="0.25">
      <c r="A144" s="12" t="s">
        <v>5</v>
      </c>
      <c r="B144" s="5" t="s">
        <v>1243</v>
      </c>
      <c r="C144" s="5" t="s">
        <v>1311</v>
      </c>
      <c r="D144" s="5" t="s">
        <v>1383</v>
      </c>
      <c r="E144" s="5" t="s">
        <v>1456</v>
      </c>
      <c r="F144" s="5" t="s">
        <v>1529</v>
      </c>
      <c r="G144" s="5" t="s">
        <v>1600</v>
      </c>
      <c r="H144" s="5" t="s">
        <v>1666</v>
      </c>
      <c r="I144" s="5" t="s">
        <v>2848</v>
      </c>
      <c r="J144" s="5" t="s">
        <v>2973</v>
      </c>
      <c r="K144" s="5" t="s">
        <v>3099</v>
      </c>
      <c r="L144" s="5" t="s">
        <v>3228</v>
      </c>
      <c r="M144" s="5" t="s">
        <v>3697</v>
      </c>
      <c r="N144" s="5" t="s">
        <v>3808</v>
      </c>
    </row>
    <row r="145" spans="1:14" x14ac:dyDescent="0.25">
      <c r="A145" s="12" t="s">
        <v>22</v>
      </c>
      <c r="B145" s="5" t="s">
        <v>1244</v>
      </c>
      <c r="C145" s="5" t="s">
        <v>1312</v>
      </c>
      <c r="D145" s="5" t="s">
        <v>1384</v>
      </c>
      <c r="E145" s="5" t="s">
        <v>1457</v>
      </c>
      <c r="F145" s="5" t="s">
        <v>1530</v>
      </c>
      <c r="G145" s="5" t="s">
        <v>1384</v>
      </c>
      <c r="H145" s="5" t="s">
        <v>1667</v>
      </c>
      <c r="I145" s="5" t="s">
        <v>2849</v>
      </c>
      <c r="J145" s="5" t="s">
        <v>2974</v>
      </c>
      <c r="K145" s="5" t="s">
        <v>3100</v>
      </c>
      <c r="L145" s="5" t="s">
        <v>3229</v>
      </c>
      <c r="M145" s="5" t="s">
        <v>3698</v>
      </c>
      <c r="N145" s="5" t="s">
        <v>3809</v>
      </c>
    </row>
    <row r="146" spans="1:14" x14ac:dyDescent="0.25">
      <c r="A146" s="12" t="s">
        <v>11</v>
      </c>
      <c r="B146" s="5" t="s">
        <v>1245</v>
      </c>
      <c r="C146" s="5" t="s">
        <v>1313</v>
      </c>
      <c r="D146" s="5" t="s">
        <v>1385</v>
      </c>
      <c r="E146" s="5" t="s">
        <v>1458</v>
      </c>
      <c r="F146" s="5" t="s">
        <v>1531</v>
      </c>
      <c r="G146" s="5" t="s">
        <v>1601</v>
      </c>
      <c r="H146" s="5" t="s">
        <v>1668</v>
      </c>
      <c r="I146" s="5" t="s">
        <v>2850</v>
      </c>
      <c r="J146" s="5" t="s">
        <v>2975</v>
      </c>
      <c r="K146" s="5" t="s">
        <v>3101</v>
      </c>
      <c r="L146" s="5" t="s">
        <v>3230</v>
      </c>
      <c r="M146" s="5" t="s">
        <v>3699</v>
      </c>
      <c r="N146" s="5" t="s">
        <v>3810</v>
      </c>
    </row>
    <row r="147" spans="1:14" x14ac:dyDescent="0.25">
      <c r="A147" s="12" t="s">
        <v>564</v>
      </c>
      <c r="B147" s="5" t="s">
        <v>1246</v>
      </c>
      <c r="C147" s="5" t="s">
        <v>1314</v>
      </c>
      <c r="D147" s="5" t="s">
        <v>1386</v>
      </c>
      <c r="E147" s="5" t="s">
        <v>1459</v>
      </c>
      <c r="F147" s="5" t="s">
        <v>1532</v>
      </c>
      <c r="G147" s="5" t="s">
        <v>1602</v>
      </c>
      <c r="H147" s="5" t="s">
        <v>1669</v>
      </c>
      <c r="I147" s="5" t="s">
        <v>2851</v>
      </c>
      <c r="J147" s="5" t="s">
        <v>2976</v>
      </c>
      <c r="K147" s="5" t="s">
        <v>3102</v>
      </c>
      <c r="L147" s="5" t="s">
        <v>3231</v>
      </c>
      <c r="M147" s="5" t="s">
        <v>3700</v>
      </c>
      <c r="N147" s="5" t="s">
        <v>3811</v>
      </c>
    </row>
    <row r="148" spans="1:14" x14ac:dyDescent="0.25">
      <c r="A148" s="12" t="s">
        <v>565</v>
      </c>
      <c r="B148" s="5" t="s">
        <v>1247</v>
      </c>
      <c r="C148" s="5" t="s">
        <v>1315</v>
      </c>
      <c r="D148" s="5" t="s">
        <v>1387</v>
      </c>
      <c r="E148" s="5" t="s">
        <v>1460</v>
      </c>
      <c r="F148" s="5" t="s">
        <v>1533</v>
      </c>
      <c r="G148" s="5" t="s">
        <v>1603</v>
      </c>
      <c r="H148" s="5" t="s">
        <v>1670</v>
      </c>
      <c r="I148" s="5" t="s">
        <v>2852</v>
      </c>
      <c r="J148" s="5" t="s">
        <v>2977</v>
      </c>
      <c r="K148" s="5" t="s">
        <v>3103</v>
      </c>
      <c r="L148" s="5" t="s">
        <v>3232</v>
      </c>
      <c r="M148" s="5" t="s">
        <v>3701</v>
      </c>
      <c r="N148" s="5" t="s">
        <v>3812</v>
      </c>
    </row>
    <row r="149" spans="1:14" x14ac:dyDescent="0.25">
      <c r="A149" s="12" t="s">
        <v>566</v>
      </c>
      <c r="B149" s="5" t="s">
        <v>1248</v>
      </c>
      <c r="C149" s="5" t="s">
        <v>1316</v>
      </c>
      <c r="D149" s="5" t="s">
        <v>1388</v>
      </c>
      <c r="E149" s="5" t="s">
        <v>1461</v>
      </c>
      <c r="F149" s="5" t="s">
        <v>1534</v>
      </c>
      <c r="G149" s="5" t="s">
        <v>1604</v>
      </c>
      <c r="H149" s="5" t="s">
        <v>1671</v>
      </c>
      <c r="I149" s="5" t="s">
        <v>2853</v>
      </c>
      <c r="J149" s="5" t="s">
        <v>2978</v>
      </c>
      <c r="K149" s="5" t="s">
        <v>3104</v>
      </c>
      <c r="L149" s="5" t="s">
        <v>3233</v>
      </c>
      <c r="M149" s="5" t="s">
        <v>3702</v>
      </c>
      <c r="N149" s="5" t="s">
        <v>3813</v>
      </c>
    </row>
    <row r="150" spans="1:14" x14ac:dyDescent="0.25">
      <c r="A150" s="12" t="s">
        <v>338</v>
      </c>
      <c r="B150" s="5" t="s">
        <v>1249</v>
      </c>
      <c r="C150" s="5" t="s">
        <v>338</v>
      </c>
      <c r="D150" s="5" t="s">
        <v>1389</v>
      </c>
      <c r="E150" s="5" t="s">
        <v>1462</v>
      </c>
      <c r="F150" s="5" t="s">
        <v>1535</v>
      </c>
      <c r="G150" s="5" t="s">
        <v>1605</v>
      </c>
      <c r="H150" s="5" t="s">
        <v>1672</v>
      </c>
      <c r="I150" s="5" t="s">
        <v>2854</v>
      </c>
      <c r="J150" s="5" t="s">
        <v>2979</v>
      </c>
      <c r="K150" s="5" t="s">
        <v>3105</v>
      </c>
      <c r="L150" s="5" t="s">
        <v>3234</v>
      </c>
      <c r="M150" s="5" t="s">
        <v>3703</v>
      </c>
      <c r="N150" s="5" t="s">
        <v>3814</v>
      </c>
    </row>
    <row r="151" spans="1:14" x14ac:dyDescent="0.25">
      <c r="A151" s="12" t="s">
        <v>1</v>
      </c>
      <c r="B151" s="5" t="s">
        <v>134</v>
      </c>
      <c r="C151" s="5" t="s">
        <v>1</v>
      </c>
      <c r="D151" s="5" t="s">
        <v>135</v>
      </c>
      <c r="E151" s="5" t="s">
        <v>136</v>
      </c>
      <c r="F151" s="5" t="s">
        <v>137</v>
      </c>
      <c r="G151" s="5" t="s">
        <v>138</v>
      </c>
      <c r="H151" s="5" t="s">
        <v>139</v>
      </c>
      <c r="I151" s="5" t="s">
        <v>1</v>
      </c>
      <c r="J151" s="5" t="s">
        <v>2980</v>
      </c>
      <c r="K151" s="5" t="s">
        <v>3106</v>
      </c>
      <c r="L151" s="5" t="s">
        <v>3235</v>
      </c>
      <c r="M151" s="5" t="s">
        <v>3704</v>
      </c>
      <c r="N151" s="5" t="s">
        <v>1</v>
      </c>
    </row>
    <row r="152" spans="1:14" x14ac:dyDescent="0.25">
      <c r="A152" s="12" t="s">
        <v>567</v>
      </c>
      <c r="B152" s="5" t="s">
        <v>1250</v>
      </c>
      <c r="C152" s="5" t="s">
        <v>1317</v>
      </c>
      <c r="D152" s="5" t="s">
        <v>1390</v>
      </c>
      <c r="E152" s="5" t="s">
        <v>1463</v>
      </c>
      <c r="F152" s="5" t="s">
        <v>1536</v>
      </c>
      <c r="G152" s="5" t="s">
        <v>1606</v>
      </c>
      <c r="H152" s="5" t="s">
        <v>1673</v>
      </c>
      <c r="I152" s="5" t="s">
        <v>2855</v>
      </c>
      <c r="J152" s="5" t="s">
        <v>2981</v>
      </c>
      <c r="K152" s="5" t="s">
        <v>3107</v>
      </c>
      <c r="L152" s="5" t="s">
        <v>3236</v>
      </c>
      <c r="M152" s="5" t="s">
        <v>3705</v>
      </c>
      <c r="N152" s="5" t="s">
        <v>2855</v>
      </c>
    </row>
    <row r="153" spans="1:14" x14ac:dyDescent="0.25">
      <c r="A153" s="12" t="s">
        <v>568</v>
      </c>
      <c r="B153" s="5" t="s">
        <v>1251</v>
      </c>
      <c r="C153" s="5" t="s">
        <v>1318</v>
      </c>
      <c r="D153" s="5" t="s">
        <v>1391</v>
      </c>
      <c r="E153" s="5" t="s">
        <v>1464</v>
      </c>
      <c r="F153" s="5" t="s">
        <v>1537</v>
      </c>
      <c r="G153" s="5" t="s">
        <v>1607</v>
      </c>
      <c r="H153" s="5" t="s">
        <v>1674</v>
      </c>
      <c r="I153" s="5" t="s">
        <v>2856</v>
      </c>
      <c r="J153" s="5" t="s">
        <v>2982</v>
      </c>
      <c r="K153" s="5" t="s">
        <v>3108</v>
      </c>
      <c r="L153" s="5" t="s">
        <v>3237</v>
      </c>
      <c r="M153" s="5" t="s">
        <v>3706</v>
      </c>
      <c r="N153" s="5" t="s">
        <v>3815</v>
      </c>
    </row>
    <row r="154" spans="1:14" x14ac:dyDescent="0.25">
      <c r="A154" s="12" t="s">
        <v>211</v>
      </c>
      <c r="B154" s="5" t="s">
        <v>212</v>
      </c>
      <c r="C154" s="5" t="s">
        <v>213</v>
      </c>
      <c r="D154" s="5" t="s">
        <v>214</v>
      </c>
      <c r="E154" s="5" t="s">
        <v>215</v>
      </c>
      <c r="F154" s="5" t="s">
        <v>216</v>
      </c>
      <c r="G154" s="5" t="s">
        <v>217</v>
      </c>
      <c r="H154" s="5" t="s">
        <v>218</v>
      </c>
      <c r="I154" s="5" t="s">
        <v>2857</v>
      </c>
      <c r="J154" s="5" t="s">
        <v>2983</v>
      </c>
      <c r="K154" s="5" t="s">
        <v>3109</v>
      </c>
      <c r="L154" s="5" t="s">
        <v>3238</v>
      </c>
      <c r="M154" s="5" t="s">
        <v>3707</v>
      </c>
      <c r="N154" s="5" t="s">
        <v>3816</v>
      </c>
    </row>
    <row r="155" spans="1:14" x14ac:dyDescent="0.25">
      <c r="A155" s="12" t="s">
        <v>203</v>
      </c>
      <c r="B155" s="5" t="s">
        <v>204</v>
      </c>
      <c r="C155" s="5" t="s">
        <v>205</v>
      </c>
      <c r="D155" s="5" t="s">
        <v>206</v>
      </c>
      <c r="E155" s="5" t="s">
        <v>207</v>
      </c>
      <c r="F155" s="5" t="s">
        <v>208</v>
      </c>
      <c r="G155" s="5" t="s">
        <v>209</v>
      </c>
      <c r="H155" s="5" t="s">
        <v>210</v>
      </c>
      <c r="I155" s="5" t="s">
        <v>2858</v>
      </c>
      <c r="J155" s="5" t="s">
        <v>2984</v>
      </c>
      <c r="K155" s="5" t="s">
        <v>3110</v>
      </c>
      <c r="L155" s="5" t="s">
        <v>3239</v>
      </c>
      <c r="M155" s="5" t="s">
        <v>3708</v>
      </c>
      <c r="N155" s="5" t="s">
        <v>3817</v>
      </c>
    </row>
    <row r="156" spans="1:14" x14ac:dyDescent="0.25">
      <c r="A156" s="12" t="s">
        <v>178</v>
      </c>
      <c r="B156" s="5" t="s">
        <v>1252</v>
      </c>
      <c r="C156" s="5" t="s">
        <v>179</v>
      </c>
      <c r="D156" s="5" t="s">
        <v>180</v>
      </c>
      <c r="E156" s="5" t="s">
        <v>181</v>
      </c>
      <c r="F156" s="5" t="s">
        <v>182</v>
      </c>
      <c r="G156" s="5" t="s">
        <v>183</v>
      </c>
      <c r="H156" s="5" t="s">
        <v>184</v>
      </c>
      <c r="I156" s="5" t="s">
        <v>2859</v>
      </c>
      <c r="J156" s="5" t="s">
        <v>2985</v>
      </c>
      <c r="K156" s="5" t="s">
        <v>3111</v>
      </c>
      <c r="L156" s="5" t="s">
        <v>3240</v>
      </c>
      <c r="M156" s="5" t="s">
        <v>3709</v>
      </c>
      <c r="N156" s="5" t="s">
        <v>3818</v>
      </c>
    </row>
    <row r="157" spans="1:14" x14ac:dyDescent="0.25">
      <c r="A157" s="12" t="s">
        <v>153</v>
      </c>
      <c r="B157" s="5" t="s">
        <v>154</v>
      </c>
      <c r="C157" s="5" t="s">
        <v>155</v>
      </c>
      <c r="D157" s="5" t="s">
        <v>156</v>
      </c>
      <c r="E157" s="5" t="s">
        <v>157</v>
      </c>
      <c r="F157" s="5" t="s">
        <v>158</v>
      </c>
      <c r="G157" s="5" t="s">
        <v>159</v>
      </c>
      <c r="H157" s="5" t="s">
        <v>160</v>
      </c>
      <c r="I157" s="5" t="s">
        <v>2860</v>
      </c>
      <c r="J157" s="5" t="s">
        <v>2986</v>
      </c>
      <c r="K157" s="5" t="s">
        <v>3112</v>
      </c>
      <c r="L157" s="5" t="s">
        <v>3241</v>
      </c>
      <c r="M157" s="5" t="s">
        <v>3710</v>
      </c>
      <c r="N157" s="5" t="s">
        <v>3819</v>
      </c>
    </row>
    <row r="158" spans="1:14" x14ac:dyDescent="0.25">
      <c r="A158" s="12" t="s">
        <v>569</v>
      </c>
      <c r="B158" s="5" t="s">
        <v>1253</v>
      </c>
      <c r="C158" s="5" t="s">
        <v>1319</v>
      </c>
      <c r="D158" s="5" t="s">
        <v>1392</v>
      </c>
      <c r="E158" s="5" t="s">
        <v>1465</v>
      </c>
      <c r="F158" s="5" t="s">
        <v>1538</v>
      </c>
      <c r="G158" s="5" t="s">
        <v>1608</v>
      </c>
      <c r="H158" s="5" t="s">
        <v>1675</v>
      </c>
      <c r="I158" s="5" t="s">
        <v>2861</v>
      </c>
      <c r="J158" s="5" t="s">
        <v>2987</v>
      </c>
      <c r="K158" s="5" t="s">
        <v>3113</v>
      </c>
      <c r="L158" s="5" t="s">
        <v>3242</v>
      </c>
      <c r="M158" s="5" t="s">
        <v>3711</v>
      </c>
      <c r="N158" s="5" t="s">
        <v>3820</v>
      </c>
    </row>
    <row r="159" spans="1:14" x14ac:dyDescent="0.25">
      <c r="A159" s="12" t="s">
        <v>570</v>
      </c>
      <c r="B159" s="5" t="s">
        <v>1254</v>
      </c>
      <c r="C159" s="5" t="s">
        <v>1320</v>
      </c>
      <c r="D159" s="5" t="s">
        <v>1393</v>
      </c>
      <c r="E159" s="5" t="s">
        <v>1466</v>
      </c>
      <c r="F159" s="5" t="s">
        <v>1539</v>
      </c>
      <c r="G159" s="5" t="s">
        <v>1609</v>
      </c>
      <c r="H159" s="5" t="s">
        <v>1676</v>
      </c>
      <c r="I159" s="5" t="s">
        <v>2862</v>
      </c>
      <c r="J159" s="5" t="s">
        <v>2988</v>
      </c>
      <c r="K159" s="5" t="s">
        <v>3114</v>
      </c>
      <c r="L159" s="5" t="s">
        <v>3243</v>
      </c>
      <c r="M159" s="5" t="s">
        <v>3712</v>
      </c>
      <c r="N159" s="5" t="s">
        <v>3821</v>
      </c>
    </row>
    <row r="160" spans="1:14" x14ac:dyDescent="0.25">
      <c r="A160" s="12" t="s">
        <v>114</v>
      </c>
      <c r="B160" s="5" t="s">
        <v>1255</v>
      </c>
      <c r="C160" s="5" t="s">
        <v>1321</v>
      </c>
      <c r="D160" s="5" t="s">
        <v>1394</v>
      </c>
      <c r="E160" s="5" t="s">
        <v>115</v>
      </c>
      <c r="F160" s="5" t="s">
        <v>116</v>
      </c>
      <c r="G160" s="5" t="s">
        <v>117</v>
      </c>
      <c r="H160" s="5" t="s">
        <v>118</v>
      </c>
      <c r="I160" s="5" t="s">
        <v>2863</v>
      </c>
      <c r="J160" s="5" t="s">
        <v>2989</v>
      </c>
      <c r="K160" s="5" t="s">
        <v>3115</v>
      </c>
      <c r="L160" s="5" t="s">
        <v>3244</v>
      </c>
      <c r="M160" s="5" t="s">
        <v>3713</v>
      </c>
      <c r="N160" s="5" t="s">
        <v>3822</v>
      </c>
    </row>
    <row r="161" spans="1:14" x14ac:dyDescent="0.25">
      <c r="A161" s="12" t="s">
        <v>315</v>
      </c>
      <c r="B161" s="5" t="s">
        <v>3462</v>
      </c>
      <c r="C161" s="5" t="s">
        <v>316</v>
      </c>
      <c r="D161" s="5" t="s">
        <v>317</v>
      </c>
      <c r="E161" s="5" t="s">
        <v>318</v>
      </c>
      <c r="F161" s="5" t="s">
        <v>319</v>
      </c>
      <c r="G161" s="5" t="s">
        <v>320</v>
      </c>
      <c r="H161" s="5" t="s">
        <v>321</v>
      </c>
      <c r="I161" s="5" t="s">
        <v>2864</v>
      </c>
      <c r="J161" s="5" t="s">
        <v>2990</v>
      </c>
      <c r="K161" s="5" t="s">
        <v>3116</v>
      </c>
      <c r="L161" s="5" t="s">
        <v>3245</v>
      </c>
      <c r="M161" s="5" t="s">
        <v>3714</v>
      </c>
      <c r="N161" s="5" t="s">
        <v>3823</v>
      </c>
    </row>
    <row r="162" spans="1:14" x14ac:dyDescent="0.25">
      <c r="A162" s="12" t="s">
        <v>260</v>
      </c>
      <c r="B162" s="5" t="s">
        <v>261</v>
      </c>
      <c r="C162" s="5" t="s">
        <v>262</v>
      </c>
      <c r="D162" s="5" t="s">
        <v>263</v>
      </c>
      <c r="E162" s="5" t="s">
        <v>264</v>
      </c>
      <c r="F162" s="5" t="s">
        <v>265</v>
      </c>
      <c r="G162" s="5" t="s">
        <v>266</v>
      </c>
      <c r="H162" s="5" t="s">
        <v>267</v>
      </c>
      <c r="I162" s="5" t="s">
        <v>2865</v>
      </c>
      <c r="J162" s="5" t="s">
        <v>2991</v>
      </c>
      <c r="K162" s="5" t="s">
        <v>3117</v>
      </c>
      <c r="L162" s="5" t="s">
        <v>3246</v>
      </c>
      <c r="M162" s="5" t="s">
        <v>3715</v>
      </c>
      <c r="N162" s="5" t="s">
        <v>3824</v>
      </c>
    </row>
    <row r="163" spans="1:14" x14ac:dyDescent="0.25">
      <c r="A163" s="12" t="s">
        <v>571</v>
      </c>
      <c r="B163" s="5" t="s">
        <v>1824</v>
      </c>
      <c r="C163" s="5" t="s">
        <v>1322</v>
      </c>
      <c r="D163" s="5" t="s">
        <v>1395</v>
      </c>
      <c r="E163" s="5" t="s">
        <v>1467</v>
      </c>
      <c r="F163" s="5" t="s">
        <v>1540</v>
      </c>
      <c r="G163" s="5" t="s">
        <v>1610</v>
      </c>
      <c r="H163" s="5" t="s">
        <v>1677</v>
      </c>
      <c r="I163" s="5" t="s">
        <v>2866</v>
      </c>
      <c r="J163" s="5" t="s">
        <v>2992</v>
      </c>
      <c r="K163" s="5" t="s">
        <v>3118</v>
      </c>
      <c r="L163" s="5" t="s">
        <v>3247</v>
      </c>
      <c r="M163" s="5" t="s">
        <v>3716</v>
      </c>
      <c r="N163" s="5" t="s">
        <v>3825</v>
      </c>
    </row>
    <row r="164" spans="1:14" x14ac:dyDescent="0.25">
      <c r="A164" s="12" t="s">
        <v>572</v>
      </c>
      <c r="B164" s="5" t="s">
        <v>1829</v>
      </c>
      <c r="C164" s="5" t="s">
        <v>1323</v>
      </c>
      <c r="D164" s="5" t="s">
        <v>1396</v>
      </c>
      <c r="E164" s="5" t="s">
        <v>1468</v>
      </c>
      <c r="F164" s="5" t="s">
        <v>1541</v>
      </c>
      <c r="G164" s="5" t="s">
        <v>1611</v>
      </c>
      <c r="H164" s="5" t="s">
        <v>1678</v>
      </c>
      <c r="I164" s="5" t="s">
        <v>2867</v>
      </c>
      <c r="J164" s="5" t="s">
        <v>2993</v>
      </c>
      <c r="K164" s="5" t="s">
        <v>3119</v>
      </c>
      <c r="L164" s="5" t="s">
        <v>3248</v>
      </c>
      <c r="M164" s="5" t="s">
        <v>3717</v>
      </c>
      <c r="N164" s="5" t="s">
        <v>3826</v>
      </c>
    </row>
    <row r="165" spans="1:14" x14ac:dyDescent="0.25">
      <c r="A165" s="12" t="s">
        <v>1836</v>
      </c>
      <c r="B165" s="5" t="s">
        <v>1890</v>
      </c>
      <c r="C165" s="5" t="s">
        <v>1931</v>
      </c>
      <c r="D165" s="5" t="s">
        <v>1976</v>
      </c>
      <c r="E165" s="5" t="s">
        <v>2021</v>
      </c>
      <c r="F165" s="5" t="s">
        <v>2066</v>
      </c>
      <c r="G165" s="5" t="s">
        <v>2111</v>
      </c>
      <c r="H165" s="5" t="s">
        <v>2155</v>
      </c>
      <c r="I165" s="5" t="s">
        <v>2868</v>
      </c>
      <c r="J165" s="5" t="s">
        <v>2994</v>
      </c>
      <c r="K165" s="5" t="s">
        <v>3120</v>
      </c>
      <c r="L165" s="5" t="s">
        <v>3249</v>
      </c>
      <c r="M165" s="5" t="s">
        <v>3718</v>
      </c>
      <c r="N165" s="5" t="s">
        <v>3827</v>
      </c>
    </row>
    <row r="166" spans="1:14" x14ac:dyDescent="0.25">
      <c r="A166" s="12" t="s">
        <v>197</v>
      </c>
      <c r="B166" s="5" t="s">
        <v>198</v>
      </c>
      <c r="C166" s="5" t="s">
        <v>199</v>
      </c>
      <c r="D166" s="5" t="s">
        <v>200</v>
      </c>
      <c r="E166" s="5" t="s">
        <v>197</v>
      </c>
      <c r="F166" s="5" t="s">
        <v>201</v>
      </c>
      <c r="G166" s="5" t="s">
        <v>200</v>
      </c>
      <c r="H166" s="5" t="s">
        <v>202</v>
      </c>
      <c r="I166" s="5" t="s">
        <v>2869</v>
      </c>
      <c r="J166" s="5" t="s">
        <v>2995</v>
      </c>
      <c r="K166" s="5" t="s">
        <v>3121</v>
      </c>
      <c r="L166" s="5" t="s">
        <v>3250</v>
      </c>
      <c r="M166" s="5" t="s">
        <v>3719</v>
      </c>
      <c r="N166" s="5" t="s">
        <v>2869</v>
      </c>
    </row>
    <row r="167" spans="1:14" x14ac:dyDescent="0.25">
      <c r="A167" s="12" t="s">
        <v>573</v>
      </c>
      <c r="B167" s="5" t="s">
        <v>1256</v>
      </c>
      <c r="C167" s="5" t="s">
        <v>1324</v>
      </c>
      <c r="D167" s="5" t="s">
        <v>1397</v>
      </c>
      <c r="E167" s="5" t="s">
        <v>1469</v>
      </c>
      <c r="F167" s="5" t="s">
        <v>1542</v>
      </c>
      <c r="G167" s="5" t="s">
        <v>1612</v>
      </c>
      <c r="H167" s="5" t="s">
        <v>1679</v>
      </c>
      <c r="I167" s="5" t="s">
        <v>2870</v>
      </c>
      <c r="J167" s="5" t="s">
        <v>2996</v>
      </c>
      <c r="K167" s="5" t="s">
        <v>3122</v>
      </c>
      <c r="L167" s="5" t="s">
        <v>3251</v>
      </c>
      <c r="M167" s="5" t="s">
        <v>3720</v>
      </c>
      <c r="N167" s="5" t="s">
        <v>3828</v>
      </c>
    </row>
    <row r="168" spans="1:14" x14ac:dyDescent="0.25">
      <c r="A168" s="12" t="s">
        <v>574</v>
      </c>
      <c r="B168" s="5" t="s">
        <v>1257</v>
      </c>
      <c r="C168" s="5" t="s">
        <v>1325</v>
      </c>
      <c r="D168" s="5" t="s">
        <v>1398</v>
      </c>
      <c r="E168" s="5" t="s">
        <v>1470</v>
      </c>
      <c r="F168" s="5" t="s">
        <v>1543</v>
      </c>
      <c r="G168" s="5" t="s">
        <v>1613</v>
      </c>
      <c r="H168" s="5" t="s">
        <v>1680</v>
      </c>
      <c r="I168" s="5" t="s">
        <v>2871</v>
      </c>
      <c r="J168" s="5" t="s">
        <v>2997</v>
      </c>
      <c r="K168" s="5" t="s">
        <v>3123</v>
      </c>
      <c r="L168" s="5" t="s">
        <v>3252</v>
      </c>
      <c r="M168" s="5" t="s">
        <v>3721</v>
      </c>
      <c r="N168" s="5" t="s">
        <v>3829</v>
      </c>
    </row>
    <row r="169" spans="1:14" x14ac:dyDescent="0.25">
      <c r="A169" s="12" t="s">
        <v>2284</v>
      </c>
      <c r="B169" s="5" t="s">
        <v>2286</v>
      </c>
      <c r="C169" s="5" t="s">
        <v>2288</v>
      </c>
      <c r="D169" s="5" t="s">
        <v>2290</v>
      </c>
      <c r="E169" s="5" t="s">
        <v>2292</v>
      </c>
      <c r="F169" s="5" t="s">
        <v>2294</v>
      </c>
      <c r="G169" s="5" t="s">
        <v>2296</v>
      </c>
      <c r="H169" s="5" t="s">
        <v>2297</v>
      </c>
      <c r="I169" s="5" t="s">
        <v>2872</v>
      </c>
      <c r="J169" s="5" t="s">
        <v>2998</v>
      </c>
      <c r="K169" s="5" t="s">
        <v>3124</v>
      </c>
      <c r="L169" s="5" t="s">
        <v>3253</v>
      </c>
      <c r="M169" s="5" t="s">
        <v>3722</v>
      </c>
      <c r="N169" s="5" t="s">
        <v>3830</v>
      </c>
    </row>
    <row r="170" spans="1:14" x14ac:dyDescent="0.25">
      <c r="A170" s="12" t="s">
        <v>30</v>
      </c>
      <c r="B170" s="5" t="s">
        <v>1258</v>
      </c>
      <c r="C170" s="5" t="s">
        <v>1326</v>
      </c>
      <c r="D170" s="5" t="s">
        <v>1399</v>
      </c>
      <c r="E170" s="5" t="s">
        <v>1471</v>
      </c>
      <c r="F170" s="5" t="s">
        <v>1544</v>
      </c>
      <c r="G170" s="5" t="s">
        <v>1614</v>
      </c>
      <c r="H170" s="5" t="s">
        <v>1681</v>
      </c>
      <c r="I170" s="5" t="s">
        <v>2873</v>
      </c>
      <c r="J170" s="5" t="s">
        <v>2999</v>
      </c>
      <c r="K170" s="5" t="s">
        <v>3125</v>
      </c>
      <c r="L170" s="5" t="s">
        <v>3254</v>
      </c>
      <c r="M170" s="5" t="s">
        <v>3723</v>
      </c>
      <c r="N170" s="5" t="s">
        <v>3831</v>
      </c>
    </row>
    <row r="171" spans="1:14" x14ac:dyDescent="0.25">
      <c r="A171" s="12" t="s">
        <v>29</v>
      </c>
      <c r="B171" s="5" t="s">
        <v>1259</v>
      </c>
      <c r="C171" s="5" t="s">
        <v>1327</v>
      </c>
      <c r="D171" s="5" t="s">
        <v>1400</v>
      </c>
      <c r="E171" s="5" t="s">
        <v>1472</v>
      </c>
      <c r="F171" s="5" t="s">
        <v>1545</v>
      </c>
      <c r="G171" s="5" t="s">
        <v>1615</v>
      </c>
      <c r="H171" s="5" t="s">
        <v>1682</v>
      </c>
      <c r="I171" s="5" t="s">
        <v>2874</v>
      </c>
      <c r="J171" s="5" t="s">
        <v>3000</v>
      </c>
      <c r="K171" s="5" t="s">
        <v>3126</v>
      </c>
      <c r="L171" s="5" t="s">
        <v>3255</v>
      </c>
      <c r="M171" s="5" t="s">
        <v>3724</v>
      </c>
      <c r="N171" s="5" t="s">
        <v>3832</v>
      </c>
    </row>
    <row r="172" spans="1:14" x14ac:dyDescent="0.25">
      <c r="A172" s="12" t="s">
        <v>575</v>
      </c>
      <c r="B172" s="5" t="s">
        <v>1260</v>
      </c>
      <c r="C172" s="5" t="s">
        <v>1328</v>
      </c>
      <c r="D172" s="5" t="s">
        <v>1401</v>
      </c>
      <c r="E172" s="5" t="s">
        <v>1473</v>
      </c>
      <c r="F172" s="5" t="s">
        <v>1546</v>
      </c>
      <c r="G172" s="5" t="s">
        <v>1616</v>
      </c>
      <c r="H172" s="5" t="s">
        <v>1683</v>
      </c>
      <c r="I172" s="5" t="s">
        <v>2875</v>
      </c>
      <c r="J172" s="5" t="s">
        <v>3001</v>
      </c>
      <c r="K172" s="5" t="s">
        <v>3127</v>
      </c>
      <c r="L172" s="5" t="s">
        <v>3256</v>
      </c>
      <c r="M172" s="5" t="s">
        <v>3725</v>
      </c>
      <c r="N172" s="5" t="s">
        <v>3833</v>
      </c>
    </row>
    <row r="173" spans="1:14" x14ac:dyDescent="0.25">
      <c r="A173" s="12" t="s">
        <v>3</v>
      </c>
      <c r="B173" s="5" t="s">
        <v>146</v>
      </c>
      <c r="C173" s="5" t="s">
        <v>147</v>
      </c>
      <c r="D173" s="5" t="s">
        <v>148</v>
      </c>
      <c r="E173" s="5" t="s">
        <v>149</v>
      </c>
      <c r="F173" s="5" t="s">
        <v>150</v>
      </c>
      <c r="G173" s="5" t="s">
        <v>151</v>
      </c>
      <c r="H173" s="5" t="s">
        <v>152</v>
      </c>
      <c r="I173" s="5" t="s">
        <v>2876</v>
      </c>
      <c r="J173" s="5" t="s">
        <v>3002</v>
      </c>
      <c r="K173" s="5" t="s">
        <v>3128</v>
      </c>
      <c r="L173" s="5" t="s">
        <v>3257</v>
      </c>
      <c r="M173" s="5" t="s">
        <v>152</v>
      </c>
      <c r="N173" s="5" t="s">
        <v>3834</v>
      </c>
    </row>
    <row r="174" spans="1:14" x14ac:dyDescent="0.25">
      <c r="A174" s="12" t="s">
        <v>576</v>
      </c>
      <c r="B174" s="5" t="s">
        <v>1834</v>
      </c>
      <c r="C174" s="5" t="s">
        <v>1329</v>
      </c>
      <c r="D174" s="5" t="s">
        <v>1402</v>
      </c>
      <c r="E174" s="5" t="s">
        <v>1474</v>
      </c>
      <c r="F174" s="5" t="s">
        <v>1547</v>
      </c>
      <c r="G174" s="5" t="s">
        <v>1617</v>
      </c>
      <c r="H174" s="5" t="s">
        <v>1684</v>
      </c>
      <c r="I174" s="5" t="s">
        <v>2877</v>
      </c>
      <c r="J174" s="5" t="s">
        <v>3003</v>
      </c>
      <c r="K174" s="5" t="s">
        <v>3129</v>
      </c>
      <c r="L174" s="5" t="s">
        <v>3258</v>
      </c>
      <c r="M174" s="5" t="s">
        <v>3726</v>
      </c>
      <c r="N174" s="5" t="s">
        <v>3835</v>
      </c>
    </row>
    <row r="175" spans="1:14" x14ac:dyDescent="0.25">
      <c r="A175" s="12" t="s">
        <v>577</v>
      </c>
      <c r="B175" s="5" t="s">
        <v>1840</v>
      </c>
      <c r="C175" s="5" t="s">
        <v>1330</v>
      </c>
      <c r="D175" s="5" t="s">
        <v>1403</v>
      </c>
      <c r="E175" s="5" t="s">
        <v>1475</v>
      </c>
      <c r="F175" s="5" t="s">
        <v>1548</v>
      </c>
      <c r="G175" s="5" t="s">
        <v>1618</v>
      </c>
      <c r="H175" s="5" t="s">
        <v>1685</v>
      </c>
      <c r="I175" s="5" t="s">
        <v>2878</v>
      </c>
      <c r="J175" s="5" t="s">
        <v>3004</v>
      </c>
      <c r="K175" s="5" t="s">
        <v>3130</v>
      </c>
      <c r="L175" s="5" t="s">
        <v>3259</v>
      </c>
      <c r="M175" s="5" t="s">
        <v>3727</v>
      </c>
      <c r="N175" s="5" t="s">
        <v>3836</v>
      </c>
    </row>
    <row r="176" spans="1:14" x14ac:dyDescent="0.25">
      <c r="A176" s="12" t="s">
        <v>322</v>
      </c>
      <c r="B176" s="5" t="s">
        <v>323</v>
      </c>
      <c r="C176" s="5" t="s">
        <v>324</v>
      </c>
      <c r="D176" s="5" t="s">
        <v>325</v>
      </c>
      <c r="E176" s="5" t="s">
        <v>326</v>
      </c>
      <c r="F176" s="5" t="s">
        <v>327</v>
      </c>
      <c r="G176" s="5" t="s">
        <v>328</v>
      </c>
      <c r="H176" s="5" t="s">
        <v>329</v>
      </c>
      <c r="I176" s="5" t="s">
        <v>2879</v>
      </c>
      <c r="J176" s="5" t="s">
        <v>3005</v>
      </c>
      <c r="K176" s="5" t="s">
        <v>3131</v>
      </c>
      <c r="L176" s="5" t="s">
        <v>3260</v>
      </c>
      <c r="M176" s="5" t="s">
        <v>3728</v>
      </c>
      <c r="N176" s="5" t="s">
        <v>3837</v>
      </c>
    </row>
    <row r="177" spans="1:14" x14ac:dyDescent="0.25">
      <c r="A177" s="12" t="s">
        <v>578</v>
      </c>
      <c r="B177" s="5" t="s">
        <v>1261</v>
      </c>
      <c r="C177" s="5" t="s">
        <v>1331</v>
      </c>
      <c r="D177" s="5" t="s">
        <v>1404</v>
      </c>
      <c r="E177" s="5" t="s">
        <v>1476</v>
      </c>
      <c r="F177" s="5" t="s">
        <v>1549</v>
      </c>
      <c r="G177" s="5" t="s">
        <v>578</v>
      </c>
      <c r="H177" s="5" t="s">
        <v>1686</v>
      </c>
      <c r="I177" s="5" t="s">
        <v>2880</v>
      </c>
      <c r="J177" s="5" t="s">
        <v>3006</v>
      </c>
      <c r="K177" s="5" t="s">
        <v>3132</v>
      </c>
      <c r="L177" s="5" t="s">
        <v>3261</v>
      </c>
      <c r="M177" s="5" t="s">
        <v>3729</v>
      </c>
      <c r="N177" s="5" t="s">
        <v>3838</v>
      </c>
    </row>
    <row r="178" spans="1:14" x14ac:dyDescent="0.25">
      <c r="A178" s="12" t="s">
        <v>579</v>
      </c>
      <c r="B178" s="5" t="s">
        <v>1262</v>
      </c>
      <c r="C178" s="5" t="s">
        <v>1332</v>
      </c>
      <c r="D178" s="5" t="s">
        <v>1405</v>
      </c>
      <c r="E178" s="5" t="s">
        <v>1477</v>
      </c>
      <c r="F178" s="5" t="s">
        <v>1550</v>
      </c>
      <c r="G178" s="5" t="s">
        <v>1619</v>
      </c>
      <c r="H178" s="5" t="s">
        <v>1687</v>
      </c>
      <c r="I178" s="5" t="s">
        <v>2881</v>
      </c>
      <c r="J178" s="5" t="s">
        <v>3007</v>
      </c>
      <c r="K178" s="5" t="s">
        <v>3133</v>
      </c>
      <c r="L178" s="5" t="s">
        <v>3262</v>
      </c>
      <c r="M178" s="5" t="s">
        <v>3730</v>
      </c>
      <c r="N178" s="5" t="s">
        <v>3839</v>
      </c>
    </row>
    <row r="179" spans="1:14" x14ac:dyDescent="0.25">
      <c r="A179" s="12" t="s">
        <v>0</v>
      </c>
      <c r="B179" s="5" t="s">
        <v>127</v>
      </c>
      <c r="C179" s="5" t="s">
        <v>128</v>
      </c>
      <c r="D179" s="5" t="s">
        <v>129</v>
      </c>
      <c r="E179" s="5" t="s">
        <v>130</v>
      </c>
      <c r="F179" s="5" t="s">
        <v>131</v>
      </c>
      <c r="G179" s="5" t="s">
        <v>132</v>
      </c>
      <c r="H179" s="5" t="s">
        <v>133</v>
      </c>
      <c r="I179" s="5" t="s">
        <v>2882</v>
      </c>
      <c r="J179" s="5" t="s">
        <v>133</v>
      </c>
      <c r="K179" s="5" t="s">
        <v>3134</v>
      </c>
      <c r="L179" s="5" t="s">
        <v>3263</v>
      </c>
      <c r="M179" s="5" t="s">
        <v>3731</v>
      </c>
      <c r="N179" s="5" t="s">
        <v>2882</v>
      </c>
    </row>
    <row r="180" spans="1:14" x14ac:dyDescent="0.25">
      <c r="A180" s="12" t="s">
        <v>580</v>
      </c>
      <c r="B180" s="5" t="s">
        <v>1263</v>
      </c>
      <c r="C180" s="5" t="s">
        <v>1333</v>
      </c>
      <c r="D180" s="5" t="s">
        <v>1406</v>
      </c>
      <c r="E180" s="5" t="s">
        <v>1478</v>
      </c>
      <c r="F180" s="5" t="s">
        <v>1551</v>
      </c>
      <c r="G180" s="5" t="s">
        <v>1620</v>
      </c>
      <c r="H180" s="5" t="s">
        <v>1688</v>
      </c>
      <c r="I180" s="5" t="s">
        <v>2883</v>
      </c>
      <c r="J180" s="5" t="s">
        <v>3008</v>
      </c>
      <c r="K180" s="5" t="s">
        <v>3135</v>
      </c>
      <c r="L180" s="5" t="s">
        <v>3264</v>
      </c>
      <c r="M180" s="5" t="s">
        <v>3732</v>
      </c>
      <c r="N180" s="5" t="s">
        <v>3840</v>
      </c>
    </row>
    <row r="181" spans="1:14" x14ac:dyDescent="0.25">
      <c r="A181" s="12" t="s">
        <v>581</v>
      </c>
      <c r="B181" s="5" t="s">
        <v>1264</v>
      </c>
      <c r="C181" s="5" t="s">
        <v>1334</v>
      </c>
      <c r="D181" s="5" t="s">
        <v>1407</v>
      </c>
      <c r="E181" s="5" t="s">
        <v>1479</v>
      </c>
      <c r="F181" s="5" t="s">
        <v>1552</v>
      </c>
      <c r="G181" s="5" t="s">
        <v>1621</v>
      </c>
      <c r="H181" s="5" t="s">
        <v>1689</v>
      </c>
      <c r="I181" s="5" t="s">
        <v>2884</v>
      </c>
      <c r="J181" s="5" t="s">
        <v>3009</v>
      </c>
      <c r="K181" s="5" t="s">
        <v>3136</v>
      </c>
      <c r="L181" s="5" t="s">
        <v>3265</v>
      </c>
      <c r="M181" s="5" t="s">
        <v>3733</v>
      </c>
      <c r="N181" s="5" t="s">
        <v>3841</v>
      </c>
    </row>
    <row r="182" spans="1:14" x14ac:dyDescent="0.25">
      <c r="A182" s="12" t="s">
        <v>582</v>
      </c>
      <c r="B182" s="5" t="s">
        <v>1265</v>
      </c>
      <c r="C182" s="5" t="s">
        <v>1335</v>
      </c>
      <c r="D182" s="5" t="s">
        <v>1408</v>
      </c>
      <c r="E182" s="5" t="s">
        <v>1480</v>
      </c>
      <c r="F182" s="5" t="s">
        <v>1553</v>
      </c>
      <c r="G182" s="5" t="s">
        <v>1622</v>
      </c>
      <c r="H182" s="5" t="s">
        <v>1690</v>
      </c>
      <c r="I182" s="5" t="s">
        <v>2885</v>
      </c>
      <c r="J182" s="5" t="s">
        <v>3010</v>
      </c>
      <c r="K182" s="5" t="s">
        <v>3137</v>
      </c>
      <c r="L182" s="5" t="s">
        <v>3266</v>
      </c>
      <c r="M182" s="5" t="s">
        <v>3734</v>
      </c>
      <c r="N182" s="5" t="s">
        <v>3842</v>
      </c>
    </row>
    <row r="183" spans="1:14" x14ac:dyDescent="0.25">
      <c r="A183" s="12" t="s">
        <v>583</v>
      </c>
      <c r="B183" s="5" t="s">
        <v>1266</v>
      </c>
      <c r="C183" s="5" t="s">
        <v>1336</v>
      </c>
      <c r="D183" s="5" t="s">
        <v>1409</v>
      </c>
      <c r="E183" s="5" t="s">
        <v>1481</v>
      </c>
      <c r="F183" s="5" t="s">
        <v>1554</v>
      </c>
      <c r="G183" s="5" t="s">
        <v>1623</v>
      </c>
      <c r="H183" s="5" t="s">
        <v>1691</v>
      </c>
      <c r="I183" s="5" t="s">
        <v>2886</v>
      </c>
      <c r="J183" s="5" t="s">
        <v>3011</v>
      </c>
      <c r="K183" s="5" t="s">
        <v>3138</v>
      </c>
      <c r="L183" s="5" t="s">
        <v>3267</v>
      </c>
      <c r="M183" s="5" t="s">
        <v>3735</v>
      </c>
      <c r="N183" s="5" t="s">
        <v>2886</v>
      </c>
    </row>
    <row r="184" spans="1:14" x14ac:dyDescent="0.25">
      <c r="A184" s="12" t="s">
        <v>24</v>
      </c>
      <c r="B184" s="5" t="s">
        <v>1267</v>
      </c>
      <c r="C184" s="5" t="s">
        <v>1337</v>
      </c>
      <c r="D184" s="5" t="s">
        <v>1410</v>
      </c>
      <c r="E184" s="5" t="s">
        <v>1482</v>
      </c>
      <c r="F184" s="5" t="s">
        <v>1555</v>
      </c>
      <c r="G184" s="5" t="s">
        <v>1624</v>
      </c>
      <c r="H184" s="5" t="s">
        <v>1692</v>
      </c>
      <c r="I184" s="5" t="s">
        <v>2887</v>
      </c>
      <c r="J184" s="5" t="s">
        <v>3012</v>
      </c>
      <c r="K184" s="5" t="s">
        <v>3139</v>
      </c>
      <c r="L184" s="5" t="s">
        <v>3268</v>
      </c>
      <c r="M184" s="5" t="s">
        <v>3736</v>
      </c>
      <c r="N184" s="5" t="s">
        <v>3843</v>
      </c>
    </row>
    <row r="185" spans="1:14" x14ac:dyDescent="0.25">
      <c r="A185" s="12" t="s">
        <v>1841</v>
      </c>
      <c r="B185" s="5" t="s">
        <v>1892</v>
      </c>
      <c r="C185" s="5" t="s">
        <v>1933</v>
      </c>
      <c r="D185" s="5" t="s">
        <v>1978</v>
      </c>
      <c r="E185" s="5" t="s">
        <v>2023</v>
      </c>
      <c r="F185" s="5" t="s">
        <v>2068</v>
      </c>
      <c r="G185" s="5" t="s">
        <v>1978</v>
      </c>
      <c r="H185" s="5" t="s">
        <v>2157</v>
      </c>
      <c r="I185" s="5" t="s">
        <v>2888</v>
      </c>
      <c r="J185" s="5" t="s">
        <v>3013</v>
      </c>
      <c r="K185" s="5" t="s">
        <v>3140</v>
      </c>
      <c r="L185" s="5" t="s">
        <v>3269</v>
      </c>
      <c r="M185" s="5" t="s">
        <v>3013</v>
      </c>
      <c r="N185" s="5" t="s">
        <v>2888</v>
      </c>
    </row>
    <row r="186" spans="1:14" x14ac:dyDescent="0.25">
      <c r="A186" s="12" t="s">
        <v>268</v>
      </c>
      <c r="B186" s="5" t="s">
        <v>269</v>
      </c>
      <c r="C186" s="5" t="s">
        <v>270</v>
      </c>
      <c r="D186" s="5" t="s">
        <v>271</v>
      </c>
      <c r="E186" s="5" t="s">
        <v>272</v>
      </c>
      <c r="F186" s="5" t="s">
        <v>273</v>
      </c>
      <c r="G186" s="5" t="s">
        <v>274</v>
      </c>
      <c r="H186" s="5" t="s">
        <v>275</v>
      </c>
      <c r="I186" s="5" t="s">
        <v>2889</v>
      </c>
      <c r="J186" s="5" t="s">
        <v>3014</v>
      </c>
      <c r="K186" s="5" t="s">
        <v>3141</v>
      </c>
      <c r="L186" s="5" t="s">
        <v>3270</v>
      </c>
      <c r="M186" s="5" t="s">
        <v>3737</v>
      </c>
      <c r="N186" s="5" t="s">
        <v>3844</v>
      </c>
    </row>
    <row r="187" spans="1:14" x14ac:dyDescent="0.25">
      <c r="A187" s="12" t="s">
        <v>584</v>
      </c>
      <c r="B187" s="5" t="s">
        <v>1833</v>
      </c>
      <c r="C187" s="5" t="s">
        <v>1338</v>
      </c>
      <c r="D187" s="5" t="s">
        <v>1411</v>
      </c>
      <c r="E187" s="5" t="s">
        <v>1483</v>
      </c>
      <c r="F187" s="5" t="s">
        <v>1556</v>
      </c>
      <c r="G187" s="5" t="s">
        <v>1411</v>
      </c>
      <c r="H187" s="5" t="s">
        <v>1693</v>
      </c>
      <c r="I187" s="5" t="s">
        <v>2890</v>
      </c>
      <c r="J187" s="5" t="s">
        <v>3015</v>
      </c>
      <c r="K187" s="5" t="s">
        <v>3142</v>
      </c>
      <c r="L187" s="5" t="s">
        <v>3271</v>
      </c>
      <c r="M187" s="5" t="s">
        <v>3738</v>
      </c>
      <c r="N187" s="5" t="s">
        <v>3845</v>
      </c>
    </row>
    <row r="188" spans="1:14" x14ac:dyDescent="0.25">
      <c r="A188" s="12" t="s">
        <v>2213</v>
      </c>
      <c r="B188" s="5" t="s">
        <v>2219</v>
      </c>
      <c r="C188" s="5" t="s">
        <v>2226</v>
      </c>
      <c r="D188" s="5" t="s">
        <v>2233</v>
      </c>
      <c r="E188" s="5" t="s">
        <v>2240</v>
      </c>
      <c r="F188" s="5" t="s">
        <v>2247</v>
      </c>
      <c r="G188" s="5" t="s">
        <v>2254</v>
      </c>
      <c r="H188" s="5" t="s">
        <v>2261</v>
      </c>
      <c r="I188" s="5" t="s">
        <v>2891</v>
      </c>
      <c r="J188" s="5" t="s">
        <v>3016</v>
      </c>
      <c r="K188" s="5" t="s">
        <v>3143</v>
      </c>
      <c r="L188" s="5" t="s">
        <v>3272</v>
      </c>
      <c r="M188" s="5" t="s">
        <v>3739</v>
      </c>
      <c r="N188" s="5" t="s">
        <v>3846</v>
      </c>
    </row>
    <row r="189" spans="1:14" x14ac:dyDescent="0.25">
      <c r="A189" s="12" t="s">
        <v>585</v>
      </c>
      <c r="B189" s="5" t="s">
        <v>1268</v>
      </c>
      <c r="C189" s="5" t="s">
        <v>1339</v>
      </c>
      <c r="D189" s="5" t="s">
        <v>1412</v>
      </c>
      <c r="E189" s="5" t="s">
        <v>1484</v>
      </c>
      <c r="F189" s="5" t="s">
        <v>1557</v>
      </c>
      <c r="G189" s="5" t="s">
        <v>1625</v>
      </c>
      <c r="H189" s="5" t="s">
        <v>1694</v>
      </c>
      <c r="I189" s="5" t="s">
        <v>2892</v>
      </c>
      <c r="J189" s="5" t="s">
        <v>3017</v>
      </c>
      <c r="K189" s="5" t="s">
        <v>3144</v>
      </c>
      <c r="L189" s="5" t="s">
        <v>3273</v>
      </c>
      <c r="M189" s="5" t="s">
        <v>3740</v>
      </c>
      <c r="N189" s="5" t="s">
        <v>3847</v>
      </c>
    </row>
    <row r="190" spans="1:14" x14ac:dyDescent="0.25">
      <c r="A190" s="12" t="s">
        <v>586</v>
      </c>
      <c r="B190" s="5" t="s">
        <v>1269</v>
      </c>
      <c r="C190" s="5" t="s">
        <v>1340</v>
      </c>
      <c r="D190" s="5" t="s">
        <v>1413</v>
      </c>
      <c r="E190" s="5" t="s">
        <v>1485</v>
      </c>
      <c r="F190" s="5" t="s">
        <v>1558</v>
      </c>
      <c r="G190" s="5" t="s">
        <v>1626</v>
      </c>
      <c r="H190" s="5" t="s">
        <v>1695</v>
      </c>
      <c r="I190" s="5" t="s">
        <v>2893</v>
      </c>
      <c r="J190" s="5" t="s">
        <v>3018</v>
      </c>
      <c r="K190" s="5" t="s">
        <v>3145</v>
      </c>
      <c r="L190" s="5" t="s">
        <v>3274</v>
      </c>
      <c r="M190" s="5" t="s">
        <v>3741</v>
      </c>
      <c r="N190" s="5" t="s">
        <v>3848</v>
      </c>
    </row>
    <row r="191" spans="1:14" x14ac:dyDescent="0.25">
      <c r="A191" s="12" t="s">
        <v>587</v>
      </c>
      <c r="B191" s="5" t="s">
        <v>1270</v>
      </c>
      <c r="C191" s="5" t="s">
        <v>1341</v>
      </c>
      <c r="D191" s="5" t="s">
        <v>1414</v>
      </c>
      <c r="E191" s="5" t="s">
        <v>1486</v>
      </c>
      <c r="F191" s="5" t="s">
        <v>1559</v>
      </c>
      <c r="G191" s="5" t="s">
        <v>1627</v>
      </c>
      <c r="H191" s="5" t="s">
        <v>1696</v>
      </c>
      <c r="I191" s="5" t="s">
        <v>2894</v>
      </c>
      <c r="J191" s="5" t="s">
        <v>3019</v>
      </c>
      <c r="K191" s="5" t="s">
        <v>3146</v>
      </c>
      <c r="L191" s="5" t="s">
        <v>3275</v>
      </c>
      <c r="M191" s="5" t="s">
        <v>3742</v>
      </c>
      <c r="N191" s="5" t="s">
        <v>2894</v>
      </c>
    </row>
    <row r="192" spans="1:14" x14ac:dyDescent="0.25">
      <c r="A192" s="12" t="s">
        <v>588</v>
      </c>
      <c r="B192" s="5" t="s">
        <v>1271</v>
      </c>
      <c r="C192" s="5" t="s">
        <v>1342</v>
      </c>
      <c r="D192" s="5" t="s">
        <v>1415</v>
      </c>
      <c r="E192" s="5" t="s">
        <v>1487</v>
      </c>
      <c r="F192" s="5" t="s">
        <v>1560</v>
      </c>
      <c r="G192" s="5" t="s">
        <v>1628</v>
      </c>
      <c r="H192" s="5" t="s">
        <v>1697</v>
      </c>
      <c r="I192" s="5" t="s">
        <v>2895</v>
      </c>
      <c r="J192" s="5" t="s">
        <v>3020</v>
      </c>
      <c r="K192" s="5" t="s">
        <v>3147</v>
      </c>
      <c r="L192" s="5" t="s">
        <v>3276</v>
      </c>
      <c r="M192" s="5" t="s">
        <v>3743</v>
      </c>
      <c r="N192" s="5" t="s">
        <v>3849</v>
      </c>
    </row>
    <row r="193" spans="1:14" x14ac:dyDescent="0.25">
      <c r="A193" s="12" t="s">
        <v>2264</v>
      </c>
      <c r="B193" s="5" t="s">
        <v>2278</v>
      </c>
      <c r="C193" s="5" t="s">
        <v>2276</v>
      </c>
      <c r="D193" s="5" t="s">
        <v>2274</v>
      </c>
      <c r="E193" s="5" t="s">
        <v>2272</v>
      </c>
      <c r="F193" s="5" t="s">
        <v>2270</v>
      </c>
      <c r="G193" s="5" t="s">
        <v>2268</v>
      </c>
      <c r="H193" s="5" t="s">
        <v>2266</v>
      </c>
      <c r="I193" s="5" t="s">
        <v>2896</v>
      </c>
      <c r="J193" s="5" t="s">
        <v>3021</v>
      </c>
      <c r="K193" s="5" t="s">
        <v>3148</v>
      </c>
      <c r="L193" s="5" t="s">
        <v>3277</v>
      </c>
      <c r="M193" s="5" t="s">
        <v>3744</v>
      </c>
      <c r="N193" s="5" t="s">
        <v>3850</v>
      </c>
    </row>
    <row r="194" spans="1:14" x14ac:dyDescent="0.25">
      <c r="A194" s="12" t="s">
        <v>1855</v>
      </c>
      <c r="B194" s="5" t="s">
        <v>1900</v>
      </c>
      <c r="C194" s="5" t="s">
        <v>1941</v>
      </c>
      <c r="D194" s="5" t="s">
        <v>1986</v>
      </c>
      <c r="E194" s="5" t="s">
        <v>2031</v>
      </c>
      <c r="F194" s="5" t="s">
        <v>2076</v>
      </c>
      <c r="G194" s="5" t="s">
        <v>2120</v>
      </c>
      <c r="H194" s="5" t="s">
        <v>2165</v>
      </c>
      <c r="I194" s="5" t="s">
        <v>2897</v>
      </c>
      <c r="J194" s="5" t="s">
        <v>3022</v>
      </c>
      <c r="K194" s="5" t="s">
        <v>3149</v>
      </c>
      <c r="L194" s="5" t="s">
        <v>3278</v>
      </c>
      <c r="M194" s="5" t="s">
        <v>3745</v>
      </c>
      <c r="N194" s="5" t="s">
        <v>3851</v>
      </c>
    </row>
    <row r="195" spans="1:14" x14ac:dyDescent="0.25">
      <c r="A195" s="12" t="s">
        <v>1853</v>
      </c>
      <c r="B195" s="5" t="s">
        <v>1898</v>
      </c>
      <c r="C195" s="5" t="s">
        <v>1939</v>
      </c>
      <c r="D195" s="5" t="s">
        <v>1984</v>
      </c>
      <c r="E195" s="5" t="s">
        <v>2029</v>
      </c>
      <c r="F195" s="5" t="s">
        <v>2074</v>
      </c>
      <c r="G195" s="5" t="s">
        <v>2118</v>
      </c>
      <c r="H195" s="5" t="s">
        <v>2163</v>
      </c>
      <c r="I195" s="5" t="s">
        <v>2898</v>
      </c>
      <c r="J195" s="5" t="s">
        <v>3023</v>
      </c>
      <c r="K195" s="5" t="s">
        <v>3150</v>
      </c>
      <c r="L195" s="5" t="s">
        <v>3279</v>
      </c>
      <c r="M195" s="5" t="s">
        <v>3746</v>
      </c>
      <c r="N195" s="5" t="s">
        <v>3852</v>
      </c>
    </row>
    <row r="196" spans="1:14" x14ac:dyDescent="0.25">
      <c r="A196" s="12" t="s">
        <v>1858</v>
      </c>
      <c r="B196" s="5" t="s">
        <v>1903</v>
      </c>
      <c r="C196" s="5" t="s">
        <v>1944</v>
      </c>
      <c r="D196" s="5" t="s">
        <v>1989</v>
      </c>
      <c r="E196" s="5" t="s">
        <v>2034</v>
      </c>
      <c r="F196" s="5" t="s">
        <v>2079</v>
      </c>
      <c r="G196" s="5" t="s">
        <v>2123</v>
      </c>
      <c r="H196" s="5" t="s">
        <v>2168</v>
      </c>
      <c r="I196" s="5" t="s">
        <v>2899</v>
      </c>
      <c r="J196" s="5" t="s">
        <v>3024</v>
      </c>
      <c r="K196" s="5" t="s">
        <v>3151</v>
      </c>
      <c r="L196" s="5" t="s">
        <v>3280</v>
      </c>
      <c r="M196" s="5" t="s">
        <v>3747</v>
      </c>
      <c r="N196" s="5" t="s">
        <v>2899</v>
      </c>
    </row>
    <row r="197" spans="1:14" x14ac:dyDescent="0.25">
      <c r="A197" s="12" t="s">
        <v>330</v>
      </c>
      <c r="B197" s="5" t="s">
        <v>331</v>
      </c>
      <c r="C197" s="5" t="s">
        <v>332</v>
      </c>
      <c r="D197" s="5" t="s">
        <v>333</v>
      </c>
      <c r="E197" s="5" t="s">
        <v>334</v>
      </c>
      <c r="F197" s="5" t="s">
        <v>335</v>
      </c>
      <c r="G197" s="5" t="s">
        <v>336</v>
      </c>
      <c r="H197" s="5" t="s">
        <v>1698</v>
      </c>
      <c r="I197" s="5" t="s">
        <v>2900</v>
      </c>
      <c r="J197" s="5" t="s">
        <v>3025</v>
      </c>
      <c r="K197" s="5" t="s">
        <v>3152</v>
      </c>
      <c r="L197" s="5" t="s">
        <v>3281</v>
      </c>
      <c r="M197" s="5" t="s">
        <v>3748</v>
      </c>
      <c r="N197" s="5" t="s">
        <v>3853</v>
      </c>
    </row>
    <row r="198" spans="1:14" x14ac:dyDescent="0.25">
      <c r="A198" s="12" t="s">
        <v>589</v>
      </c>
      <c r="B198" s="5" t="s">
        <v>1272</v>
      </c>
      <c r="C198" s="5" t="s">
        <v>1343</v>
      </c>
      <c r="D198" s="5" t="s">
        <v>1416</v>
      </c>
      <c r="E198" s="5" t="s">
        <v>1488</v>
      </c>
      <c r="F198" s="5" t="s">
        <v>1561</v>
      </c>
      <c r="G198" s="5" t="s">
        <v>1629</v>
      </c>
      <c r="H198" s="5" t="s">
        <v>1699</v>
      </c>
      <c r="I198" s="5" t="s">
        <v>2901</v>
      </c>
      <c r="J198" s="5" t="s">
        <v>3026</v>
      </c>
      <c r="K198" s="5" t="s">
        <v>3153</v>
      </c>
      <c r="L198" s="5" t="s">
        <v>3282</v>
      </c>
      <c r="M198" s="5" t="s">
        <v>3749</v>
      </c>
      <c r="N198" s="5" t="s">
        <v>3854</v>
      </c>
    </row>
    <row r="199" spans="1:14" x14ac:dyDescent="0.25">
      <c r="A199" s="12" t="s">
        <v>1879</v>
      </c>
      <c r="B199" s="5" t="s">
        <v>1922</v>
      </c>
      <c r="C199" s="5" t="s">
        <v>1965</v>
      </c>
      <c r="D199" s="5" t="s">
        <v>2010</v>
      </c>
      <c r="E199" s="5" t="s">
        <v>2055</v>
      </c>
      <c r="F199" s="5" t="s">
        <v>2100</v>
      </c>
      <c r="G199" s="5" t="s">
        <v>2144</v>
      </c>
      <c r="H199" s="5" t="s">
        <v>2189</v>
      </c>
      <c r="I199" s="5" t="s">
        <v>2902</v>
      </c>
      <c r="J199" s="5" t="s">
        <v>3027</v>
      </c>
      <c r="K199" s="5" t="s">
        <v>3154</v>
      </c>
      <c r="L199" s="5" t="s">
        <v>3283</v>
      </c>
      <c r="M199" s="5" t="s">
        <v>3750</v>
      </c>
      <c r="N199" s="5" t="s">
        <v>3855</v>
      </c>
    </row>
    <row r="200" spans="1:14" x14ac:dyDescent="0.25">
      <c r="A200" s="12" t="s">
        <v>1859</v>
      </c>
      <c r="B200" s="5" t="s">
        <v>1904</v>
      </c>
      <c r="C200" s="5" t="s">
        <v>1945</v>
      </c>
      <c r="D200" s="5" t="s">
        <v>1990</v>
      </c>
      <c r="E200" s="5" t="s">
        <v>2035</v>
      </c>
      <c r="F200" s="5" t="s">
        <v>2080</v>
      </c>
      <c r="G200" s="5" t="s">
        <v>2124</v>
      </c>
      <c r="H200" s="5" t="s">
        <v>2169</v>
      </c>
      <c r="I200" s="5" t="s">
        <v>2903</v>
      </c>
      <c r="J200" s="5" t="s">
        <v>3028</v>
      </c>
      <c r="K200" s="5" t="s">
        <v>3155</v>
      </c>
      <c r="L200" s="5" t="s">
        <v>3284</v>
      </c>
      <c r="M200" s="5" t="s">
        <v>3751</v>
      </c>
      <c r="N200" s="5" t="s">
        <v>3856</v>
      </c>
    </row>
    <row r="201" spans="1:14" x14ac:dyDescent="0.25">
      <c r="A201" s="12" t="s">
        <v>1852</v>
      </c>
      <c r="B201" s="5" t="s">
        <v>1897</v>
      </c>
      <c r="C201" s="5" t="s">
        <v>1938</v>
      </c>
      <c r="D201" s="5" t="s">
        <v>1983</v>
      </c>
      <c r="E201" s="5" t="s">
        <v>2028</v>
      </c>
      <c r="F201" s="5" t="s">
        <v>2073</v>
      </c>
      <c r="G201" s="5" t="s">
        <v>2117</v>
      </c>
      <c r="H201" s="5" t="s">
        <v>2162</v>
      </c>
      <c r="I201" s="5" t="s">
        <v>2904</v>
      </c>
      <c r="J201" s="5" t="s">
        <v>3029</v>
      </c>
      <c r="K201" s="5" t="s">
        <v>3156</v>
      </c>
      <c r="L201" s="5" t="s">
        <v>3285</v>
      </c>
      <c r="M201" s="5" t="s">
        <v>3752</v>
      </c>
      <c r="N201" s="5" t="s">
        <v>3857</v>
      </c>
    </row>
    <row r="202" spans="1:14" x14ac:dyDescent="0.25">
      <c r="A202" s="12" t="s">
        <v>1883</v>
      </c>
      <c r="B202" s="5" t="s">
        <v>1926</v>
      </c>
      <c r="C202" s="5" t="s">
        <v>1969</v>
      </c>
      <c r="D202" s="5" t="s">
        <v>2014</v>
      </c>
      <c r="E202" s="5" t="s">
        <v>2059</v>
      </c>
      <c r="F202" s="5" t="s">
        <v>2104</v>
      </c>
      <c r="G202" s="5" t="s">
        <v>2148</v>
      </c>
      <c r="H202" s="5" t="s">
        <v>2193</v>
      </c>
      <c r="I202" s="5" t="s">
        <v>2905</v>
      </c>
      <c r="J202" s="5" t="s">
        <v>3030</v>
      </c>
      <c r="K202" s="5" t="s">
        <v>3157</v>
      </c>
      <c r="L202" s="5" t="s">
        <v>3286</v>
      </c>
      <c r="M202" s="5" t="s">
        <v>3753</v>
      </c>
      <c r="N202" s="5" t="s">
        <v>3858</v>
      </c>
    </row>
    <row r="203" spans="1:14" x14ac:dyDescent="0.25">
      <c r="A203" s="12" t="s">
        <v>1884</v>
      </c>
      <c r="B203" s="5" t="s">
        <v>1927</v>
      </c>
      <c r="C203" s="5" t="s">
        <v>1970</v>
      </c>
      <c r="D203" s="5" t="s">
        <v>2015</v>
      </c>
      <c r="E203" s="5" t="s">
        <v>2060</v>
      </c>
      <c r="F203" s="5" t="s">
        <v>2105</v>
      </c>
      <c r="G203" s="5" t="s">
        <v>2149</v>
      </c>
      <c r="H203" s="5" t="s">
        <v>2194</v>
      </c>
      <c r="I203" s="5" t="s">
        <v>2906</v>
      </c>
      <c r="J203" s="5" t="s">
        <v>3031</v>
      </c>
      <c r="K203" s="5" t="s">
        <v>3158</v>
      </c>
      <c r="L203" s="5" t="s">
        <v>3287</v>
      </c>
      <c r="M203" s="5" t="s">
        <v>3754</v>
      </c>
      <c r="N203" s="5" t="s">
        <v>3859</v>
      </c>
    </row>
    <row r="204" spans="1:14" x14ac:dyDescent="0.25">
      <c r="A204" s="12" t="s">
        <v>1856</v>
      </c>
      <c r="B204" s="5" t="s">
        <v>1901</v>
      </c>
      <c r="C204" s="5" t="s">
        <v>1942</v>
      </c>
      <c r="D204" s="5" t="s">
        <v>1987</v>
      </c>
      <c r="E204" s="5" t="s">
        <v>2032</v>
      </c>
      <c r="F204" s="5" t="s">
        <v>2077</v>
      </c>
      <c r="G204" s="5" t="s">
        <v>2121</v>
      </c>
      <c r="H204" s="5" t="s">
        <v>2166</v>
      </c>
      <c r="I204" s="5" t="s">
        <v>2907</v>
      </c>
      <c r="J204" s="5" t="s">
        <v>3032</v>
      </c>
      <c r="K204" s="5" t="s">
        <v>3159</v>
      </c>
      <c r="L204" s="5" t="s">
        <v>3288</v>
      </c>
      <c r="M204" s="5" t="s">
        <v>3755</v>
      </c>
      <c r="N204" s="5" t="s">
        <v>3860</v>
      </c>
    </row>
    <row r="205" spans="1:14" x14ac:dyDescent="0.25">
      <c r="A205" s="12" t="s">
        <v>1863</v>
      </c>
      <c r="B205" s="5" t="s">
        <v>1908</v>
      </c>
      <c r="C205" s="5" t="s">
        <v>1949</v>
      </c>
      <c r="D205" s="5" t="s">
        <v>1994</v>
      </c>
      <c r="E205" s="5" t="s">
        <v>2039</v>
      </c>
      <c r="F205" s="5" t="s">
        <v>2084</v>
      </c>
      <c r="G205" s="5" t="s">
        <v>2128</v>
      </c>
      <c r="H205" s="5" t="s">
        <v>2173</v>
      </c>
      <c r="I205" s="5" t="s">
        <v>2908</v>
      </c>
      <c r="J205" s="5" t="s">
        <v>3033</v>
      </c>
      <c r="K205" s="5" t="s">
        <v>3160</v>
      </c>
      <c r="L205" s="5" t="s">
        <v>3289</v>
      </c>
      <c r="M205" s="5" t="s">
        <v>3756</v>
      </c>
      <c r="N205" s="5" t="s">
        <v>3861</v>
      </c>
    </row>
    <row r="206" spans="1:14" x14ac:dyDescent="0.25">
      <c r="A206" s="12" t="s">
        <v>1861</v>
      </c>
      <c r="B206" s="5" t="s">
        <v>1906</v>
      </c>
      <c r="C206" s="5" t="s">
        <v>1947</v>
      </c>
      <c r="D206" s="5" t="s">
        <v>1992</v>
      </c>
      <c r="E206" s="5" t="s">
        <v>2037</v>
      </c>
      <c r="F206" s="5" t="s">
        <v>2082</v>
      </c>
      <c r="G206" s="5" t="s">
        <v>2126</v>
      </c>
      <c r="H206" s="5" t="s">
        <v>2171</v>
      </c>
      <c r="I206" s="5" t="s">
        <v>2909</v>
      </c>
      <c r="J206" s="5" t="s">
        <v>3034</v>
      </c>
      <c r="K206" s="5" t="s">
        <v>3161</v>
      </c>
      <c r="L206" s="5" t="s">
        <v>3290</v>
      </c>
      <c r="M206" s="5" t="s">
        <v>3757</v>
      </c>
      <c r="N206" s="5" t="s">
        <v>3862</v>
      </c>
    </row>
    <row r="207" spans="1:14" x14ac:dyDescent="0.25">
      <c r="A207" s="12" t="s">
        <v>1873</v>
      </c>
      <c r="B207" s="5" t="s">
        <v>1917</v>
      </c>
      <c r="C207" s="5" t="s">
        <v>1959</v>
      </c>
      <c r="D207" s="5" t="s">
        <v>2004</v>
      </c>
      <c r="E207" s="5" t="s">
        <v>2049</v>
      </c>
      <c r="F207" s="5" t="s">
        <v>2094</v>
      </c>
      <c r="G207" s="5" t="s">
        <v>2138</v>
      </c>
      <c r="H207" s="5" t="s">
        <v>2183</v>
      </c>
      <c r="I207" s="5" t="s">
        <v>2910</v>
      </c>
      <c r="J207" s="5" t="s">
        <v>3035</v>
      </c>
      <c r="K207" s="5" t="s">
        <v>3162</v>
      </c>
      <c r="L207" s="5" t="s">
        <v>3291</v>
      </c>
      <c r="M207" s="5" t="s">
        <v>3758</v>
      </c>
      <c r="N207" s="5" t="s">
        <v>3863</v>
      </c>
    </row>
    <row r="208" spans="1:14" x14ac:dyDescent="0.25">
      <c r="A208" s="12" t="s">
        <v>590</v>
      </c>
      <c r="B208" s="5" t="s">
        <v>1273</v>
      </c>
      <c r="C208" s="5" t="s">
        <v>1344</v>
      </c>
      <c r="D208" s="5" t="s">
        <v>1417</v>
      </c>
      <c r="E208" s="5" t="s">
        <v>1489</v>
      </c>
      <c r="F208" s="5" t="s">
        <v>1562</v>
      </c>
      <c r="G208" s="5" t="s">
        <v>1630</v>
      </c>
      <c r="H208" s="5" t="s">
        <v>1700</v>
      </c>
      <c r="I208" s="5" t="s">
        <v>2911</v>
      </c>
      <c r="J208" s="5" t="s">
        <v>3036</v>
      </c>
      <c r="K208" s="5" t="s">
        <v>3163</v>
      </c>
      <c r="L208" s="5" t="s">
        <v>3292</v>
      </c>
      <c r="M208" s="5" t="s">
        <v>3759</v>
      </c>
      <c r="N208" s="5" t="s">
        <v>3864</v>
      </c>
    </row>
    <row r="209" spans="1:14" x14ac:dyDescent="0.25">
      <c r="A209" s="12" t="s">
        <v>1854</v>
      </c>
      <c r="B209" s="5" t="s">
        <v>1899</v>
      </c>
      <c r="C209" s="5" t="s">
        <v>1940</v>
      </c>
      <c r="D209" s="5" t="s">
        <v>1985</v>
      </c>
      <c r="E209" s="5" t="s">
        <v>2030</v>
      </c>
      <c r="F209" s="5" t="s">
        <v>2075</v>
      </c>
      <c r="G209" s="5" t="s">
        <v>2119</v>
      </c>
      <c r="H209" s="5" t="s">
        <v>2164</v>
      </c>
      <c r="I209" s="5" t="s">
        <v>2912</v>
      </c>
      <c r="J209" s="5" t="s">
        <v>3037</v>
      </c>
      <c r="K209" s="5" t="s">
        <v>3164</v>
      </c>
      <c r="L209" s="5" t="s">
        <v>3293</v>
      </c>
      <c r="M209" s="5" t="s">
        <v>3760</v>
      </c>
      <c r="N209" s="5" t="s">
        <v>3865</v>
      </c>
    </row>
    <row r="210" spans="1:14" x14ac:dyDescent="0.25">
      <c r="A210" s="12" t="s">
        <v>1850</v>
      </c>
      <c r="B210" s="5" t="s">
        <v>1895</v>
      </c>
      <c r="C210" s="5" t="s">
        <v>1936</v>
      </c>
      <c r="D210" s="5" t="s">
        <v>1981</v>
      </c>
      <c r="E210" s="5" t="s">
        <v>2026</v>
      </c>
      <c r="F210" s="5" t="s">
        <v>2071</v>
      </c>
      <c r="G210" s="5" t="s">
        <v>2115</v>
      </c>
      <c r="H210" s="5" t="s">
        <v>2160</v>
      </c>
      <c r="I210" s="5" t="s">
        <v>2913</v>
      </c>
      <c r="J210" s="5" t="s">
        <v>3038</v>
      </c>
      <c r="K210" s="5" t="s">
        <v>3165</v>
      </c>
      <c r="L210" s="5" t="s">
        <v>3294</v>
      </c>
      <c r="M210" s="5" t="s">
        <v>3761</v>
      </c>
      <c r="N210" s="5" t="s">
        <v>3866</v>
      </c>
    </row>
    <row r="211" spans="1:14" x14ac:dyDescent="0.25">
      <c r="A211" s="12" t="s">
        <v>591</v>
      </c>
      <c r="B211" s="5" t="s">
        <v>1274</v>
      </c>
      <c r="C211" s="5" t="s">
        <v>1345</v>
      </c>
      <c r="D211" s="5" t="s">
        <v>1418</v>
      </c>
      <c r="E211" s="5" t="s">
        <v>1490</v>
      </c>
      <c r="F211" s="5" t="s">
        <v>1563</v>
      </c>
      <c r="G211" s="5" t="s">
        <v>1631</v>
      </c>
      <c r="H211" s="5" t="s">
        <v>1701</v>
      </c>
      <c r="I211" s="5" t="s">
        <v>2914</v>
      </c>
      <c r="J211" s="5" t="s">
        <v>3039</v>
      </c>
      <c r="K211" s="5" t="s">
        <v>3166</v>
      </c>
      <c r="L211" s="5" t="s">
        <v>3295</v>
      </c>
      <c r="M211" s="5" t="s">
        <v>3762</v>
      </c>
      <c r="N211" s="5" t="s">
        <v>3867</v>
      </c>
    </row>
    <row r="212" spans="1:14" x14ac:dyDescent="0.25">
      <c r="A212" s="12" t="s">
        <v>276</v>
      </c>
      <c r="B212" s="5" t="s">
        <v>1275</v>
      </c>
      <c r="C212" s="5" t="s">
        <v>1346</v>
      </c>
      <c r="D212" s="5" t="s">
        <v>277</v>
      </c>
      <c r="E212" s="5" t="s">
        <v>278</v>
      </c>
      <c r="F212" s="5" t="s">
        <v>279</v>
      </c>
      <c r="G212" s="5" t="s">
        <v>280</v>
      </c>
      <c r="H212" s="5" t="s">
        <v>281</v>
      </c>
      <c r="I212" s="5" t="s">
        <v>2915</v>
      </c>
      <c r="J212" s="5" t="s">
        <v>3040</v>
      </c>
      <c r="K212" s="5" t="s">
        <v>3167</v>
      </c>
      <c r="L212" s="5" t="s">
        <v>3296</v>
      </c>
      <c r="M212" s="5" t="s">
        <v>3763</v>
      </c>
      <c r="N212" s="5" t="s">
        <v>3868</v>
      </c>
    </row>
    <row r="213" spans="1:14" x14ac:dyDescent="0.25">
      <c r="A213" s="12" t="s">
        <v>592</v>
      </c>
      <c r="B213" s="5" t="s">
        <v>1276</v>
      </c>
      <c r="C213" s="5" t="s">
        <v>1347</v>
      </c>
      <c r="D213" s="5" t="s">
        <v>1419</v>
      </c>
      <c r="E213" s="5" t="s">
        <v>1491</v>
      </c>
      <c r="F213" s="5" t="s">
        <v>1564</v>
      </c>
      <c r="G213" s="5" t="s">
        <v>1632</v>
      </c>
      <c r="H213" s="5" t="s">
        <v>1702</v>
      </c>
      <c r="I213" s="5" t="s">
        <v>2916</v>
      </c>
      <c r="J213" s="5" t="s">
        <v>3041</v>
      </c>
      <c r="K213" s="5" t="s">
        <v>3168</v>
      </c>
      <c r="L213" s="5" t="s">
        <v>3297</v>
      </c>
      <c r="M213" s="5" t="s">
        <v>3764</v>
      </c>
      <c r="N213" s="5" t="s">
        <v>3869</v>
      </c>
    </row>
    <row r="214" spans="1:14" x14ac:dyDescent="0.25">
      <c r="A214" s="12" t="s">
        <v>593</v>
      </c>
      <c r="B214" s="5" t="s">
        <v>1277</v>
      </c>
      <c r="C214" s="5" t="s">
        <v>1348</v>
      </c>
      <c r="D214" s="5" t="s">
        <v>1420</v>
      </c>
      <c r="E214" s="5" t="s">
        <v>1492</v>
      </c>
      <c r="F214" s="5" t="s">
        <v>1565</v>
      </c>
      <c r="G214" s="5" t="s">
        <v>1633</v>
      </c>
      <c r="H214" s="5" t="s">
        <v>1703</v>
      </c>
      <c r="I214" s="5" t="s">
        <v>2917</v>
      </c>
      <c r="J214" s="5" t="s">
        <v>3042</v>
      </c>
      <c r="K214" s="5" t="s">
        <v>3169</v>
      </c>
      <c r="L214" s="5" t="s">
        <v>3298</v>
      </c>
      <c r="M214" s="5" t="s">
        <v>3765</v>
      </c>
      <c r="N214" s="5" t="s">
        <v>3870</v>
      </c>
    </row>
    <row r="215" spans="1:14" x14ac:dyDescent="0.25">
      <c r="A215" s="12" t="s">
        <v>594</v>
      </c>
      <c r="B215" s="5" t="s">
        <v>1278</v>
      </c>
      <c r="C215" s="5" t="s">
        <v>1349</v>
      </c>
      <c r="D215" s="5" t="s">
        <v>1421</v>
      </c>
      <c r="E215" s="5" t="s">
        <v>1493</v>
      </c>
      <c r="F215" s="5" t="s">
        <v>1566</v>
      </c>
      <c r="G215" s="5" t="s">
        <v>1634</v>
      </c>
      <c r="H215" s="5" t="s">
        <v>1704</v>
      </c>
      <c r="I215" s="5" t="s">
        <v>2918</v>
      </c>
      <c r="J215" s="5" t="s">
        <v>3043</v>
      </c>
      <c r="K215" s="5" t="s">
        <v>3170</v>
      </c>
      <c r="L215" s="5" t="s">
        <v>3299</v>
      </c>
      <c r="M215" s="5" t="s">
        <v>3766</v>
      </c>
      <c r="N215" s="5" t="s">
        <v>3871</v>
      </c>
    </row>
    <row r="216" spans="1:14" x14ac:dyDescent="0.25">
      <c r="A216" s="12" t="s">
        <v>595</v>
      </c>
      <c r="B216" s="5" t="s">
        <v>1279</v>
      </c>
      <c r="C216" s="5" t="s">
        <v>1350</v>
      </c>
      <c r="D216" s="5" t="s">
        <v>1422</v>
      </c>
      <c r="E216" s="5" t="s">
        <v>1494</v>
      </c>
      <c r="F216" s="5" t="s">
        <v>1567</v>
      </c>
      <c r="G216" s="5" t="s">
        <v>1635</v>
      </c>
      <c r="H216" s="5" t="s">
        <v>1705</v>
      </c>
      <c r="I216" s="5" t="s">
        <v>2919</v>
      </c>
      <c r="J216" s="5" t="s">
        <v>3044</v>
      </c>
      <c r="K216" s="5" t="s">
        <v>3171</v>
      </c>
      <c r="L216" s="5" t="s">
        <v>3300</v>
      </c>
      <c r="M216" s="5" t="s">
        <v>3767</v>
      </c>
      <c r="N216" s="5" t="s">
        <v>3872</v>
      </c>
    </row>
    <row r="217" spans="1:14" x14ac:dyDescent="0.25">
      <c r="A217" s="12" t="s">
        <v>596</v>
      </c>
      <c r="B217" s="5" t="s">
        <v>1280</v>
      </c>
      <c r="C217" s="5" t="s">
        <v>1351</v>
      </c>
      <c r="D217" s="5" t="s">
        <v>1423</v>
      </c>
      <c r="E217" s="5" t="s">
        <v>1495</v>
      </c>
      <c r="F217" s="5" t="s">
        <v>1568</v>
      </c>
      <c r="G217" s="5" t="s">
        <v>1636</v>
      </c>
      <c r="H217" s="5" t="s">
        <v>1706</v>
      </c>
      <c r="I217" s="5" t="s">
        <v>2920</v>
      </c>
      <c r="J217" s="5" t="s">
        <v>3045</v>
      </c>
      <c r="K217" s="5" t="s">
        <v>3172</v>
      </c>
      <c r="L217" s="5" t="s">
        <v>3301</v>
      </c>
      <c r="M217" s="5" t="s">
        <v>3768</v>
      </c>
      <c r="N217" s="5" t="s">
        <v>3873</v>
      </c>
    </row>
    <row r="218" spans="1:14" x14ac:dyDescent="0.25">
      <c r="A218" s="12" t="s">
        <v>597</v>
      </c>
      <c r="B218" s="5" t="s">
        <v>1281</v>
      </c>
      <c r="C218" s="5" t="s">
        <v>1352</v>
      </c>
      <c r="D218" s="5" t="s">
        <v>1424</v>
      </c>
      <c r="E218" s="5" t="s">
        <v>1496</v>
      </c>
      <c r="F218" s="5" t="s">
        <v>1569</v>
      </c>
      <c r="G218" s="5" t="s">
        <v>1637</v>
      </c>
      <c r="H218" s="5" t="s">
        <v>1707</v>
      </c>
      <c r="I218" s="5" t="s">
        <v>2921</v>
      </c>
      <c r="J218" s="5" t="s">
        <v>3046</v>
      </c>
      <c r="K218" s="5" t="s">
        <v>3173</v>
      </c>
      <c r="L218" s="5" t="s">
        <v>3302</v>
      </c>
      <c r="M218" s="5" t="s">
        <v>3769</v>
      </c>
      <c r="N218" s="5" t="s">
        <v>3874</v>
      </c>
    </row>
    <row r="219" spans="1:14" x14ac:dyDescent="0.25">
      <c r="A219" s="12" t="s">
        <v>1835</v>
      </c>
      <c r="B219" s="5" t="s">
        <v>1889</v>
      </c>
      <c r="C219" s="5" t="s">
        <v>1930</v>
      </c>
      <c r="D219" s="5" t="s">
        <v>1975</v>
      </c>
      <c r="E219" s="5" t="s">
        <v>2020</v>
      </c>
      <c r="F219" s="5" t="s">
        <v>2065</v>
      </c>
      <c r="G219" s="5" t="s">
        <v>2110</v>
      </c>
      <c r="H219" s="5" t="s">
        <v>2154</v>
      </c>
      <c r="I219" s="5" t="s">
        <v>2922</v>
      </c>
      <c r="J219" s="5" t="s">
        <v>3047</v>
      </c>
      <c r="K219" s="5" t="s">
        <v>3174</v>
      </c>
      <c r="L219" s="5" t="s">
        <v>3303</v>
      </c>
      <c r="M219" s="5" t="s">
        <v>3770</v>
      </c>
      <c r="N219" s="5" t="s">
        <v>3875</v>
      </c>
    </row>
    <row r="220" spans="1:14" x14ac:dyDescent="0.25">
      <c r="A220" s="12" t="s">
        <v>185</v>
      </c>
      <c r="B220" s="5" t="s">
        <v>1282</v>
      </c>
      <c r="C220" s="5" t="s">
        <v>1353</v>
      </c>
      <c r="D220" s="5" t="s">
        <v>186</v>
      </c>
      <c r="E220" s="5" t="s">
        <v>187</v>
      </c>
      <c r="F220" s="5" t="s">
        <v>188</v>
      </c>
      <c r="G220" s="5" t="s">
        <v>189</v>
      </c>
      <c r="H220" s="5" t="s">
        <v>190</v>
      </c>
      <c r="I220" s="5" t="s">
        <v>2923</v>
      </c>
      <c r="J220" s="5" t="s">
        <v>3048</v>
      </c>
      <c r="K220" s="5" t="s">
        <v>3175</v>
      </c>
      <c r="L220" s="5" t="s">
        <v>3304</v>
      </c>
      <c r="M220" s="5" t="s">
        <v>3771</v>
      </c>
      <c r="N220" s="5" t="s">
        <v>3876</v>
      </c>
    </row>
    <row r="221" spans="1:14" x14ac:dyDescent="0.25">
      <c r="A221" s="12" t="s">
        <v>1885</v>
      </c>
      <c r="B221" s="5" t="s">
        <v>3460</v>
      </c>
      <c r="C221" s="5" t="s">
        <v>1972</v>
      </c>
      <c r="D221" s="5" t="s">
        <v>2017</v>
      </c>
      <c r="E221" s="5" t="s">
        <v>2062</v>
      </c>
      <c r="F221" s="5" t="s">
        <v>2107</v>
      </c>
      <c r="G221" s="5" t="s">
        <v>2151</v>
      </c>
      <c r="H221" s="5" t="s">
        <v>2196</v>
      </c>
      <c r="I221" s="5" t="s">
        <v>2924</v>
      </c>
      <c r="J221" s="5" t="s">
        <v>3049</v>
      </c>
      <c r="K221" s="5" t="s">
        <v>3176</v>
      </c>
      <c r="L221" s="5" t="s">
        <v>3305</v>
      </c>
      <c r="M221" s="5" t="s">
        <v>3772</v>
      </c>
      <c r="N221" s="5" t="s">
        <v>3877</v>
      </c>
    </row>
    <row r="222" spans="1:14" x14ac:dyDescent="0.25">
      <c r="A222" s="12" t="s">
        <v>219</v>
      </c>
      <c r="B222" s="5" t="s">
        <v>220</v>
      </c>
      <c r="C222" s="5" t="s">
        <v>221</v>
      </c>
      <c r="D222" s="5" t="s">
        <v>222</v>
      </c>
      <c r="E222" s="5" t="s">
        <v>223</v>
      </c>
      <c r="F222" s="5" t="s">
        <v>224</v>
      </c>
      <c r="G222" s="5" t="s">
        <v>225</v>
      </c>
      <c r="H222" s="5" t="s">
        <v>226</v>
      </c>
      <c r="I222" s="5" t="s">
        <v>2925</v>
      </c>
      <c r="J222" s="5" t="s">
        <v>3050</v>
      </c>
      <c r="K222" s="5" t="s">
        <v>3177</v>
      </c>
      <c r="L222" s="5" t="s">
        <v>3306</v>
      </c>
      <c r="M222" s="5" t="s">
        <v>3773</v>
      </c>
      <c r="N222" s="5" t="s">
        <v>3878</v>
      </c>
    </row>
    <row r="223" spans="1:14" x14ac:dyDescent="0.25">
      <c r="A223" s="12" t="s">
        <v>598</v>
      </c>
      <c r="B223" s="5" t="s">
        <v>1283</v>
      </c>
      <c r="C223" s="5" t="s">
        <v>1354</v>
      </c>
      <c r="D223" s="5" t="s">
        <v>1425</v>
      </c>
      <c r="E223" s="5" t="s">
        <v>1497</v>
      </c>
      <c r="F223" s="5" t="s">
        <v>1570</v>
      </c>
      <c r="G223" s="5" t="s">
        <v>1638</v>
      </c>
      <c r="H223" s="5" t="s">
        <v>1708</v>
      </c>
      <c r="I223" s="5" t="s">
        <v>2926</v>
      </c>
      <c r="J223" s="5" t="s">
        <v>3051</v>
      </c>
      <c r="K223" s="5" t="s">
        <v>3178</v>
      </c>
      <c r="L223" s="5" t="s">
        <v>3307</v>
      </c>
      <c r="M223" s="5" t="s">
        <v>3774</v>
      </c>
      <c r="N223" s="5" t="s">
        <v>3879</v>
      </c>
    </row>
    <row r="224" spans="1:14" x14ac:dyDescent="0.25">
      <c r="A224" s="12" t="s">
        <v>599</v>
      </c>
      <c r="B224" s="5" t="s">
        <v>1284</v>
      </c>
      <c r="C224" s="5" t="s">
        <v>1355</v>
      </c>
      <c r="D224" s="5" t="s">
        <v>1426</v>
      </c>
      <c r="E224" s="5" t="s">
        <v>1498</v>
      </c>
      <c r="F224" s="5" t="s">
        <v>1571</v>
      </c>
      <c r="G224" s="5" t="s">
        <v>1639</v>
      </c>
      <c r="H224" s="5" t="s">
        <v>1709</v>
      </c>
      <c r="I224" s="5" t="s">
        <v>2927</v>
      </c>
      <c r="J224" s="5" t="s">
        <v>3052</v>
      </c>
      <c r="K224" s="5" t="s">
        <v>3179</v>
      </c>
      <c r="L224" s="5" t="s">
        <v>3308</v>
      </c>
      <c r="M224" s="5" t="s">
        <v>3775</v>
      </c>
      <c r="N224" s="5" t="s">
        <v>3880</v>
      </c>
    </row>
    <row r="225" spans="1:14" x14ac:dyDescent="0.25">
      <c r="A225" s="12" t="s">
        <v>14</v>
      </c>
      <c r="B225" s="5" t="s">
        <v>1285</v>
      </c>
      <c r="C225" s="5" t="s">
        <v>1356</v>
      </c>
      <c r="D225" s="5" t="s">
        <v>1427</v>
      </c>
      <c r="E225" s="5" t="s">
        <v>1499</v>
      </c>
      <c r="F225" s="5" t="s">
        <v>1572</v>
      </c>
      <c r="G225" s="5" t="s">
        <v>1640</v>
      </c>
      <c r="H225" s="5" t="s">
        <v>1710</v>
      </c>
      <c r="I225" s="5" t="s">
        <v>2928</v>
      </c>
      <c r="J225" s="5" t="s">
        <v>3053</v>
      </c>
      <c r="K225" s="5" t="s">
        <v>3180</v>
      </c>
      <c r="L225" s="5" t="s">
        <v>3309</v>
      </c>
      <c r="M225" s="5" t="s">
        <v>3776</v>
      </c>
      <c r="N225" s="5" t="s">
        <v>3881</v>
      </c>
    </row>
    <row r="226" spans="1:14" x14ac:dyDescent="0.25">
      <c r="A226" s="12" t="s">
        <v>600</v>
      </c>
      <c r="B226" s="5" t="s">
        <v>1888</v>
      </c>
      <c r="C226" s="5" t="s">
        <v>1357</v>
      </c>
      <c r="D226" s="5" t="s">
        <v>1428</v>
      </c>
      <c r="E226" s="5" t="s">
        <v>1500</v>
      </c>
      <c r="F226" s="5" t="s">
        <v>1573</v>
      </c>
      <c r="G226" s="5" t="s">
        <v>1641</v>
      </c>
      <c r="H226" s="5" t="s">
        <v>1711</v>
      </c>
      <c r="I226" s="5" t="s">
        <v>2929</v>
      </c>
      <c r="J226" s="5" t="s">
        <v>3054</v>
      </c>
      <c r="K226" s="5" t="s">
        <v>3181</v>
      </c>
      <c r="L226" s="5" t="s">
        <v>3310</v>
      </c>
      <c r="M226" s="5" t="s">
        <v>3777</v>
      </c>
      <c r="N226" s="5" t="s">
        <v>3882</v>
      </c>
    </row>
    <row r="227" spans="1:14" x14ac:dyDescent="0.25">
      <c r="A227" s="12" t="s">
        <v>245</v>
      </c>
      <c r="B227" s="5" t="s">
        <v>246</v>
      </c>
      <c r="C227" s="5" t="s">
        <v>247</v>
      </c>
      <c r="D227" s="5" t="s">
        <v>248</v>
      </c>
      <c r="E227" s="5" t="s">
        <v>249</v>
      </c>
      <c r="F227" s="5" t="s">
        <v>250</v>
      </c>
      <c r="G227" s="5" t="s">
        <v>251</v>
      </c>
      <c r="H227" s="5" t="s">
        <v>252</v>
      </c>
      <c r="I227" s="5" t="s">
        <v>2930</v>
      </c>
      <c r="J227" s="5" t="s">
        <v>3055</v>
      </c>
      <c r="K227" s="5" t="s">
        <v>3182</v>
      </c>
      <c r="L227" s="5" t="s">
        <v>3311</v>
      </c>
      <c r="M227" s="5" t="s">
        <v>3778</v>
      </c>
      <c r="N227" s="5" t="s">
        <v>3883</v>
      </c>
    </row>
    <row r="228" spans="1:14" x14ac:dyDescent="0.25">
      <c r="A228" s="12" t="s">
        <v>307</v>
      </c>
      <c r="B228" s="5" t="s">
        <v>308</v>
      </c>
      <c r="C228" s="5" t="s">
        <v>309</v>
      </c>
      <c r="D228" s="5" t="s">
        <v>310</v>
      </c>
      <c r="E228" s="5" t="s">
        <v>311</v>
      </c>
      <c r="F228" s="5" t="s">
        <v>312</v>
      </c>
      <c r="G228" s="5" t="s">
        <v>313</v>
      </c>
      <c r="H228" s="5" t="s">
        <v>314</v>
      </c>
      <c r="I228" s="5" t="s">
        <v>2931</v>
      </c>
      <c r="J228" s="5" t="s">
        <v>3056</v>
      </c>
      <c r="K228" s="5" t="s">
        <v>3183</v>
      </c>
      <c r="L228" s="5" t="s">
        <v>3312</v>
      </c>
      <c r="M228" s="5" t="s">
        <v>3779</v>
      </c>
      <c r="N228" s="5" t="s">
        <v>2931</v>
      </c>
    </row>
    <row r="229" spans="1:14" x14ac:dyDescent="0.25">
      <c r="A229" s="12" t="s">
        <v>2</v>
      </c>
      <c r="B229" s="5" t="s">
        <v>140</v>
      </c>
      <c r="C229" s="5" t="s">
        <v>141</v>
      </c>
      <c r="D229" s="5" t="s">
        <v>142</v>
      </c>
      <c r="E229" s="5" t="s">
        <v>143</v>
      </c>
      <c r="F229" s="5" t="s">
        <v>144</v>
      </c>
      <c r="G229" s="5" t="s">
        <v>142</v>
      </c>
      <c r="H229" s="5" t="s">
        <v>145</v>
      </c>
      <c r="I229" s="5" t="s">
        <v>2932</v>
      </c>
      <c r="J229" s="5" t="s">
        <v>3057</v>
      </c>
      <c r="K229" s="5" t="s">
        <v>3184</v>
      </c>
      <c r="L229" s="5" t="s">
        <v>3313</v>
      </c>
      <c r="M229" s="5" t="s">
        <v>3780</v>
      </c>
      <c r="N229" s="5" t="s">
        <v>2932</v>
      </c>
    </row>
    <row r="230" spans="1:14" x14ac:dyDescent="0.25">
      <c r="A230" s="12" t="s">
        <v>1875</v>
      </c>
      <c r="B230" s="5" t="s">
        <v>1919</v>
      </c>
      <c r="C230" s="5" t="s">
        <v>1961</v>
      </c>
      <c r="D230" s="5" t="s">
        <v>2006</v>
      </c>
      <c r="E230" s="5" t="s">
        <v>2051</v>
      </c>
      <c r="F230" s="5" t="s">
        <v>2096</v>
      </c>
      <c r="G230" s="5" t="s">
        <v>2140</v>
      </c>
      <c r="H230" s="5" t="s">
        <v>2185</v>
      </c>
      <c r="I230" s="5" t="s">
        <v>2933</v>
      </c>
      <c r="J230" s="5" t="s">
        <v>3058</v>
      </c>
      <c r="K230" s="5" t="s">
        <v>3185</v>
      </c>
      <c r="L230" s="5" t="s">
        <v>3314</v>
      </c>
      <c r="M230" s="5" t="s">
        <v>3781</v>
      </c>
      <c r="N230" s="5" t="s">
        <v>3884</v>
      </c>
    </row>
    <row r="231" spans="1:14" x14ac:dyDescent="0.25">
      <c r="A231" s="12" t="s">
        <v>601</v>
      </c>
      <c r="B231" s="5" t="s">
        <v>1286</v>
      </c>
      <c r="C231" s="5" t="s">
        <v>1358</v>
      </c>
      <c r="D231" s="5" t="s">
        <v>1429</v>
      </c>
      <c r="E231" s="5" t="s">
        <v>1501</v>
      </c>
      <c r="F231" s="5" t="s">
        <v>1574</v>
      </c>
      <c r="G231" s="5" t="s">
        <v>1642</v>
      </c>
      <c r="H231" s="5" t="s">
        <v>1712</v>
      </c>
      <c r="I231" s="5" t="s">
        <v>2934</v>
      </c>
      <c r="J231" s="5" t="s">
        <v>3059</v>
      </c>
      <c r="K231" s="5" t="s">
        <v>3186</v>
      </c>
      <c r="L231" s="5" t="s">
        <v>3315</v>
      </c>
      <c r="M231" s="5" t="s">
        <v>3782</v>
      </c>
      <c r="N231" s="5" t="s">
        <v>3885</v>
      </c>
    </row>
    <row r="232" spans="1:14" x14ac:dyDescent="0.25">
      <c r="A232" s="12" t="s">
        <v>602</v>
      </c>
      <c r="B232" s="5" t="s">
        <v>1287</v>
      </c>
      <c r="C232" s="5" t="s">
        <v>1359</v>
      </c>
      <c r="D232" s="5" t="s">
        <v>1430</v>
      </c>
      <c r="E232" s="5" t="s">
        <v>1502</v>
      </c>
      <c r="F232" s="5" t="s">
        <v>1575</v>
      </c>
      <c r="G232" s="5" t="s">
        <v>1643</v>
      </c>
      <c r="H232" s="5" t="s">
        <v>1713</v>
      </c>
      <c r="I232" s="5" t="s">
        <v>2935</v>
      </c>
      <c r="J232" s="5" t="s">
        <v>3060</v>
      </c>
      <c r="K232" s="5" t="s">
        <v>3187</v>
      </c>
      <c r="L232" s="5" t="s">
        <v>3316</v>
      </c>
      <c r="M232" s="5" t="s">
        <v>3783</v>
      </c>
      <c r="N232" s="5" t="s">
        <v>3886</v>
      </c>
    </row>
    <row r="233" spans="1:14" x14ac:dyDescent="0.25">
      <c r="A233" s="12" t="s">
        <v>603</v>
      </c>
      <c r="B233" s="5" t="s">
        <v>1288</v>
      </c>
      <c r="C233" s="5" t="s">
        <v>1360</v>
      </c>
      <c r="D233" s="5" t="s">
        <v>1431</v>
      </c>
      <c r="E233" s="5" t="s">
        <v>1503</v>
      </c>
      <c r="F233" s="5" t="s">
        <v>1576</v>
      </c>
      <c r="G233" s="5" t="s">
        <v>1644</v>
      </c>
      <c r="H233" s="5" t="s">
        <v>1714</v>
      </c>
      <c r="I233" s="5" t="s">
        <v>2936</v>
      </c>
      <c r="J233" s="5" t="s">
        <v>3061</v>
      </c>
      <c r="K233" s="5" t="s">
        <v>3188</v>
      </c>
      <c r="L233" s="5" t="s">
        <v>3317</v>
      </c>
      <c r="M233" s="5" t="s">
        <v>3784</v>
      </c>
      <c r="N233" s="5" t="s">
        <v>3887</v>
      </c>
    </row>
    <row r="234" spans="1:14" x14ac:dyDescent="0.25">
      <c r="A234" s="12" t="s">
        <v>604</v>
      </c>
      <c r="B234" s="5" t="s">
        <v>1289</v>
      </c>
      <c r="C234" s="5" t="s">
        <v>1361</v>
      </c>
      <c r="D234" s="5" t="s">
        <v>1432</v>
      </c>
      <c r="E234" s="5" t="s">
        <v>1504</v>
      </c>
      <c r="F234" s="5" t="s">
        <v>1577</v>
      </c>
      <c r="G234" s="5" t="s">
        <v>1645</v>
      </c>
      <c r="H234" s="5" t="s">
        <v>1715</v>
      </c>
      <c r="I234" s="5" t="s">
        <v>2937</v>
      </c>
      <c r="J234" s="5" t="s">
        <v>3062</v>
      </c>
      <c r="K234" s="5" t="s">
        <v>3189</v>
      </c>
      <c r="L234" s="5" t="s">
        <v>3318</v>
      </c>
      <c r="M234" s="5" t="s">
        <v>3785</v>
      </c>
      <c r="N234" s="5" t="s">
        <v>3888</v>
      </c>
    </row>
    <row r="235" spans="1:14" x14ac:dyDescent="0.25">
      <c r="A235" s="12" t="s">
        <v>17</v>
      </c>
      <c r="B235" s="5" t="s">
        <v>1290</v>
      </c>
      <c r="C235" s="5" t="s">
        <v>1362</v>
      </c>
      <c r="D235" s="5" t="s">
        <v>1433</v>
      </c>
      <c r="E235" s="5" t="s">
        <v>1505</v>
      </c>
      <c r="F235" s="5" t="s">
        <v>1578</v>
      </c>
      <c r="G235" s="5" t="s">
        <v>1646</v>
      </c>
      <c r="H235" s="5" t="s">
        <v>1716</v>
      </c>
      <c r="I235" s="5" t="s">
        <v>2938</v>
      </c>
      <c r="J235" s="5" t="s">
        <v>3063</v>
      </c>
      <c r="K235" s="5" t="s">
        <v>3190</v>
      </c>
      <c r="L235" s="5" t="s">
        <v>3319</v>
      </c>
      <c r="M235" s="5" t="s">
        <v>3786</v>
      </c>
      <c r="N235" s="5" t="s">
        <v>2938</v>
      </c>
    </row>
    <row r="236" spans="1:14" x14ac:dyDescent="0.25">
      <c r="A236" s="12" t="s">
        <v>605</v>
      </c>
      <c r="B236" s="5" t="s">
        <v>1291</v>
      </c>
      <c r="C236" s="5" t="s">
        <v>1363</v>
      </c>
      <c r="D236" s="5" t="s">
        <v>1434</v>
      </c>
      <c r="E236" s="5" t="s">
        <v>1506</v>
      </c>
      <c r="F236" s="5" t="s">
        <v>1579</v>
      </c>
      <c r="G236" s="5" t="s">
        <v>605</v>
      </c>
      <c r="H236" s="5" t="s">
        <v>605</v>
      </c>
      <c r="I236" s="5" t="s">
        <v>2939</v>
      </c>
      <c r="J236" s="5" t="s">
        <v>3064</v>
      </c>
      <c r="K236" s="5" t="s">
        <v>3191</v>
      </c>
      <c r="L236" s="5" t="s">
        <v>3320</v>
      </c>
      <c r="M236" s="5" t="s">
        <v>605</v>
      </c>
      <c r="N236" s="5" t="s">
        <v>3889</v>
      </c>
    </row>
    <row r="237" spans="1:14" x14ac:dyDescent="0.25">
      <c r="A237" s="12" t="s">
        <v>606</v>
      </c>
      <c r="B237" s="5" t="s">
        <v>1292</v>
      </c>
      <c r="C237" s="5" t="s">
        <v>606</v>
      </c>
      <c r="D237" s="5" t="s">
        <v>1435</v>
      </c>
      <c r="E237" s="5" t="s">
        <v>1507</v>
      </c>
      <c r="F237" s="5" t="s">
        <v>1580</v>
      </c>
      <c r="G237" s="5" t="s">
        <v>606</v>
      </c>
      <c r="H237" s="5" t="s">
        <v>1717</v>
      </c>
      <c r="I237" s="5" t="s">
        <v>2940</v>
      </c>
      <c r="J237" s="5" t="s">
        <v>3065</v>
      </c>
      <c r="K237" s="5" t="s">
        <v>3192</v>
      </c>
      <c r="L237" s="5" t="s">
        <v>3321</v>
      </c>
      <c r="M237" s="5" t="s">
        <v>3787</v>
      </c>
      <c r="N237" s="5" t="s">
        <v>3890</v>
      </c>
    </row>
    <row r="238" spans="1:14" x14ac:dyDescent="0.25">
      <c r="A238" s="12" t="s">
        <v>340</v>
      </c>
      <c r="B238" s="5" t="s">
        <v>1293</v>
      </c>
      <c r="C238" s="5" t="s">
        <v>340</v>
      </c>
      <c r="D238" s="5" t="s">
        <v>399</v>
      </c>
      <c r="E238" s="5" t="s">
        <v>418</v>
      </c>
      <c r="F238" s="5" t="s">
        <v>435</v>
      </c>
      <c r="G238" s="5" t="s">
        <v>340</v>
      </c>
      <c r="H238" s="5" t="s">
        <v>340</v>
      </c>
      <c r="I238" s="5" t="s">
        <v>340</v>
      </c>
      <c r="J238" s="5" t="s">
        <v>2334</v>
      </c>
      <c r="K238" s="5" t="s">
        <v>2358</v>
      </c>
      <c r="L238" s="5" t="s">
        <v>2383</v>
      </c>
      <c r="M238" s="5" t="s">
        <v>3788</v>
      </c>
      <c r="N238" s="5" t="s">
        <v>3891</v>
      </c>
    </row>
    <row r="239" spans="1:14" x14ac:dyDescent="0.25">
      <c r="A239" s="12" t="s">
        <v>607</v>
      </c>
      <c r="B239" s="5" t="s">
        <v>1831</v>
      </c>
      <c r="C239" s="5" t="s">
        <v>1364</v>
      </c>
      <c r="D239" s="5" t="s">
        <v>1436</v>
      </c>
      <c r="E239" s="5" t="s">
        <v>1508</v>
      </c>
      <c r="F239" s="5" t="s">
        <v>1581</v>
      </c>
      <c r="G239" s="5" t="s">
        <v>1647</v>
      </c>
      <c r="H239" s="5" t="s">
        <v>1718</v>
      </c>
      <c r="I239" s="5" t="s">
        <v>2941</v>
      </c>
      <c r="J239" s="5" t="s">
        <v>3066</v>
      </c>
      <c r="K239" s="5" t="s">
        <v>3193</v>
      </c>
      <c r="L239" s="5" t="s">
        <v>3322</v>
      </c>
      <c r="M239" s="5" t="s">
        <v>3789</v>
      </c>
      <c r="N239" s="5" t="s">
        <v>3892</v>
      </c>
    </row>
    <row r="240" spans="1:14" x14ac:dyDescent="0.25">
      <c r="A240" s="12" t="s">
        <v>20</v>
      </c>
      <c r="B240" s="5" t="s">
        <v>1294</v>
      </c>
      <c r="C240" s="5" t="s">
        <v>1365</v>
      </c>
      <c r="D240" s="5" t="s">
        <v>1437</v>
      </c>
      <c r="E240" s="5" t="s">
        <v>1509</v>
      </c>
      <c r="F240" s="5" t="s">
        <v>1582</v>
      </c>
      <c r="G240" s="5" t="s">
        <v>1648</v>
      </c>
      <c r="H240" s="5" t="s">
        <v>1719</v>
      </c>
      <c r="I240" s="5" t="s">
        <v>2942</v>
      </c>
      <c r="J240" s="5" t="s">
        <v>3067</v>
      </c>
      <c r="K240" s="5" t="s">
        <v>3194</v>
      </c>
      <c r="L240" s="5" t="s">
        <v>3323</v>
      </c>
      <c r="M240" s="5" t="s">
        <v>3790</v>
      </c>
      <c r="N240" s="5" t="s">
        <v>3893</v>
      </c>
    </row>
    <row r="241" spans="1:14" x14ac:dyDescent="0.25">
      <c r="A241" s="12" t="s">
        <v>253</v>
      </c>
      <c r="B241" s="5" t="s">
        <v>254</v>
      </c>
      <c r="C241" s="5" t="s">
        <v>255</v>
      </c>
      <c r="D241" s="5" t="s">
        <v>256</v>
      </c>
      <c r="E241" s="5" t="s">
        <v>1510</v>
      </c>
      <c r="F241" s="5" t="s">
        <v>257</v>
      </c>
      <c r="G241" s="5" t="s">
        <v>258</v>
      </c>
      <c r="H241" s="5" t="s">
        <v>259</v>
      </c>
      <c r="I241" s="5" t="s">
        <v>3426</v>
      </c>
      <c r="J241" s="5" t="s">
        <v>3392</v>
      </c>
      <c r="K241" s="5" t="s">
        <v>3358</v>
      </c>
      <c r="L241" s="5" t="s">
        <v>3324</v>
      </c>
      <c r="M241" s="5" t="s">
        <v>3929</v>
      </c>
      <c r="N241" s="5" t="s">
        <v>3894</v>
      </c>
    </row>
    <row r="242" spans="1:14" x14ac:dyDescent="0.25">
      <c r="A242" s="12" t="s">
        <v>608</v>
      </c>
      <c r="B242" s="5" t="s">
        <v>1830</v>
      </c>
      <c r="C242" s="5" t="s">
        <v>1366</v>
      </c>
      <c r="D242" s="5" t="s">
        <v>1438</v>
      </c>
      <c r="E242" s="5" t="s">
        <v>1511</v>
      </c>
      <c r="F242" s="5" t="s">
        <v>1583</v>
      </c>
      <c r="G242" s="5" t="s">
        <v>1649</v>
      </c>
      <c r="H242" s="5" t="s">
        <v>1720</v>
      </c>
      <c r="I242" s="5" t="s">
        <v>3427</v>
      </c>
      <c r="J242" s="5" t="s">
        <v>3393</v>
      </c>
      <c r="K242" s="5" t="s">
        <v>3359</v>
      </c>
      <c r="L242" s="5" t="s">
        <v>3325</v>
      </c>
      <c r="M242" s="5" t="s">
        <v>3930</v>
      </c>
      <c r="N242" s="5" t="s">
        <v>3895</v>
      </c>
    </row>
    <row r="243" spans="1:14" x14ac:dyDescent="0.25">
      <c r="A243" s="12" t="s">
        <v>609</v>
      </c>
      <c r="B243" s="5" t="s">
        <v>1295</v>
      </c>
      <c r="C243" s="5" t="s">
        <v>1367</v>
      </c>
      <c r="D243" s="5" t="s">
        <v>1439</v>
      </c>
      <c r="E243" s="5" t="s">
        <v>1512</v>
      </c>
      <c r="F243" s="5" t="s">
        <v>1584</v>
      </c>
      <c r="G243" s="5" t="s">
        <v>1650</v>
      </c>
      <c r="H243" s="5" t="s">
        <v>1721</v>
      </c>
      <c r="I243" s="5" t="s">
        <v>3428</v>
      </c>
      <c r="J243" s="5" t="s">
        <v>3394</v>
      </c>
      <c r="K243" s="5" t="s">
        <v>3360</v>
      </c>
      <c r="L243" s="5" t="s">
        <v>3326</v>
      </c>
      <c r="M243" s="5" t="s">
        <v>3931</v>
      </c>
      <c r="N243" s="5" t="s">
        <v>3896</v>
      </c>
    </row>
    <row r="244" spans="1:14" x14ac:dyDescent="0.25">
      <c r="A244" s="12" t="s">
        <v>610</v>
      </c>
      <c r="B244" s="5" t="s">
        <v>1296</v>
      </c>
      <c r="C244" s="5" t="s">
        <v>1368</v>
      </c>
      <c r="D244" s="5" t="s">
        <v>1440</v>
      </c>
      <c r="E244" s="5" t="s">
        <v>1513</v>
      </c>
      <c r="F244" s="5" t="s">
        <v>1585</v>
      </c>
      <c r="G244" s="5" t="s">
        <v>1651</v>
      </c>
      <c r="H244" s="5" t="s">
        <v>1722</v>
      </c>
      <c r="I244" s="5" t="s">
        <v>3429</v>
      </c>
      <c r="J244" s="5" t="s">
        <v>3395</v>
      </c>
      <c r="K244" s="5" t="s">
        <v>3361</v>
      </c>
      <c r="L244" s="5" t="s">
        <v>3327</v>
      </c>
      <c r="M244" s="5" t="s">
        <v>3932</v>
      </c>
      <c r="N244" s="5" t="s">
        <v>3897</v>
      </c>
    </row>
    <row r="245" spans="1:14" x14ac:dyDescent="0.25">
      <c r="A245" s="12" t="s">
        <v>611</v>
      </c>
      <c r="B245" s="5" t="s">
        <v>1297</v>
      </c>
      <c r="C245" s="5" t="s">
        <v>1369</v>
      </c>
      <c r="D245" s="5" t="s">
        <v>1441</v>
      </c>
      <c r="E245" s="5" t="s">
        <v>1514</v>
      </c>
      <c r="F245" s="5" t="s">
        <v>1586</v>
      </c>
      <c r="G245" s="5" t="s">
        <v>1652</v>
      </c>
      <c r="H245" s="5" t="s">
        <v>1723</v>
      </c>
      <c r="I245" s="5" t="s">
        <v>3430</v>
      </c>
      <c r="J245" s="5" t="s">
        <v>3396</v>
      </c>
      <c r="K245" s="5" t="s">
        <v>3362</v>
      </c>
      <c r="L245" s="5" t="s">
        <v>3328</v>
      </c>
      <c r="M245" s="5" t="s">
        <v>3933</v>
      </c>
      <c r="N245" s="5" t="s">
        <v>3898</v>
      </c>
    </row>
    <row r="246" spans="1:14" x14ac:dyDescent="0.25">
      <c r="A246" s="12" t="s">
        <v>612</v>
      </c>
      <c r="B246" s="5" t="s">
        <v>1298</v>
      </c>
      <c r="C246" s="5" t="s">
        <v>1370</v>
      </c>
      <c r="D246" s="5" t="s">
        <v>1442</v>
      </c>
      <c r="E246" s="5" t="s">
        <v>1515</v>
      </c>
      <c r="F246" s="5" t="s">
        <v>1587</v>
      </c>
      <c r="G246" s="5" t="s">
        <v>1653</v>
      </c>
      <c r="H246" s="5" t="s">
        <v>1724</v>
      </c>
      <c r="I246" s="5" t="s">
        <v>3431</v>
      </c>
      <c r="J246" s="5" t="s">
        <v>3397</v>
      </c>
      <c r="K246" s="5" t="s">
        <v>3363</v>
      </c>
      <c r="L246" s="5" t="s">
        <v>3329</v>
      </c>
      <c r="M246" s="5" t="s">
        <v>3934</v>
      </c>
      <c r="N246" s="5" t="s">
        <v>3899</v>
      </c>
    </row>
    <row r="247" spans="1:14" x14ac:dyDescent="0.25">
      <c r="A247" s="12" t="s">
        <v>613</v>
      </c>
      <c r="B247" s="5" t="s">
        <v>1299</v>
      </c>
      <c r="C247" s="5" t="s">
        <v>1371</v>
      </c>
      <c r="D247" s="5" t="s">
        <v>1443</v>
      </c>
      <c r="E247" s="5" t="s">
        <v>1516</v>
      </c>
      <c r="F247" s="5" t="s">
        <v>1588</v>
      </c>
      <c r="G247" s="5" t="s">
        <v>1654</v>
      </c>
      <c r="H247" s="5" t="s">
        <v>1725</v>
      </c>
      <c r="I247" s="5" t="s">
        <v>3432</v>
      </c>
      <c r="J247" s="5" t="s">
        <v>3398</v>
      </c>
      <c r="K247" s="5" t="s">
        <v>3364</v>
      </c>
      <c r="L247" s="5" t="s">
        <v>3330</v>
      </c>
      <c r="M247" s="5" t="s">
        <v>3935</v>
      </c>
      <c r="N247" s="5" t="s">
        <v>3900</v>
      </c>
    </row>
    <row r="248" spans="1:14" x14ac:dyDescent="0.25">
      <c r="A248" s="12" t="s">
        <v>614</v>
      </c>
      <c r="B248" s="5" t="s">
        <v>1300</v>
      </c>
      <c r="C248" s="5" t="s">
        <v>1372</v>
      </c>
      <c r="D248" s="5" t="s">
        <v>1444</v>
      </c>
      <c r="E248" s="5" t="s">
        <v>1517</v>
      </c>
      <c r="F248" s="5" t="s">
        <v>1589</v>
      </c>
      <c r="G248" s="5" t="s">
        <v>1655</v>
      </c>
      <c r="H248" s="5" t="s">
        <v>1726</v>
      </c>
      <c r="I248" s="5" t="s">
        <v>3433</v>
      </c>
      <c r="J248" s="5" t="s">
        <v>3399</v>
      </c>
      <c r="K248" s="5" t="s">
        <v>3365</v>
      </c>
      <c r="L248" s="5" t="s">
        <v>3331</v>
      </c>
      <c r="M248" s="5" t="s">
        <v>3936</v>
      </c>
      <c r="N248" s="5" t="s">
        <v>3901</v>
      </c>
    </row>
    <row r="249" spans="1:14" x14ac:dyDescent="0.25">
      <c r="A249" s="12" t="s">
        <v>302</v>
      </c>
      <c r="B249" s="5" t="s">
        <v>1301</v>
      </c>
      <c r="C249" s="5" t="s">
        <v>303</v>
      </c>
      <c r="D249" s="5" t="s">
        <v>1445</v>
      </c>
      <c r="E249" s="5" t="s">
        <v>1518</v>
      </c>
      <c r="F249" s="5" t="s">
        <v>304</v>
      </c>
      <c r="G249" s="5" t="s">
        <v>305</v>
      </c>
      <c r="H249" s="5" t="s">
        <v>306</v>
      </c>
      <c r="I249" s="5" t="s">
        <v>3434</v>
      </c>
      <c r="J249" s="5" t="s">
        <v>3400</v>
      </c>
      <c r="K249" s="5" t="s">
        <v>3366</v>
      </c>
      <c r="L249" s="5" t="s">
        <v>3332</v>
      </c>
      <c r="M249" s="5" t="s">
        <v>3937</v>
      </c>
      <c r="N249" s="5" t="s">
        <v>3902</v>
      </c>
    </row>
    <row r="250" spans="1:14" x14ac:dyDescent="0.25">
      <c r="A250" s="12" t="s">
        <v>615</v>
      </c>
      <c r="B250" s="5" t="s">
        <v>1302</v>
      </c>
      <c r="C250" s="5" t="s">
        <v>1373</v>
      </c>
      <c r="D250" s="5" t="s">
        <v>1446</v>
      </c>
      <c r="E250" s="5" t="s">
        <v>1519</v>
      </c>
      <c r="F250" s="5" t="s">
        <v>1590</v>
      </c>
      <c r="G250" s="5" t="s">
        <v>1656</v>
      </c>
      <c r="H250" s="5" t="s">
        <v>1727</v>
      </c>
      <c r="I250" s="5" t="s">
        <v>3435</v>
      </c>
      <c r="J250" s="5" t="s">
        <v>3401</v>
      </c>
      <c r="K250" s="5" t="s">
        <v>3367</v>
      </c>
      <c r="L250" s="5" t="s">
        <v>3333</v>
      </c>
      <c r="M250" s="5" t="s">
        <v>3938</v>
      </c>
      <c r="N250" s="5" t="s">
        <v>3903</v>
      </c>
    </row>
    <row r="251" spans="1:14" x14ac:dyDescent="0.25">
      <c r="A251" s="12" t="s">
        <v>616</v>
      </c>
      <c r="B251" s="5" t="s">
        <v>1832</v>
      </c>
      <c r="C251" s="5" t="s">
        <v>1374</v>
      </c>
      <c r="D251" s="5" t="s">
        <v>1447</v>
      </c>
      <c r="E251" s="5" t="s">
        <v>1520</v>
      </c>
      <c r="F251" s="5" t="s">
        <v>1591</v>
      </c>
      <c r="G251" s="5" t="s">
        <v>1657</v>
      </c>
      <c r="H251" s="5" t="s">
        <v>1728</v>
      </c>
      <c r="I251" s="5" t="s">
        <v>3436</v>
      </c>
      <c r="J251" s="5" t="s">
        <v>3402</v>
      </c>
      <c r="K251" s="5" t="s">
        <v>3368</v>
      </c>
      <c r="L251" s="5" t="s">
        <v>3334</v>
      </c>
      <c r="M251" s="5" t="s">
        <v>3939</v>
      </c>
      <c r="N251" s="5" t="s">
        <v>3904</v>
      </c>
    </row>
    <row r="252" spans="1:14" x14ac:dyDescent="0.25">
      <c r="A252" s="12" t="s">
        <v>1847</v>
      </c>
      <c r="B252" s="5" t="s">
        <v>1928</v>
      </c>
      <c r="C252" s="5" t="s">
        <v>1971</v>
      </c>
      <c r="D252" s="5" t="s">
        <v>2016</v>
      </c>
      <c r="E252" s="5" t="s">
        <v>2061</v>
      </c>
      <c r="F252" s="5" t="s">
        <v>2106</v>
      </c>
      <c r="G252" s="5" t="s">
        <v>2150</v>
      </c>
      <c r="H252" s="5" t="s">
        <v>2195</v>
      </c>
      <c r="I252" s="5" t="s">
        <v>3437</v>
      </c>
      <c r="J252" s="5" t="s">
        <v>3403</v>
      </c>
      <c r="K252" s="5" t="s">
        <v>3369</v>
      </c>
      <c r="L252" s="5" t="s">
        <v>3335</v>
      </c>
      <c r="M252" s="5" t="s">
        <v>3940</v>
      </c>
      <c r="N252" s="5" t="s">
        <v>3905</v>
      </c>
    </row>
    <row r="253" spans="1:14" x14ac:dyDescent="0.25">
      <c r="A253" s="12" t="s">
        <v>1887</v>
      </c>
      <c r="B253" s="5" t="s">
        <v>1929</v>
      </c>
      <c r="C253" s="5" t="s">
        <v>1974</v>
      </c>
      <c r="D253" s="5" t="s">
        <v>2019</v>
      </c>
      <c r="E253" s="5" t="s">
        <v>2064</v>
      </c>
      <c r="F253" s="5" t="s">
        <v>2109</v>
      </c>
      <c r="G253" s="5" t="s">
        <v>2153</v>
      </c>
      <c r="H253" s="5" t="s">
        <v>2198</v>
      </c>
      <c r="I253" s="5" t="s">
        <v>3438</v>
      </c>
      <c r="J253" s="5" t="s">
        <v>3404</v>
      </c>
      <c r="K253" s="5" t="s">
        <v>3370</v>
      </c>
      <c r="L253" s="5" t="s">
        <v>3336</v>
      </c>
      <c r="M253" s="5" t="s">
        <v>3941</v>
      </c>
      <c r="N253" s="5" t="s">
        <v>3906</v>
      </c>
    </row>
    <row r="254" spans="1:14" x14ac:dyDescent="0.25">
      <c r="A254" s="12" t="s">
        <v>617</v>
      </c>
      <c r="B254" s="5" t="s">
        <v>1303</v>
      </c>
      <c r="C254" s="5" t="s">
        <v>1375</v>
      </c>
      <c r="D254" s="5" t="s">
        <v>1448</v>
      </c>
      <c r="E254" s="5" t="s">
        <v>1521</v>
      </c>
      <c r="F254" s="5" t="s">
        <v>1592</v>
      </c>
      <c r="G254" s="5" t="s">
        <v>1658</v>
      </c>
      <c r="H254" s="5" t="s">
        <v>1729</v>
      </c>
      <c r="I254" s="5" t="s">
        <v>3439</v>
      </c>
      <c r="J254" s="5" t="s">
        <v>3405</v>
      </c>
      <c r="K254" s="5" t="s">
        <v>3371</v>
      </c>
      <c r="L254" s="5" t="s">
        <v>3337</v>
      </c>
      <c r="M254" s="5" t="s">
        <v>3942</v>
      </c>
      <c r="N254" s="5" t="s">
        <v>3907</v>
      </c>
    </row>
    <row r="255" spans="1:14" x14ac:dyDescent="0.25">
      <c r="A255" s="12" t="s">
        <v>87</v>
      </c>
      <c r="B255" s="5" t="s">
        <v>374</v>
      </c>
      <c r="C255" s="5" t="s">
        <v>88</v>
      </c>
      <c r="D255" s="5" t="s">
        <v>89</v>
      </c>
      <c r="E255" s="5" t="s">
        <v>90</v>
      </c>
      <c r="F255" s="5" t="s">
        <v>91</v>
      </c>
      <c r="G255" s="5" t="s">
        <v>92</v>
      </c>
      <c r="H255" s="5" t="s">
        <v>93</v>
      </c>
      <c r="I255" s="5" t="s">
        <v>2332</v>
      </c>
      <c r="J255" s="5" t="s">
        <v>2356</v>
      </c>
      <c r="K255" s="5" t="s">
        <v>2381</v>
      </c>
      <c r="L255" s="5" t="s">
        <v>2405</v>
      </c>
      <c r="M255" s="5" t="s">
        <v>3943</v>
      </c>
      <c r="N255" s="5" t="s">
        <v>3908</v>
      </c>
    </row>
    <row r="256" spans="1:14" x14ac:dyDescent="0.25">
      <c r="A256" s="12" t="s">
        <v>618</v>
      </c>
      <c r="B256" s="5" t="s">
        <v>1304</v>
      </c>
      <c r="C256" s="5" t="s">
        <v>1376</v>
      </c>
      <c r="D256" s="5" t="s">
        <v>1449</v>
      </c>
      <c r="E256" s="5" t="s">
        <v>1522</v>
      </c>
      <c r="F256" s="5" t="s">
        <v>1593</v>
      </c>
      <c r="G256" s="5" t="s">
        <v>1659</v>
      </c>
      <c r="H256" s="5" t="s">
        <v>1730</v>
      </c>
      <c r="I256" s="5" t="s">
        <v>3440</v>
      </c>
      <c r="J256" s="5" t="s">
        <v>3406</v>
      </c>
      <c r="K256" s="5" t="s">
        <v>3372</v>
      </c>
      <c r="L256" s="5" t="s">
        <v>3338</v>
      </c>
      <c r="M256" s="5" t="s">
        <v>3944</v>
      </c>
      <c r="N256" s="5" t="s">
        <v>3909</v>
      </c>
    </row>
    <row r="257" spans="1:14" x14ac:dyDescent="0.25">
      <c r="A257" s="12" t="s">
        <v>619</v>
      </c>
      <c r="B257" s="5" t="s">
        <v>1305</v>
      </c>
      <c r="C257" s="5" t="s">
        <v>1377</v>
      </c>
      <c r="D257" s="5" t="s">
        <v>1450</v>
      </c>
      <c r="E257" s="5" t="s">
        <v>1523</v>
      </c>
      <c r="F257" s="5" t="s">
        <v>1594</v>
      </c>
      <c r="G257" s="5" t="s">
        <v>1660</v>
      </c>
      <c r="H257" s="5" t="s">
        <v>1731</v>
      </c>
      <c r="I257" s="5" t="s">
        <v>3441</v>
      </c>
      <c r="J257" s="5" t="s">
        <v>3407</v>
      </c>
      <c r="K257" s="5" t="s">
        <v>3373</v>
      </c>
      <c r="L257" s="5" t="s">
        <v>3339</v>
      </c>
      <c r="M257" s="5" t="s">
        <v>3945</v>
      </c>
      <c r="N257" s="5" t="s">
        <v>3910</v>
      </c>
    </row>
    <row r="258" spans="1:14" x14ac:dyDescent="0.25">
      <c r="A258" s="12" t="s">
        <v>620</v>
      </c>
      <c r="B258" s="5" t="s">
        <v>1306</v>
      </c>
      <c r="C258" s="5" t="s">
        <v>1378</v>
      </c>
      <c r="D258" s="5" t="s">
        <v>1451</v>
      </c>
      <c r="E258" s="5" t="s">
        <v>1524</v>
      </c>
      <c r="F258" s="5" t="s">
        <v>1595</v>
      </c>
      <c r="G258" s="5" t="s">
        <v>1661</v>
      </c>
      <c r="H258" s="5" t="s">
        <v>1732</v>
      </c>
      <c r="I258" s="5" t="s">
        <v>3442</v>
      </c>
      <c r="J258" s="5" t="s">
        <v>3408</v>
      </c>
      <c r="K258" s="5" t="s">
        <v>3374</v>
      </c>
      <c r="L258" s="5" t="s">
        <v>3340</v>
      </c>
      <c r="M258" s="5" t="s">
        <v>3946</v>
      </c>
      <c r="N258" s="5" t="s">
        <v>3911</v>
      </c>
    </row>
    <row r="259" spans="1:14" x14ac:dyDescent="0.25">
      <c r="A259" s="12" t="s">
        <v>621</v>
      </c>
      <c r="B259" s="5" t="s">
        <v>1307</v>
      </c>
      <c r="C259" s="5" t="s">
        <v>1379</v>
      </c>
      <c r="D259" s="5" t="s">
        <v>1452</v>
      </c>
      <c r="E259" s="5" t="s">
        <v>1525</v>
      </c>
      <c r="F259" s="5" t="s">
        <v>1596</v>
      </c>
      <c r="G259" s="5" t="s">
        <v>1662</v>
      </c>
      <c r="H259" s="5" t="s">
        <v>1733</v>
      </c>
      <c r="I259" s="5" t="s">
        <v>3443</v>
      </c>
      <c r="J259" s="5" t="s">
        <v>3409</v>
      </c>
      <c r="K259" s="5" t="s">
        <v>3375</v>
      </c>
      <c r="L259" s="5" t="s">
        <v>3341</v>
      </c>
      <c r="M259" s="5" t="s">
        <v>3947</v>
      </c>
      <c r="N259" s="5" t="s">
        <v>3912</v>
      </c>
    </row>
    <row r="260" spans="1:14" x14ac:dyDescent="0.25">
      <c r="A260" s="12" t="s">
        <v>622</v>
      </c>
      <c r="B260" s="5" t="s">
        <v>1308</v>
      </c>
      <c r="C260" s="5" t="s">
        <v>1380</v>
      </c>
      <c r="D260" s="5" t="s">
        <v>1453</v>
      </c>
      <c r="E260" s="5" t="s">
        <v>1526</v>
      </c>
      <c r="F260" s="5" t="s">
        <v>1597</v>
      </c>
      <c r="G260" s="5" t="s">
        <v>1663</v>
      </c>
      <c r="H260" s="5" t="s">
        <v>1734</v>
      </c>
      <c r="I260" s="5" t="s">
        <v>3444</v>
      </c>
      <c r="J260" s="5" t="s">
        <v>3410</v>
      </c>
      <c r="K260" s="5" t="s">
        <v>3376</v>
      </c>
      <c r="L260" s="5" t="s">
        <v>3342</v>
      </c>
      <c r="M260" s="5" t="s">
        <v>3948</v>
      </c>
      <c r="N260" s="5" t="s">
        <v>3913</v>
      </c>
    </row>
    <row r="261" spans="1:14" x14ac:dyDescent="0.25">
      <c r="A261" s="12" t="s">
        <v>623</v>
      </c>
      <c r="B261" s="5" t="s">
        <v>1309</v>
      </c>
      <c r="C261" s="5" t="s">
        <v>1381</v>
      </c>
      <c r="D261" s="5" t="s">
        <v>1454</v>
      </c>
      <c r="E261" s="5" t="s">
        <v>1527</v>
      </c>
      <c r="F261" s="5" t="s">
        <v>1598</v>
      </c>
      <c r="G261" s="5" t="s">
        <v>1664</v>
      </c>
      <c r="H261" s="5" t="s">
        <v>1735</v>
      </c>
      <c r="I261" s="5" t="s">
        <v>3445</v>
      </c>
      <c r="J261" s="5" t="s">
        <v>3411</v>
      </c>
      <c r="K261" s="5" t="s">
        <v>3377</v>
      </c>
      <c r="L261" s="5" t="s">
        <v>3343</v>
      </c>
      <c r="M261" s="5" t="s">
        <v>3949</v>
      </c>
      <c r="N261" s="5" t="s">
        <v>3914</v>
      </c>
    </row>
    <row r="262" spans="1:14" x14ac:dyDescent="0.25">
      <c r="A262" s="12" t="s">
        <v>624</v>
      </c>
      <c r="B262" s="5" t="s">
        <v>1810</v>
      </c>
      <c r="C262" s="5" t="s">
        <v>1798</v>
      </c>
      <c r="D262" s="5" t="s">
        <v>1785</v>
      </c>
      <c r="E262" s="5" t="s">
        <v>1773</v>
      </c>
      <c r="F262" s="5" t="s">
        <v>1761</v>
      </c>
      <c r="G262" s="5" t="s">
        <v>1748</v>
      </c>
      <c r="H262" s="5" t="s">
        <v>1741</v>
      </c>
      <c r="I262" s="5" t="s">
        <v>3446</v>
      </c>
      <c r="J262" s="5" t="s">
        <v>3412</v>
      </c>
      <c r="K262" s="5" t="s">
        <v>3378</v>
      </c>
      <c r="L262" s="5" t="s">
        <v>3344</v>
      </c>
      <c r="M262" s="5" t="s">
        <v>3950</v>
      </c>
      <c r="N262" s="5" t="s">
        <v>3915</v>
      </c>
    </row>
    <row r="263" spans="1:14" x14ac:dyDescent="0.25">
      <c r="A263" s="12" t="s">
        <v>625</v>
      </c>
      <c r="B263" s="5" t="s">
        <v>1811</v>
      </c>
      <c r="C263" s="5" t="s">
        <v>1799</v>
      </c>
      <c r="D263" s="5" t="s">
        <v>1786</v>
      </c>
      <c r="E263" s="5" t="s">
        <v>1774</v>
      </c>
      <c r="F263" s="5" t="s">
        <v>1762</v>
      </c>
      <c r="G263" s="5" t="s">
        <v>1749</v>
      </c>
      <c r="H263" s="5" t="s">
        <v>1742</v>
      </c>
      <c r="I263" s="5" t="s">
        <v>3447</v>
      </c>
      <c r="J263" s="5" t="s">
        <v>3413</v>
      </c>
      <c r="K263" s="5" t="s">
        <v>3379</v>
      </c>
      <c r="L263" s="5" t="s">
        <v>3345</v>
      </c>
      <c r="M263" s="5" t="s">
        <v>3951</v>
      </c>
      <c r="N263" s="5" t="s">
        <v>3916</v>
      </c>
    </row>
    <row r="264" spans="1:14" x14ac:dyDescent="0.25">
      <c r="A264" s="12" t="s">
        <v>626</v>
      </c>
      <c r="B264" s="5" t="s">
        <v>1812</v>
      </c>
      <c r="C264" s="5" t="s">
        <v>1800</v>
      </c>
      <c r="D264" s="5" t="s">
        <v>1787</v>
      </c>
      <c r="E264" s="5" t="s">
        <v>1775</v>
      </c>
      <c r="F264" s="5" t="s">
        <v>1763</v>
      </c>
      <c r="G264" s="5" t="s">
        <v>1750</v>
      </c>
      <c r="H264" s="5" t="s">
        <v>1743</v>
      </c>
      <c r="I264" s="5" t="s">
        <v>3448</v>
      </c>
      <c r="J264" s="5" t="s">
        <v>3414</v>
      </c>
      <c r="K264" s="5" t="s">
        <v>3380</v>
      </c>
      <c r="L264" s="5" t="s">
        <v>3346</v>
      </c>
      <c r="M264" s="5" t="s">
        <v>3952</v>
      </c>
      <c r="N264" s="5" t="s">
        <v>3917</v>
      </c>
    </row>
    <row r="265" spans="1:14" x14ac:dyDescent="0.25">
      <c r="A265" s="12" t="s">
        <v>627</v>
      </c>
      <c r="B265" s="5" t="s">
        <v>1813</v>
      </c>
      <c r="C265" s="5" t="s">
        <v>1801</v>
      </c>
      <c r="D265" s="5" t="s">
        <v>1788</v>
      </c>
      <c r="E265" s="5" t="s">
        <v>1776</v>
      </c>
      <c r="F265" s="5" t="s">
        <v>1764</v>
      </c>
      <c r="G265" s="5" t="s">
        <v>1751</v>
      </c>
      <c r="H265" s="5" t="s">
        <v>1744</v>
      </c>
      <c r="I265" s="5" t="s">
        <v>3449</v>
      </c>
      <c r="J265" s="5" t="s">
        <v>3415</v>
      </c>
      <c r="K265" s="5" t="s">
        <v>3381</v>
      </c>
      <c r="L265" s="5" t="s">
        <v>3347</v>
      </c>
      <c r="M265" s="5" t="s">
        <v>3953</v>
      </c>
      <c r="N265" s="5" t="s">
        <v>3918</v>
      </c>
    </row>
    <row r="266" spans="1:14" x14ac:dyDescent="0.25">
      <c r="A266" s="12" t="s">
        <v>628</v>
      </c>
      <c r="B266" s="5" t="s">
        <v>1814</v>
      </c>
      <c r="C266" s="5" t="s">
        <v>1802</v>
      </c>
      <c r="D266" s="5" t="s">
        <v>1789</v>
      </c>
      <c r="E266" s="5" t="s">
        <v>1777</v>
      </c>
      <c r="F266" s="5" t="s">
        <v>1765</v>
      </c>
      <c r="G266" s="5" t="s">
        <v>1752</v>
      </c>
      <c r="H266" s="5" t="s">
        <v>1745</v>
      </c>
      <c r="I266" s="5" t="s">
        <v>3450</v>
      </c>
      <c r="J266" s="5" t="s">
        <v>3416</v>
      </c>
      <c r="K266" s="5" t="s">
        <v>3382</v>
      </c>
      <c r="L266" s="5" t="s">
        <v>3348</v>
      </c>
      <c r="M266" s="5" t="s">
        <v>3954</v>
      </c>
      <c r="N266" s="5" t="s">
        <v>3919</v>
      </c>
    </row>
    <row r="267" spans="1:14" x14ac:dyDescent="0.25">
      <c r="A267" s="12" t="s">
        <v>629</v>
      </c>
      <c r="B267" s="5" t="s">
        <v>1846</v>
      </c>
      <c r="C267" s="5" t="s">
        <v>1803</v>
      </c>
      <c r="D267" s="5" t="s">
        <v>1790</v>
      </c>
      <c r="E267" s="5" t="s">
        <v>1778</v>
      </c>
      <c r="F267" s="5" t="s">
        <v>1766</v>
      </c>
      <c r="G267" s="5" t="s">
        <v>1753</v>
      </c>
      <c r="H267" s="5" t="s">
        <v>1746</v>
      </c>
      <c r="I267" s="5" t="s">
        <v>3451</v>
      </c>
      <c r="J267" s="5" t="s">
        <v>3417</v>
      </c>
      <c r="K267" s="5" t="s">
        <v>3383</v>
      </c>
      <c r="L267" s="5" t="s">
        <v>3349</v>
      </c>
      <c r="M267" s="5" t="s">
        <v>3955</v>
      </c>
      <c r="N267" s="5" t="s">
        <v>3920</v>
      </c>
    </row>
    <row r="268" spans="1:14" x14ac:dyDescent="0.25">
      <c r="A268" s="12" t="s">
        <v>630</v>
      </c>
      <c r="B268" s="5" t="s">
        <v>1815</v>
      </c>
      <c r="C268" s="5" t="s">
        <v>1804</v>
      </c>
      <c r="D268" s="5" t="s">
        <v>1791</v>
      </c>
      <c r="E268" s="5" t="s">
        <v>1779</v>
      </c>
      <c r="F268" s="5" t="s">
        <v>1767</v>
      </c>
      <c r="G268" s="5" t="s">
        <v>1754</v>
      </c>
      <c r="H268" s="5" t="s">
        <v>1747</v>
      </c>
      <c r="I268" s="5" t="s">
        <v>3452</v>
      </c>
      <c r="J268" s="5" t="s">
        <v>3418</v>
      </c>
      <c r="K268" s="5" t="s">
        <v>3384</v>
      </c>
      <c r="L268" s="5" t="s">
        <v>3350</v>
      </c>
      <c r="M268" s="5" t="s">
        <v>3956</v>
      </c>
      <c r="N268" s="5" t="s">
        <v>3921</v>
      </c>
    </row>
    <row r="269" spans="1:14" x14ac:dyDescent="0.25">
      <c r="A269" s="12" t="s">
        <v>13</v>
      </c>
      <c r="B269" s="5" t="s">
        <v>161</v>
      </c>
      <c r="C269" s="5" t="s">
        <v>162</v>
      </c>
      <c r="D269" s="5" t="s">
        <v>1792</v>
      </c>
      <c r="E269" s="5" t="s">
        <v>163</v>
      </c>
      <c r="F269" s="5" t="s">
        <v>4019</v>
      </c>
      <c r="G269" s="5" t="s">
        <v>1755</v>
      </c>
      <c r="H269" s="5" t="s">
        <v>164</v>
      </c>
      <c r="I269" s="5" t="s">
        <v>3453</v>
      </c>
      <c r="J269" s="5" t="s">
        <v>3419</v>
      </c>
      <c r="K269" s="5" t="s">
        <v>3385</v>
      </c>
      <c r="L269" s="5" t="s">
        <v>3351</v>
      </c>
      <c r="M269" s="5" t="s">
        <v>3957</v>
      </c>
      <c r="N269" s="5" t="s">
        <v>3922</v>
      </c>
    </row>
    <row r="270" spans="1:14" x14ac:dyDescent="0.25">
      <c r="A270" s="12" t="s">
        <v>631</v>
      </c>
      <c r="B270" s="5" t="s">
        <v>1816</v>
      </c>
      <c r="C270" s="5" t="s">
        <v>1805</v>
      </c>
      <c r="D270" s="5" t="s">
        <v>1793</v>
      </c>
      <c r="E270" s="5" t="s">
        <v>1780</v>
      </c>
      <c r="F270" s="5" t="s">
        <v>1768</v>
      </c>
      <c r="G270" s="5" t="s">
        <v>1756</v>
      </c>
      <c r="H270" s="5" t="s">
        <v>1736</v>
      </c>
      <c r="I270" s="5" t="s">
        <v>3454</v>
      </c>
      <c r="J270" s="5" t="s">
        <v>3420</v>
      </c>
      <c r="K270" s="5" t="s">
        <v>3386</v>
      </c>
      <c r="L270" s="5" t="s">
        <v>3352</v>
      </c>
      <c r="M270" s="5" t="s">
        <v>3958</v>
      </c>
      <c r="N270" s="5" t="s">
        <v>3923</v>
      </c>
    </row>
    <row r="271" spans="1:14" x14ac:dyDescent="0.25">
      <c r="A271" s="12" t="s">
        <v>32</v>
      </c>
      <c r="B271" s="5" t="s">
        <v>1820</v>
      </c>
      <c r="C271" s="5" t="s">
        <v>1806</v>
      </c>
      <c r="D271" s="5" t="s">
        <v>1794</v>
      </c>
      <c r="E271" s="5" t="s">
        <v>1781</v>
      </c>
      <c r="F271" s="5" t="s">
        <v>1769</v>
      </c>
      <c r="G271" s="5" t="s">
        <v>1757</v>
      </c>
      <c r="H271" s="5" t="s">
        <v>1737</v>
      </c>
      <c r="I271" s="5" t="s">
        <v>3455</v>
      </c>
      <c r="J271" s="5" t="s">
        <v>3421</v>
      </c>
      <c r="K271" s="5" t="s">
        <v>3387</v>
      </c>
      <c r="L271" s="5" t="s">
        <v>3353</v>
      </c>
      <c r="M271" s="5" t="s">
        <v>3959</v>
      </c>
      <c r="N271" s="5" t="s">
        <v>3924</v>
      </c>
    </row>
    <row r="272" spans="1:14" x14ac:dyDescent="0.25">
      <c r="A272" s="12" t="s">
        <v>28</v>
      </c>
      <c r="B272" s="5" t="s">
        <v>1819</v>
      </c>
      <c r="C272" s="5" t="s">
        <v>1807</v>
      </c>
      <c r="D272" s="5" t="s">
        <v>1795</v>
      </c>
      <c r="E272" s="5" t="s">
        <v>1782</v>
      </c>
      <c r="F272" s="5" t="s">
        <v>1770</v>
      </c>
      <c r="G272" s="5" t="s">
        <v>1758</v>
      </c>
      <c r="H272" s="5" t="s">
        <v>1738</v>
      </c>
      <c r="I272" s="5" t="s">
        <v>3456</v>
      </c>
      <c r="J272" s="5" t="s">
        <v>3422</v>
      </c>
      <c r="K272" s="5" t="s">
        <v>3388</v>
      </c>
      <c r="L272" s="5" t="s">
        <v>3354</v>
      </c>
      <c r="M272" s="5" t="s">
        <v>3960</v>
      </c>
      <c r="N272" s="5" t="s">
        <v>3925</v>
      </c>
    </row>
    <row r="273" spans="1:14" x14ac:dyDescent="0.25">
      <c r="A273" s="12" t="s">
        <v>632</v>
      </c>
      <c r="B273" s="5" t="s">
        <v>1817</v>
      </c>
      <c r="C273" s="5" t="s">
        <v>1808</v>
      </c>
      <c r="D273" s="5" t="s">
        <v>1796</v>
      </c>
      <c r="E273" s="5" t="s">
        <v>1783</v>
      </c>
      <c r="F273" s="5" t="s">
        <v>1771</v>
      </c>
      <c r="G273" s="5" t="s">
        <v>1759</v>
      </c>
      <c r="H273" s="5" t="s">
        <v>1739</v>
      </c>
      <c r="I273" s="5" t="s">
        <v>3457</v>
      </c>
      <c r="J273" s="5" t="s">
        <v>3423</v>
      </c>
      <c r="K273" s="5" t="s">
        <v>3389</v>
      </c>
      <c r="L273" s="5" t="s">
        <v>3355</v>
      </c>
      <c r="M273" s="5" t="s">
        <v>3961</v>
      </c>
      <c r="N273" s="5" t="s">
        <v>3926</v>
      </c>
    </row>
    <row r="274" spans="1:14" x14ac:dyDescent="0.25">
      <c r="A274" s="12" t="s">
        <v>633</v>
      </c>
      <c r="B274" s="5" t="s">
        <v>1818</v>
      </c>
      <c r="C274" s="5" t="s">
        <v>1809</v>
      </c>
      <c r="D274" s="5" t="s">
        <v>1797</v>
      </c>
      <c r="E274" s="5" t="s">
        <v>1784</v>
      </c>
      <c r="F274" s="5" t="s">
        <v>1772</v>
      </c>
      <c r="G274" s="5" t="s">
        <v>1760</v>
      </c>
      <c r="H274" s="5" t="s">
        <v>1740</v>
      </c>
      <c r="I274" s="5" t="s">
        <v>3458</v>
      </c>
      <c r="J274" s="5" t="s">
        <v>3424</v>
      </c>
      <c r="K274" s="5" t="s">
        <v>3390</v>
      </c>
      <c r="L274" s="5" t="s">
        <v>3356</v>
      </c>
      <c r="M274" s="5" t="s">
        <v>3962</v>
      </c>
      <c r="N274" s="5" t="s">
        <v>3927</v>
      </c>
    </row>
    <row r="275" spans="1:14" x14ac:dyDescent="0.25">
      <c r="A275" s="12" t="s">
        <v>2299</v>
      </c>
      <c r="B275" s="5" t="s">
        <v>2304</v>
      </c>
      <c r="C275" s="5" t="s">
        <v>2305</v>
      </c>
      <c r="D275" s="5" t="s">
        <v>2306</v>
      </c>
      <c r="E275" s="5" t="s">
        <v>2307</v>
      </c>
      <c r="F275" s="5" t="s">
        <v>2308</v>
      </c>
      <c r="G275" s="5" t="s">
        <v>2309</v>
      </c>
      <c r="H275" s="5" t="s">
        <v>2310</v>
      </c>
      <c r="I275" s="5" t="s">
        <v>3459</v>
      </c>
      <c r="J275" s="5" t="s">
        <v>3425</v>
      </c>
      <c r="K275" s="5" t="s">
        <v>3391</v>
      </c>
      <c r="L275" s="5" t="s">
        <v>3357</v>
      </c>
      <c r="M275" s="5" t="s">
        <v>3963</v>
      </c>
      <c r="N275" s="5" t="s">
        <v>3928</v>
      </c>
    </row>
    <row r="276" spans="1:14" x14ac:dyDescent="0.25">
      <c r="A276" s="12" t="s">
        <v>4003</v>
      </c>
      <c r="B276" s="5" t="s">
        <v>4004</v>
      </c>
      <c r="C276" s="5" t="s">
        <v>4007</v>
      </c>
      <c r="D276" s="5" t="s">
        <v>4010</v>
      </c>
      <c r="E276" s="5" t="s">
        <v>4013</v>
      </c>
      <c r="F276" s="5" t="s">
        <v>4016</v>
      </c>
      <c r="G276" s="5" t="s">
        <v>4020</v>
      </c>
      <c r="H276" s="5" t="s">
        <v>4023</v>
      </c>
      <c r="I276" s="5" t="s">
        <v>4026</v>
      </c>
      <c r="J276" s="5" t="s">
        <v>4029</v>
      </c>
      <c r="K276" s="5" t="s">
        <v>4032</v>
      </c>
      <c r="L276" s="5" t="s">
        <v>4035</v>
      </c>
      <c r="M276" s="5" t="s">
        <v>4038</v>
      </c>
      <c r="N276" s="5" t="s">
        <v>4041</v>
      </c>
    </row>
    <row r="277" spans="1:14" x14ac:dyDescent="0.25">
      <c r="A277" s="12" t="s">
        <v>3998</v>
      </c>
      <c r="B277" s="5" t="s">
        <v>4006</v>
      </c>
      <c r="C277" s="5" t="s">
        <v>4008</v>
      </c>
      <c r="D277" s="5" t="s">
        <v>4011</v>
      </c>
      <c r="E277" s="5" t="s">
        <v>4014</v>
      </c>
      <c r="F277" s="5" t="s">
        <v>4017</v>
      </c>
      <c r="G277" s="5" t="s">
        <v>4021</v>
      </c>
      <c r="H277" s="5" t="s">
        <v>4024</v>
      </c>
      <c r="I277" s="5" t="s">
        <v>4027</v>
      </c>
      <c r="J277" s="5" t="s">
        <v>4030</v>
      </c>
      <c r="K277" s="5" t="s">
        <v>4033</v>
      </c>
      <c r="L277" s="5" t="s">
        <v>4036</v>
      </c>
      <c r="M277" s="5" t="s">
        <v>4039</v>
      </c>
      <c r="N277" s="5" t="s">
        <v>4042</v>
      </c>
    </row>
    <row r="278" spans="1:14" x14ac:dyDescent="0.25">
      <c r="A278" s="12" t="s">
        <v>3999</v>
      </c>
      <c r="B278" s="5" t="s">
        <v>4005</v>
      </c>
      <c r="C278" s="5" t="s">
        <v>4009</v>
      </c>
      <c r="D278" s="5" t="s">
        <v>4012</v>
      </c>
      <c r="E278" s="5" t="s">
        <v>4015</v>
      </c>
      <c r="F278" s="5" t="s">
        <v>4018</v>
      </c>
      <c r="G278" s="5" t="s">
        <v>4022</v>
      </c>
      <c r="H278" s="5" t="s">
        <v>4025</v>
      </c>
      <c r="I278" s="5" t="s">
        <v>4028</v>
      </c>
      <c r="J278" s="5" t="s">
        <v>4031</v>
      </c>
      <c r="K278" s="5" t="s">
        <v>4034</v>
      </c>
      <c r="L278" s="5" t="s">
        <v>4037</v>
      </c>
      <c r="M278" s="5" t="s">
        <v>4040</v>
      </c>
      <c r="N278" s="5" t="s">
        <v>4043</v>
      </c>
    </row>
    <row r="279" spans="1:14" x14ac:dyDescent="0.25">
      <c r="A279" s="12" t="s">
        <v>4044</v>
      </c>
      <c r="B279" s="16" t="s">
        <v>4056</v>
      </c>
      <c r="C279" s="16" t="s">
        <v>4055</v>
      </c>
      <c r="D279" s="16" t="s">
        <v>4054</v>
      </c>
      <c r="E279" s="16" t="s">
        <v>4053</v>
      </c>
      <c r="F279" s="16" t="s">
        <v>4052</v>
      </c>
      <c r="G279" s="16" t="s">
        <v>4051</v>
      </c>
      <c r="H279" s="16" t="s">
        <v>4050</v>
      </c>
      <c r="I279" s="16" t="s">
        <v>4045</v>
      </c>
      <c r="J279" s="16" t="s">
        <v>4049</v>
      </c>
      <c r="K279" s="16" t="s">
        <v>4048</v>
      </c>
      <c r="L279" s="16" t="s">
        <v>4047</v>
      </c>
      <c r="M279" s="16" t="s">
        <v>4046</v>
      </c>
      <c r="N279" s="16" t="s">
        <v>4045</v>
      </c>
    </row>
    <row r="280" spans="1:14" x14ac:dyDescent="0.25">
      <c r="A280" s="12" t="s">
        <v>4073</v>
      </c>
      <c r="B280" s="16" t="s">
        <v>4075</v>
      </c>
      <c r="C280" s="16" t="s">
        <v>4074</v>
      </c>
      <c r="D280" s="16" t="s">
        <v>4076</v>
      </c>
      <c r="E280" s="16" t="s">
        <v>4077</v>
      </c>
      <c r="F280" s="16" t="s">
        <v>4078</v>
      </c>
      <c r="G280" s="16" t="s">
        <v>4079</v>
      </c>
      <c r="H280" s="16" t="s">
        <v>4080</v>
      </c>
      <c r="I280" s="16" t="s">
        <v>4081</v>
      </c>
      <c r="J280" s="16" t="s">
        <v>4082</v>
      </c>
      <c r="K280" s="16" t="s">
        <v>4083</v>
      </c>
      <c r="L280" s="16" t="s">
        <v>4084</v>
      </c>
      <c r="M280" s="16" t="s">
        <v>4085</v>
      </c>
      <c r="N280" s="16" t="s">
        <v>4086</v>
      </c>
    </row>
    <row r="281" spans="1:14" x14ac:dyDescent="0.25">
      <c r="A281" s="12" t="s">
        <v>4102</v>
      </c>
      <c r="B281" s="16" t="s">
        <v>4205</v>
      </c>
      <c r="C281" s="16" t="s">
        <v>4197</v>
      </c>
      <c r="D281" s="16" t="s">
        <v>4189</v>
      </c>
      <c r="E281" s="16" t="s">
        <v>4181</v>
      </c>
      <c r="F281" s="16" t="s">
        <v>4173</v>
      </c>
      <c r="G281" s="16" t="s">
        <v>4165</v>
      </c>
      <c r="H281" s="16" t="s">
        <v>4157</v>
      </c>
      <c r="I281" s="16" t="s">
        <v>4150</v>
      </c>
      <c r="J281" s="16" t="s">
        <v>4142</v>
      </c>
      <c r="K281" s="16" t="s">
        <v>4134</v>
      </c>
      <c r="L281" s="16" t="s">
        <v>4126</v>
      </c>
      <c r="M281" s="16" t="s">
        <v>4118</v>
      </c>
      <c r="N281" s="16" t="s">
        <v>4110</v>
      </c>
    </row>
    <row r="282" spans="1:14" x14ac:dyDescent="0.25">
      <c r="A282" s="12" t="s">
        <v>4103</v>
      </c>
      <c r="B282" s="16" t="s">
        <v>4206</v>
      </c>
      <c r="C282" s="16" t="s">
        <v>4198</v>
      </c>
      <c r="D282" s="16" t="s">
        <v>4190</v>
      </c>
      <c r="E282" s="16" t="s">
        <v>4182</v>
      </c>
      <c r="F282" s="16" t="s">
        <v>4174</v>
      </c>
      <c r="G282" s="16" t="s">
        <v>4166</v>
      </c>
      <c r="H282" s="16" t="s">
        <v>4158</v>
      </c>
      <c r="I282" s="16" t="s">
        <v>4111</v>
      </c>
      <c r="J282" s="16" t="s">
        <v>4143</v>
      </c>
      <c r="K282" s="16" t="s">
        <v>4135</v>
      </c>
      <c r="L282" s="16" t="s">
        <v>4127</v>
      </c>
      <c r="M282" s="16" t="s">
        <v>4119</v>
      </c>
      <c r="N282" s="16" t="s">
        <v>4111</v>
      </c>
    </row>
    <row r="283" spans="1:14" x14ac:dyDescent="0.25">
      <c r="A283" s="12" t="s">
        <v>4104</v>
      </c>
      <c r="B283" s="16" t="s">
        <v>4207</v>
      </c>
      <c r="C283" s="16" t="s">
        <v>4199</v>
      </c>
      <c r="D283" s="16" t="s">
        <v>4191</v>
      </c>
      <c r="E283" s="16" t="s">
        <v>4183</v>
      </c>
      <c r="F283" s="16" t="s">
        <v>4175</v>
      </c>
      <c r="G283" s="16" t="s">
        <v>4167</v>
      </c>
      <c r="H283" s="16" t="s">
        <v>4159</v>
      </c>
      <c r="I283" s="16" t="s">
        <v>4151</v>
      </c>
      <c r="J283" s="16" t="s">
        <v>4144</v>
      </c>
      <c r="K283" s="16" t="s">
        <v>4136</v>
      </c>
      <c r="L283" s="16" t="s">
        <v>4128</v>
      </c>
      <c r="M283" s="16" t="s">
        <v>4120</v>
      </c>
      <c r="N283" s="16" t="s">
        <v>4112</v>
      </c>
    </row>
    <row r="284" spans="1:14" x14ac:dyDescent="0.25">
      <c r="A284" s="12" t="s">
        <v>4105</v>
      </c>
      <c r="B284" s="16" t="s">
        <v>4208</v>
      </c>
      <c r="C284" s="16" t="s">
        <v>4200</v>
      </c>
      <c r="D284" s="16" t="s">
        <v>4192</v>
      </c>
      <c r="E284" s="16" t="s">
        <v>4184</v>
      </c>
      <c r="F284" s="16" t="s">
        <v>4176</v>
      </c>
      <c r="G284" s="16" t="s">
        <v>4168</v>
      </c>
      <c r="H284" s="16" t="s">
        <v>4160</v>
      </c>
      <c r="I284" s="16" t="s">
        <v>4152</v>
      </c>
      <c r="J284" s="16" t="s">
        <v>4145</v>
      </c>
      <c r="K284" s="16" t="s">
        <v>4137</v>
      </c>
      <c r="L284" s="16" t="s">
        <v>4129</v>
      </c>
      <c r="M284" s="16" t="s">
        <v>4121</v>
      </c>
      <c r="N284" s="16" t="s">
        <v>4113</v>
      </c>
    </row>
    <row r="285" spans="1:14" x14ac:dyDescent="0.25">
      <c r="A285" s="12" t="s">
        <v>4106</v>
      </c>
      <c r="B285" s="16" t="s">
        <v>4209</v>
      </c>
      <c r="C285" s="16" t="s">
        <v>4201</v>
      </c>
      <c r="D285" s="16" t="s">
        <v>4193</v>
      </c>
      <c r="E285" s="16" t="s">
        <v>4185</v>
      </c>
      <c r="F285" s="16" t="s">
        <v>4177</v>
      </c>
      <c r="G285" s="16" t="s">
        <v>4169</v>
      </c>
      <c r="H285" s="16" t="s">
        <v>4161</v>
      </c>
      <c r="I285" s="16" t="s">
        <v>4153</v>
      </c>
      <c r="J285" s="16" t="s">
        <v>4146</v>
      </c>
      <c r="K285" s="16" t="s">
        <v>4138</v>
      </c>
      <c r="L285" s="16" t="s">
        <v>4130</v>
      </c>
      <c r="M285" s="16" t="s">
        <v>4122</v>
      </c>
      <c r="N285" s="16" t="s">
        <v>4114</v>
      </c>
    </row>
    <row r="286" spans="1:14" x14ac:dyDescent="0.25">
      <c r="A286" s="12" t="s">
        <v>4107</v>
      </c>
      <c r="B286" s="16" t="s">
        <v>4210</v>
      </c>
      <c r="C286" s="16" t="s">
        <v>4202</v>
      </c>
      <c r="D286" s="16" t="s">
        <v>4194</v>
      </c>
      <c r="E286" s="16" t="s">
        <v>4186</v>
      </c>
      <c r="F286" s="16" t="s">
        <v>4178</v>
      </c>
      <c r="G286" s="16" t="s">
        <v>4170</v>
      </c>
      <c r="H286" s="16" t="s">
        <v>4162</v>
      </c>
      <c r="I286" s="16" t="s">
        <v>4154</v>
      </c>
      <c r="J286" s="16" t="s">
        <v>4147</v>
      </c>
      <c r="K286" s="16" t="s">
        <v>4139</v>
      </c>
      <c r="L286" s="16" t="s">
        <v>4131</v>
      </c>
      <c r="M286" s="16" t="s">
        <v>4123</v>
      </c>
      <c r="N286" s="16" t="s">
        <v>4115</v>
      </c>
    </row>
    <row r="287" spans="1:14" x14ac:dyDescent="0.25">
      <c r="A287" s="12" t="s">
        <v>4108</v>
      </c>
      <c r="B287" s="16" t="s">
        <v>4211</v>
      </c>
      <c r="C287" s="16" t="s">
        <v>4203</v>
      </c>
      <c r="D287" s="16" t="s">
        <v>4195</v>
      </c>
      <c r="E287" s="16" t="s">
        <v>4187</v>
      </c>
      <c r="F287" s="16" t="s">
        <v>4179</v>
      </c>
      <c r="G287" s="16" t="s">
        <v>4171</v>
      </c>
      <c r="H287" s="16" t="s">
        <v>4163</v>
      </c>
      <c r="I287" s="16" t="s">
        <v>4155</v>
      </c>
      <c r="J287" s="16" t="s">
        <v>4148</v>
      </c>
      <c r="K287" s="16" t="s">
        <v>4140</v>
      </c>
      <c r="L287" s="16" t="s">
        <v>4132</v>
      </c>
      <c r="M287" s="16" t="s">
        <v>4124</v>
      </c>
      <c r="N287" s="16" t="s">
        <v>4116</v>
      </c>
    </row>
    <row r="288" spans="1:14" x14ac:dyDescent="0.25">
      <c r="A288" s="12" t="s">
        <v>4109</v>
      </c>
      <c r="B288" s="16" t="s">
        <v>4212</v>
      </c>
      <c r="C288" s="16" t="s">
        <v>4204</v>
      </c>
      <c r="D288" s="16" t="s">
        <v>4196</v>
      </c>
      <c r="E288" s="16" t="s">
        <v>4188</v>
      </c>
      <c r="F288" s="16" t="s">
        <v>4180</v>
      </c>
      <c r="G288" s="16" t="s">
        <v>4172</v>
      </c>
      <c r="H288" s="16" t="s">
        <v>4164</v>
      </c>
      <c r="I288" s="16" t="s">
        <v>4156</v>
      </c>
      <c r="J288" s="16" t="s">
        <v>4149</v>
      </c>
      <c r="K288" s="16" t="s">
        <v>4141</v>
      </c>
      <c r="L288" s="16" t="s">
        <v>4133</v>
      </c>
      <c r="M288" s="16" t="s">
        <v>4125</v>
      </c>
      <c r="N288" s="16" t="s">
        <v>4117</v>
      </c>
    </row>
    <row r="289" spans="1:14" x14ac:dyDescent="0.25">
      <c r="A289" s="12" t="s">
        <v>4213</v>
      </c>
      <c r="B289" s="16" t="s">
        <v>4219</v>
      </c>
      <c r="C289" s="16" t="s">
        <v>4221</v>
      </c>
      <c r="D289" s="16" t="s">
        <v>4225</v>
      </c>
      <c r="E289" s="16" t="s">
        <v>4229</v>
      </c>
      <c r="F289" s="16" t="s">
        <v>4233</v>
      </c>
      <c r="G289" s="16" t="s">
        <v>4236</v>
      </c>
      <c r="H289" s="16" t="s">
        <v>4240</v>
      </c>
      <c r="I289" s="16" t="s">
        <v>4244</v>
      </c>
      <c r="J289" s="16" t="s">
        <v>4248</v>
      </c>
      <c r="K289" s="16" t="s">
        <v>4252</v>
      </c>
      <c r="L289" s="16" t="s">
        <v>4256</v>
      </c>
      <c r="M289" s="16" t="s">
        <v>4260</v>
      </c>
      <c r="N289" s="16" t="s">
        <v>4264</v>
      </c>
    </row>
    <row r="290" spans="1:14" x14ac:dyDescent="0.25">
      <c r="A290" s="12" t="s">
        <v>4214</v>
      </c>
      <c r="B290" s="16" t="s">
        <v>4220</v>
      </c>
      <c r="C290" s="16" t="s">
        <v>4222</v>
      </c>
      <c r="D290" s="16" t="s">
        <v>4226</v>
      </c>
      <c r="E290" s="16" t="s">
        <v>4230</v>
      </c>
      <c r="F290" s="16" t="s">
        <v>4230</v>
      </c>
      <c r="G290" s="16" t="s">
        <v>4237</v>
      </c>
      <c r="H290" s="16" t="s">
        <v>4241</v>
      </c>
      <c r="I290" s="16" t="s">
        <v>4245</v>
      </c>
      <c r="J290" s="16" t="s">
        <v>4249</v>
      </c>
      <c r="K290" s="16" t="s">
        <v>4253</v>
      </c>
      <c r="L290" s="16" t="s">
        <v>4257</v>
      </c>
      <c r="M290" s="16" t="s">
        <v>4261</v>
      </c>
      <c r="N290" s="16" t="s">
        <v>4257</v>
      </c>
    </row>
    <row r="291" spans="1:14" x14ac:dyDescent="0.25">
      <c r="A291" s="12" t="s">
        <v>4215</v>
      </c>
      <c r="B291" s="16" t="s">
        <v>4217</v>
      </c>
      <c r="C291" s="16" t="s">
        <v>4223</v>
      </c>
      <c r="D291" s="16" t="s">
        <v>4227</v>
      </c>
      <c r="E291" s="16" t="s">
        <v>4231</v>
      </c>
      <c r="F291" s="16" t="s">
        <v>4234</v>
      </c>
      <c r="G291" s="16" t="s">
        <v>4238</v>
      </c>
      <c r="H291" s="16" t="s">
        <v>4242</v>
      </c>
      <c r="I291" s="16" t="s">
        <v>4246</v>
      </c>
      <c r="J291" s="16" t="s">
        <v>4250</v>
      </c>
      <c r="K291" s="16" t="s">
        <v>4254</v>
      </c>
      <c r="L291" s="16" t="s">
        <v>4258</v>
      </c>
      <c r="M291" s="16" t="s">
        <v>4262</v>
      </c>
      <c r="N291" s="16" t="s">
        <v>4265</v>
      </c>
    </row>
    <row r="292" spans="1:14" x14ac:dyDescent="0.25">
      <c r="A292" s="12" t="s">
        <v>4216</v>
      </c>
      <c r="B292" s="16" t="s">
        <v>4218</v>
      </c>
      <c r="C292" s="16" t="s">
        <v>4224</v>
      </c>
      <c r="D292" s="16" t="s">
        <v>4228</v>
      </c>
      <c r="E292" s="16" t="s">
        <v>4232</v>
      </c>
      <c r="F292" s="16" t="s">
        <v>4235</v>
      </c>
      <c r="G292" s="16" t="s">
        <v>4239</v>
      </c>
      <c r="H292" s="16" t="s">
        <v>4243</v>
      </c>
      <c r="I292" s="16" t="s">
        <v>4247</v>
      </c>
      <c r="J292" s="16" t="s">
        <v>4251</v>
      </c>
      <c r="K292" s="16" t="s">
        <v>4255</v>
      </c>
      <c r="L292" s="16" t="s">
        <v>4259</v>
      </c>
      <c r="M292" s="16" t="s">
        <v>4263</v>
      </c>
      <c r="N292" s="16" t="s">
        <v>4266</v>
      </c>
    </row>
  </sheetData>
  <sortState xmlns:xlrd2="http://schemas.microsoft.com/office/spreadsheetml/2017/richdata2" ref="A2:H274">
    <sortCondition ref="A2:A274"/>
  </sortState>
  <hyperlinks>
    <hyperlink ref="B272" r:id="rId1" xr:uid="{00000000-0004-0000-0300-000000000000}"/>
  </hyperlinks>
  <pageMargins left="0.7" right="0.7" top="0.75" bottom="0.75" header="0.3" footer="0.3"/>
  <pageSetup paperSize="9" orientation="portrait"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252F-91BF-493F-88CF-A85916219EB3}">
  <dimension ref="A1:L55"/>
  <sheetViews>
    <sheetView workbookViewId="0">
      <selection activeCell="D2" sqref="D2:E4"/>
    </sheetView>
  </sheetViews>
  <sheetFormatPr defaultRowHeight="15" x14ac:dyDescent="0.25"/>
  <cols>
    <col min="1" max="1" width="15.7109375" bestFit="1" customWidth="1"/>
    <col min="2" max="2" width="10.5703125" bestFit="1" customWidth="1"/>
    <col min="3" max="3" width="9.28515625" bestFit="1" customWidth="1"/>
    <col min="4" max="5" width="19.570312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19" t="s">
        <v>1141</v>
      </c>
      <c r="B1" s="28" t="s">
        <v>195</v>
      </c>
      <c r="C1" s="28" t="s">
        <v>1096</v>
      </c>
      <c r="D1" s="28" t="s">
        <v>549</v>
      </c>
      <c r="E1" s="28" t="s">
        <v>556</v>
      </c>
      <c r="F1" s="28" t="s">
        <v>1639</v>
      </c>
      <c r="G1" s="28" t="s">
        <v>1638</v>
      </c>
      <c r="H1" s="28" t="s">
        <v>1150</v>
      </c>
      <c r="I1" s="28" t="s">
        <v>1620</v>
      </c>
      <c r="J1" s="28" t="s">
        <v>1606</v>
      </c>
      <c r="K1" s="28" t="s">
        <v>1114</v>
      </c>
      <c r="L1" s="28" t="s">
        <v>200</v>
      </c>
    </row>
    <row r="2" spans="1:12" x14ac:dyDescent="0.25">
      <c r="A2" s="20">
        <v>0</v>
      </c>
      <c r="B2" s="29" t="s">
        <v>4268</v>
      </c>
      <c r="C2" s="29"/>
      <c r="D2" s="33">
        <v>-23.251784180000001</v>
      </c>
      <c r="E2" s="33">
        <v>-47.343907899999998</v>
      </c>
      <c r="F2" s="37">
        <v>0</v>
      </c>
      <c r="G2" s="37">
        <v>0.99930555555555556</v>
      </c>
      <c r="H2" s="44" t="s">
        <v>1625</v>
      </c>
      <c r="I2" s="45">
        <v>0</v>
      </c>
      <c r="J2" s="44">
        <v>0</v>
      </c>
      <c r="K2" s="44">
        <v>0</v>
      </c>
      <c r="L2" s="44">
        <v>0</v>
      </c>
    </row>
    <row r="3" spans="1:12" x14ac:dyDescent="0.25">
      <c r="A3" s="24">
        <v>1</v>
      </c>
      <c r="B3" s="30" t="s">
        <v>4269</v>
      </c>
      <c r="C3" s="30"/>
      <c r="D3" s="34">
        <v>-21.820935389999999</v>
      </c>
      <c r="E3" s="34">
        <v>-48.17232722</v>
      </c>
      <c r="F3" s="38">
        <v>0</v>
      </c>
      <c r="G3" s="38">
        <v>0.99930555555555556</v>
      </c>
      <c r="H3" s="46" t="s">
        <v>1625</v>
      </c>
      <c r="I3" s="47">
        <v>0</v>
      </c>
      <c r="J3" s="46">
        <v>0</v>
      </c>
      <c r="K3" s="46">
        <v>0</v>
      </c>
      <c r="L3" s="46">
        <v>0</v>
      </c>
    </row>
    <row r="4" spans="1:12" ht="15.75" thickBot="1" x14ac:dyDescent="0.3">
      <c r="A4" s="24">
        <v>2</v>
      </c>
      <c r="B4" s="31" t="s">
        <v>4270</v>
      </c>
      <c r="C4" s="31"/>
      <c r="D4" s="35">
        <v>-23.287135880000001</v>
      </c>
      <c r="E4" s="35">
        <v>-45.9849763</v>
      </c>
      <c r="F4" s="39">
        <v>0</v>
      </c>
      <c r="G4" s="39">
        <v>0.99930555555555556</v>
      </c>
      <c r="H4" s="46" t="s">
        <v>1625</v>
      </c>
      <c r="I4" s="47">
        <v>0</v>
      </c>
      <c r="J4" s="46">
        <v>0</v>
      </c>
      <c r="K4" s="46">
        <v>0</v>
      </c>
      <c r="L4" s="46">
        <v>0</v>
      </c>
    </row>
    <row r="5" spans="1:12" ht="15.75" thickTop="1" x14ac:dyDescent="0.25">
      <c r="A5" s="27">
        <v>3</v>
      </c>
      <c r="B5" s="32" t="s">
        <v>4271</v>
      </c>
      <c r="C5" s="32"/>
      <c r="D5" s="36">
        <v>-22.951879999999999</v>
      </c>
      <c r="E5" s="36">
        <v>-47.027790000000003</v>
      </c>
      <c r="F5" s="40">
        <v>0</v>
      </c>
      <c r="G5" s="40">
        <v>0.99930555555555556</v>
      </c>
      <c r="H5" s="32" t="s">
        <v>1149</v>
      </c>
      <c r="I5" s="43">
        <v>0</v>
      </c>
      <c r="J5" s="32">
        <v>0</v>
      </c>
      <c r="K5" s="32">
        <v>0</v>
      </c>
      <c r="L5" s="32">
        <v>0</v>
      </c>
    </row>
    <row r="6" spans="1:12" x14ac:dyDescent="0.25">
      <c r="A6" s="24">
        <v>4</v>
      </c>
      <c r="B6" s="31" t="s">
        <v>4272</v>
      </c>
      <c r="C6" s="31"/>
      <c r="D6" s="35">
        <v>-22.894290000000002</v>
      </c>
      <c r="E6" s="35">
        <v>-47.058219999999999</v>
      </c>
      <c r="F6" s="39">
        <v>0</v>
      </c>
      <c r="G6" s="39">
        <v>0.99930555555555556</v>
      </c>
      <c r="H6" s="31" t="s">
        <v>1149</v>
      </c>
      <c r="I6" s="42">
        <v>0</v>
      </c>
      <c r="J6" s="31">
        <v>0</v>
      </c>
      <c r="K6" s="31">
        <v>0</v>
      </c>
      <c r="L6" s="31">
        <v>0</v>
      </c>
    </row>
    <row r="7" spans="1:12" x14ac:dyDescent="0.25">
      <c r="A7" s="24">
        <v>5</v>
      </c>
      <c r="B7" s="30" t="s">
        <v>4273</v>
      </c>
      <c r="C7" s="30"/>
      <c r="D7" s="34">
        <v>-22.92634</v>
      </c>
      <c r="E7" s="34">
        <v>-47.039740000000002</v>
      </c>
      <c r="F7" s="38">
        <v>0</v>
      </c>
      <c r="G7" s="38">
        <v>0.99930555555555556</v>
      </c>
      <c r="H7" s="30" t="s">
        <v>1149</v>
      </c>
      <c r="I7" s="41">
        <v>0</v>
      </c>
      <c r="J7" s="30">
        <v>0</v>
      </c>
      <c r="K7" s="30">
        <v>0</v>
      </c>
      <c r="L7" s="30">
        <v>0</v>
      </c>
    </row>
    <row r="8" spans="1:12" x14ac:dyDescent="0.25">
      <c r="A8" s="24">
        <v>6</v>
      </c>
      <c r="B8" s="31" t="s">
        <v>4274</v>
      </c>
      <c r="C8" s="31"/>
      <c r="D8" s="35">
        <v>-22.833089999999999</v>
      </c>
      <c r="E8" s="35">
        <v>-47.079430000000002</v>
      </c>
      <c r="F8" s="39">
        <v>0</v>
      </c>
      <c r="G8" s="39">
        <v>0.99930555555555556</v>
      </c>
      <c r="H8" s="31" t="s">
        <v>1149</v>
      </c>
      <c r="I8" s="42">
        <v>0</v>
      </c>
      <c r="J8" s="31">
        <v>0</v>
      </c>
      <c r="K8" s="31">
        <v>0</v>
      </c>
      <c r="L8" s="31">
        <v>0</v>
      </c>
    </row>
    <row r="9" spans="1:12" x14ac:dyDescent="0.25">
      <c r="A9" s="24">
        <v>7</v>
      </c>
      <c r="B9" s="30" t="s">
        <v>4275</v>
      </c>
      <c r="C9" s="30"/>
      <c r="D9" s="34">
        <v>-22.823070000000001</v>
      </c>
      <c r="E9" s="34">
        <v>-47.078180000000003</v>
      </c>
      <c r="F9" s="38">
        <v>0</v>
      </c>
      <c r="G9" s="38">
        <v>0.99930555555555556</v>
      </c>
      <c r="H9" s="30" t="s">
        <v>1149</v>
      </c>
      <c r="I9" s="41">
        <v>0</v>
      </c>
      <c r="J9" s="30">
        <v>0</v>
      </c>
      <c r="K9" s="30">
        <v>0</v>
      </c>
      <c r="L9" s="30">
        <v>0</v>
      </c>
    </row>
    <row r="10" spans="1:12" x14ac:dyDescent="0.25">
      <c r="A10" s="24">
        <v>8</v>
      </c>
      <c r="B10" s="31" t="s">
        <v>4276</v>
      </c>
      <c r="C10" s="31"/>
      <c r="D10" s="35">
        <v>-22.975090000000002</v>
      </c>
      <c r="E10" s="35">
        <v>-47.014780000000002</v>
      </c>
      <c r="F10" s="39">
        <v>0</v>
      </c>
      <c r="G10" s="39">
        <v>0.99930555555555556</v>
      </c>
      <c r="H10" s="31" t="s">
        <v>1149</v>
      </c>
      <c r="I10" s="42">
        <v>0</v>
      </c>
      <c r="J10" s="31">
        <v>0</v>
      </c>
      <c r="K10" s="31">
        <v>0</v>
      </c>
      <c r="L10" s="31">
        <v>0</v>
      </c>
    </row>
    <row r="11" spans="1:12" x14ac:dyDescent="0.25">
      <c r="A11" s="24">
        <v>9</v>
      </c>
      <c r="B11" s="30" t="s">
        <v>4277</v>
      </c>
      <c r="C11" s="30"/>
      <c r="D11" s="34">
        <v>-22.949560000000002</v>
      </c>
      <c r="E11" s="34">
        <v>-47.092680000000001</v>
      </c>
      <c r="F11" s="38">
        <v>0</v>
      </c>
      <c r="G11" s="38">
        <v>0.99930555555555556</v>
      </c>
      <c r="H11" s="30" t="s">
        <v>1149</v>
      </c>
      <c r="I11" s="41">
        <v>0</v>
      </c>
      <c r="J11" s="30">
        <v>0</v>
      </c>
      <c r="K11" s="30">
        <v>0</v>
      </c>
      <c r="L11" s="30">
        <v>0</v>
      </c>
    </row>
    <row r="12" spans="1:12" x14ac:dyDescent="0.25">
      <c r="A12" s="24">
        <v>10</v>
      </c>
      <c r="B12" s="31" t="s">
        <v>4278</v>
      </c>
      <c r="C12" s="31"/>
      <c r="D12" s="35">
        <v>-22.88062</v>
      </c>
      <c r="E12" s="35">
        <v>-46.969439999999999</v>
      </c>
      <c r="F12" s="39">
        <v>0</v>
      </c>
      <c r="G12" s="39">
        <v>0.99930555555555556</v>
      </c>
      <c r="H12" s="31" t="s">
        <v>1149</v>
      </c>
      <c r="I12" s="42">
        <v>0</v>
      </c>
      <c r="J12" s="31">
        <v>0</v>
      </c>
      <c r="K12" s="31">
        <v>0</v>
      </c>
      <c r="L12" s="31">
        <v>0</v>
      </c>
    </row>
    <row r="13" spans="1:12" x14ac:dyDescent="0.25">
      <c r="A13" s="24">
        <v>11</v>
      </c>
      <c r="B13" s="30" t="s">
        <v>4279</v>
      </c>
      <c r="C13" s="30"/>
      <c r="D13" s="34">
        <v>-22.722370000000002</v>
      </c>
      <c r="E13" s="34">
        <v>-47.307400000000001</v>
      </c>
      <c r="F13" s="38">
        <v>0</v>
      </c>
      <c r="G13" s="38">
        <v>0.99930555555555556</v>
      </c>
      <c r="H13" s="30" t="s">
        <v>1149</v>
      </c>
      <c r="I13" s="41">
        <v>0</v>
      </c>
      <c r="J13" s="30">
        <v>0</v>
      </c>
      <c r="K13" s="30">
        <v>0</v>
      </c>
      <c r="L13" s="30">
        <v>0</v>
      </c>
    </row>
    <row r="14" spans="1:12" x14ac:dyDescent="0.25">
      <c r="A14" s="24">
        <v>12</v>
      </c>
      <c r="B14" s="31" t="s">
        <v>4280</v>
      </c>
      <c r="C14" s="31"/>
      <c r="D14" s="35">
        <v>-23.470839999999999</v>
      </c>
      <c r="E14" s="35">
        <v>-46.649650000000001</v>
      </c>
      <c r="F14" s="39">
        <v>0</v>
      </c>
      <c r="G14" s="39">
        <v>0.99930555555555556</v>
      </c>
      <c r="H14" s="31" t="s">
        <v>1149</v>
      </c>
      <c r="I14" s="42">
        <v>0</v>
      </c>
      <c r="J14" s="31">
        <v>0</v>
      </c>
      <c r="K14" s="31">
        <v>0</v>
      </c>
      <c r="L14" s="31">
        <v>0</v>
      </c>
    </row>
    <row r="15" spans="1:12" x14ac:dyDescent="0.25">
      <c r="A15" s="24">
        <v>13</v>
      </c>
      <c r="B15" s="30" t="s">
        <v>4281</v>
      </c>
      <c r="C15" s="30"/>
      <c r="D15" s="34">
        <v>-22.74145</v>
      </c>
      <c r="E15" s="34">
        <v>-47.60181</v>
      </c>
      <c r="F15" s="38">
        <v>0</v>
      </c>
      <c r="G15" s="38">
        <v>0.99930555555555556</v>
      </c>
      <c r="H15" s="30" t="s">
        <v>1149</v>
      </c>
      <c r="I15" s="41">
        <v>0</v>
      </c>
      <c r="J15" s="30">
        <v>0</v>
      </c>
      <c r="K15" s="30">
        <v>0</v>
      </c>
      <c r="L15" s="30">
        <v>0</v>
      </c>
    </row>
    <row r="16" spans="1:12" x14ac:dyDescent="0.25">
      <c r="A16" s="24">
        <v>14</v>
      </c>
      <c r="B16" s="31" t="s">
        <v>4282</v>
      </c>
      <c r="C16" s="31"/>
      <c r="D16" s="35">
        <v>-23.311050000000002</v>
      </c>
      <c r="E16" s="35">
        <v>-45.981070000000003</v>
      </c>
      <c r="F16" s="39">
        <v>0</v>
      </c>
      <c r="G16" s="39">
        <v>0.99930555555555556</v>
      </c>
      <c r="H16" s="31" t="s">
        <v>1149</v>
      </c>
      <c r="I16" s="42">
        <v>0</v>
      </c>
      <c r="J16" s="31">
        <v>0</v>
      </c>
      <c r="K16" s="31">
        <v>0</v>
      </c>
      <c r="L16" s="31">
        <v>0</v>
      </c>
    </row>
    <row r="17" spans="1:12" x14ac:dyDescent="0.25">
      <c r="A17" s="24">
        <v>15</v>
      </c>
      <c r="B17" s="30" t="s">
        <v>4283</v>
      </c>
      <c r="C17" s="30"/>
      <c r="D17" s="34">
        <v>-23.222989999999999</v>
      </c>
      <c r="E17" s="34">
        <v>-45.905949999999997</v>
      </c>
      <c r="F17" s="38">
        <v>0</v>
      </c>
      <c r="G17" s="38">
        <v>0.99930555555555556</v>
      </c>
      <c r="H17" s="30" t="s">
        <v>1149</v>
      </c>
      <c r="I17" s="41">
        <v>0</v>
      </c>
      <c r="J17" s="30">
        <v>0</v>
      </c>
      <c r="K17" s="30">
        <v>0</v>
      </c>
      <c r="L17" s="30">
        <v>0</v>
      </c>
    </row>
    <row r="18" spans="1:12" x14ac:dyDescent="0.25">
      <c r="A18" s="24">
        <v>16</v>
      </c>
      <c r="B18" s="31" t="s">
        <v>4284</v>
      </c>
      <c r="C18" s="31"/>
      <c r="D18" s="35">
        <v>-23.228284630000001</v>
      </c>
      <c r="E18" s="35">
        <v>-45.908522089999998</v>
      </c>
      <c r="F18" s="39">
        <v>0</v>
      </c>
      <c r="G18" s="39">
        <v>0.99930555555555556</v>
      </c>
      <c r="H18" s="31" t="s">
        <v>1149</v>
      </c>
      <c r="I18" s="42">
        <v>0</v>
      </c>
      <c r="J18" s="31">
        <v>0</v>
      </c>
      <c r="K18" s="31">
        <v>0</v>
      </c>
      <c r="L18" s="31">
        <v>0</v>
      </c>
    </row>
    <row r="19" spans="1:12" x14ac:dyDescent="0.25">
      <c r="A19" s="24">
        <v>17</v>
      </c>
      <c r="B19" s="30" t="s">
        <v>4285</v>
      </c>
      <c r="C19" s="30"/>
      <c r="D19" s="34">
        <v>-23.237400000000001</v>
      </c>
      <c r="E19" s="34">
        <v>-45.896599999999999</v>
      </c>
      <c r="F19" s="38">
        <v>0</v>
      </c>
      <c r="G19" s="38">
        <v>0.99930555555555556</v>
      </c>
      <c r="H19" s="30" t="s">
        <v>1149</v>
      </c>
      <c r="I19" s="41">
        <v>0</v>
      </c>
      <c r="J19" s="30">
        <v>0</v>
      </c>
      <c r="K19" s="30">
        <v>0</v>
      </c>
      <c r="L19" s="30">
        <v>0</v>
      </c>
    </row>
    <row r="20" spans="1:12" x14ac:dyDescent="0.25">
      <c r="A20" s="24">
        <v>18</v>
      </c>
      <c r="B20" s="31" t="s">
        <v>4286</v>
      </c>
      <c r="C20" s="31"/>
      <c r="D20" s="35">
        <v>-23.241869999999999</v>
      </c>
      <c r="E20" s="35">
        <v>-45.905000000000001</v>
      </c>
      <c r="F20" s="39">
        <v>0</v>
      </c>
      <c r="G20" s="39">
        <v>0.99930555555555556</v>
      </c>
      <c r="H20" s="31" t="s">
        <v>1149</v>
      </c>
      <c r="I20" s="42">
        <v>0</v>
      </c>
      <c r="J20" s="31">
        <v>0</v>
      </c>
      <c r="K20" s="31">
        <v>0</v>
      </c>
      <c r="L20" s="31">
        <v>0</v>
      </c>
    </row>
    <row r="21" spans="1:12" x14ac:dyDescent="0.25">
      <c r="A21" s="24">
        <v>19</v>
      </c>
      <c r="B21" s="30" t="s">
        <v>4287</v>
      </c>
      <c r="C21" s="30"/>
      <c r="D21" s="34">
        <v>-23.228359999999999</v>
      </c>
      <c r="E21" s="34">
        <v>-45.911239999999999</v>
      </c>
      <c r="F21" s="38">
        <v>0</v>
      </c>
      <c r="G21" s="38">
        <v>0.99930555555555556</v>
      </c>
      <c r="H21" s="30" t="s">
        <v>1149</v>
      </c>
      <c r="I21" s="41">
        <v>0</v>
      </c>
      <c r="J21" s="30">
        <v>0</v>
      </c>
      <c r="K21" s="30">
        <v>0</v>
      </c>
      <c r="L21" s="30">
        <v>0</v>
      </c>
    </row>
    <row r="22" spans="1:12" x14ac:dyDescent="0.25">
      <c r="A22" s="24">
        <v>20</v>
      </c>
      <c r="B22" s="31" t="s">
        <v>4288</v>
      </c>
      <c r="C22" s="31"/>
      <c r="D22" s="35">
        <v>-23.174219999999998</v>
      </c>
      <c r="E22" s="35">
        <v>-45.816290000000002</v>
      </c>
      <c r="F22" s="39">
        <v>0</v>
      </c>
      <c r="G22" s="39">
        <v>0.99930555555555556</v>
      </c>
      <c r="H22" s="31" t="s">
        <v>1149</v>
      </c>
      <c r="I22" s="42">
        <v>0</v>
      </c>
      <c r="J22" s="31">
        <v>0</v>
      </c>
      <c r="K22" s="31">
        <v>0</v>
      </c>
      <c r="L22" s="31">
        <v>0</v>
      </c>
    </row>
    <row r="23" spans="1:12" x14ac:dyDescent="0.25">
      <c r="A23" s="24">
        <v>21</v>
      </c>
      <c r="B23" s="30" t="s">
        <v>4289</v>
      </c>
      <c r="C23" s="30"/>
      <c r="D23" s="34">
        <v>-23.516719999999999</v>
      </c>
      <c r="E23" s="34">
        <v>-46.670400000000001</v>
      </c>
      <c r="F23" s="38">
        <v>0</v>
      </c>
      <c r="G23" s="38">
        <v>0.99930555555555556</v>
      </c>
      <c r="H23" s="30" t="s">
        <v>1149</v>
      </c>
      <c r="I23" s="41">
        <v>0</v>
      </c>
      <c r="J23" s="30">
        <v>0</v>
      </c>
      <c r="K23" s="30">
        <v>0</v>
      </c>
      <c r="L23" s="30">
        <v>0</v>
      </c>
    </row>
    <row r="24" spans="1:12" x14ac:dyDescent="0.25">
      <c r="A24" s="24">
        <v>22</v>
      </c>
      <c r="B24" s="31" t="s">
        <v>4290</v>
      </c>
      <c r="C24" s="31"/>
      <c r="D24" s="35">
        <v>-23.552240000000001</v>
      </c>
      <c r="E24" s="35">
        <v>-46.742319999999999</v>
      </c>
      <c r="F24" s="39">
        <v>0</v>
      </c>
      <c r="G24" s="39">
        <v>0.99930555555555556</v>
      </c>
      <c r="H24" s="31" t="s">
        <v>1149</v>
      </c>
      <c r="I24" s="42">
        <v>0</v>
      </c>
      <c r="J24" s="31">
        <v>0</v>
      </c>
      <c r="K24" s="31">
        <v>0</v>
      </c>
      <c r="L24" s="31">
        <v>0</v>
      </c>
    </row>
    <row r="25" spans="1:12" x14ac:dyDescent="0.25">
      <c r="A25" s="24">
        <v>23</v>
      </c>
      <c r="B25" s="30" t="s">
        <v>4291</v>
      </c>
      <c r="C25" s="30"/>
      <c r="D25" s="34">
        <v>-23.54149</v>
      </c>
      <c r="E25" s="34">
        <v>-46.730600000000003</v>
      </c>
      <c r="F25" s="38">
        <v>0</v>
      </c>
      <c r="G25" s="38">
        <v>0.99930555555555556</v>
      </c>
      <c r="H25" s="30" t="s">
        <v>1149</v>
      </c>
      <c r="I25" s="41">
        <v>0</v>
      </c>
      <c r="J25" s="30">
        <v>0</v>
      </c>
      <c r="K25" s="30">
        <v>0</v>
      </c>
      <c r="L25" s="30">
        <v>0</v>
      </c>
    </row>
    <row r="26" spans="1:12" x14ac:dyDescent="0.25">
      <c r="A26" s="24">
        <v>24</v>
      </c>
      <c r="B26" s="31" t="s">
        <v>4292</v>
      </c>
      <c r="C26" s="31"/>
      <c r="D26" s="35">
        <v>-23.534659999999999</v>
      </c>
      <c r="E26" s="35">
        <v>-46.712949999999999</v>
      </c>
      <c r="F26" s="39">
        <v>0</v>
      </c>
      <c r="G26" s="39">
        <v>0.99930555555555556</v>
      </c>
      <c r="H26" s="31" t="s">
        <v>1149</v>
      </c>
      <c r="I26" s="42">
        <v>0</v>
      </c>
      <c r="J26" s="31">
        <v>0</v>
      </c>
      <c r="K26" s="31">
        <v>0</v>
      </c>
      <c r="L26" s="31">
        <v>0</v>
      </c>
    </row>
    <row r="27" spans="1:12" x14ac:dyDescent="0.25">
      <c r="A27" s="24">
        <v>25</v>
      </c>
      <c r="B27" s="30" t="s">
        <v>4293</v>
      </c>
      <c r="C27" s="30"/>
      <c r="D27" s="34">
        <v>-23.590319999999998</v>
      </c>
      <c r="E27" s="34">
        <v>-46.739510000000003</v>
      </c>
      <c r="F27" s="38">
        <v>0</v>
      </c>
      <c r="G27" s="38">
        <v>0.99930555555555556</v>
      </c>
      <c r="H27" s="30" t="s">
        <v>1149</v>
      </c>
      <c r="I27" s="41">
        <v>0</v>
      </c>
      <c r="J27" s="30">
        <v>0</v>
      </c>
      <c r="K27" s="30">
        <v>0</v>
      </c>
      <c r="L27" s="30">
        <v>0</v>
      </c>
    </row>
    <row r="28" spans="1:12" x14ac:dyDescent="0.25">
      <c r="A28" s="24">
        <v>26</v>
      </c>
      <c r="B28" s="31" t="s">
        <v>4294</v>
      </c>
      <c r="C28" s="31"/>
      <c r="D28" s="35">
        <v>-23.595510000000001</v>
      </c>
      <c r="E28" s="35">
        <v>-46.737650000000002</v>
      </c>
      <c r="F28" s="39">
        <v>0</v>
      </c>
      <c r="G28" s="39">
        <v>0.99930555555555556</v>
      </c>
      <c r="H28" s="31" t="s">
        <v>1149</v>
      </c>
      <c r="I28" s="42">
        <v>0</v>
      </c>
      <c r="J28" s="31">
        <v>0</v>
      </c>
      <c r="K28" s="31">
        <v>0</v>
      </c>
      <c r="L28" s="31">
        <v>0</v>
      </c>
    </row>
    <row r="29" spans="1:12" x14ac:dyDescent="0.25">
      <c r="A29" s="24">
        <v>27</v>
      </c>
      <c r="B29" s="30" t="s">
        <v>4295</v>
      </c>
      <c r="C29" s="30"/>
      <c r="D29" s="34">
        <v>-23.60962</v>
      </c>
      <c r="E29" s="34">
        <v>-46.752960000000002</v>
      </c>
      <c r="F29" s="38">
        <v>0</v>
      </c>
      <c r="G29" s="38">
        <v>0.99930555555555556</v>
      </c>
      <c r="H29" s="30" t="s">
        <v>1149</v>
      </c>
      <c r="I29" s="41">
        <v>0</v>
      </c>
      <c r="J29" s="30">
        <v>0</v>
      </c>
      <c r="K29" s="30">
        <v>0</v>
      </c>
      <c r="L29" s="30">
        <v>0</v>
      </c>
    </row>
    <row r="30" spans="1:12" x14ac:dyDescent="0.25">
      <c r="A30" s="24">
        <v>28</v>
      </c>
      <c r="B30" s="31" t="s">
        <v>4296</v>
      </c>
      <c r="C30" s="31"/>
      <c r="D30" s="35">
        <v>-23.58915</v>
      </c>
      <c r="E30" s="35">
        <v>-46.816899999999997</v>
      </c>
      <c r="F30" s="39">
        <v>0</v>
      </c>
      <c r="G30" s="39">
        <v>0.99930555555555556</v>
      </c>
      <c r="H30" s="31" t="s">
        <v>1149</v>
      </c>
      <c r="I30" s="42">
        <v>0</v>
      </c>
      <c r="J30" s="31">
        <v>0</v>
      </c>
      <c r="K30" s="31">
        <v>0</v>
      </c>
      <c r="L30" s="31">
        <v>0</v>
      </c>
    </row>
    <row r="31" spans="1:12" x14ac:dyDescent="0.25">
      <c r="A31" s="24">
        <v>29</v>
      </c>
      <c r="B31" s="30" t="s">
        <v>4297</v>
      </c>
      <c r="C31" s="30"/>
      <c r="D31" s="34">
        <v>-23.611840000000001</v>
      </c>
      <c r="E31" s="34">
        <v>-46.740810000000003</v>
      </c>
      <c r="F31" s="38">
        <v>0</v>
      </c>
      <c r="G31" s="38">
        <v>0.99930555555555556</v>
      </c>
      <c r="H31" s="30" t="s">
        <v>1149</v>
      </c>
      <c r="I31" s="41">
        <v>0</v>
      </c>
      <c r="J31" s="30">
        <v>0</v>
      </c>
      <c r="K31" s="30">
        <v>0</v>
      </c>
      <c r="L31" s="30">
        <v>0</v>
      </c>
    </row>
    <row r="32" spans="1:12" x14ac:dyDescent="0.25">
      <c r="A32" s="24">
        <v>30</v>
      </c>
      <c r="B32" s="31" t="s">
        <v>4298</v>
      </c>
      <c r="C32" s="31"/>
      <c r="D32" s="35">
        <v>-23.670500000000001</v>
      </c>
      <c r="E32" s="35">
        <v>-46.647849999999998</v>
      </c>
      <c r="F32" s="39">
        <v>0</v>
      </c>
      <c r="G32" s="39">
        <v>0.99930555555555556</v>
      </c>
      <c r="H32" s="31" t="s">
        <v>1149</v>
      </c>
      <c r="I32" s="42">
        <v>0</v>
      </c>
      <c r="J32" s="31">
        <v>0</v>
      </c>
      <c r="K32" s="31">
        <v>0</v>
      </c>
      <c r="L32" s="31">
        <v>0</v>
      </c>
    </row>
    <row r="33" spans="1:12" x14ac:dyDescent="0.25">
      <c r="A33" s="24">
        <v>31</v>
      </c>
      <c r="B33" s="30" t="s">
        <v>4299</v>
      </c>
      <c r="C33" s="30"/>
      <c r="D33" s="34">
        <v>-23.67408</v>
      </c>
      <c r="E33" s="34">
        <v>-46.57141</v>
      </c>
      <c r="F33" s="38">
        <v>0</v>
      </c>
      <c r="G33" s="38">
        <v>0.99930555555555556</v>
      </c>
      <c r="H33" s="30" t="s">
        <v>1149</v>
      </c>
      <c r="I33" s="41">
        <v>0</v>
      </c>
      <c r="J33" s="30">
        <v>0</v>
      </c>
      <c r="K33" s="30">
        <v>0</v>
      </c>
      <c r="L33" s="30">
        <v>0</v>
      </c>
    </row>
    <row r="34" spans="1:12" x14ac:dyDescent="0.25">
      <c r="A34" s="24">
        <v>32</v>
      </c>
      <c r="B34" s="31" t="s">
        <v>4300</v>
      </c>
      <c r="C34" s="31"/>
      <c r="D34" s="35">
        <v>-23.662890000000001</v>
      </c>
      <c r="E34" s="35">
        <v>-46.482230000000001</v>
      </c>
      <c r="F34" s="39">
        <v>0</v>
      </c>
      <c r="G34" s="39">
        <v>0.99930555555555556</v>
      </c>
      <c r="H34" s="31" t="s">
        <v>1149</v>
      </c>
      <c r="I34" s="42">
        <v>0</v>
      </c>
      <c r="J34" s="31">
        <v>0</v>
      </c>
      <c r="K34" s="31">
        <v>0</v>
      </c>
      <c r="L34" s="31">
        <v>0</v>
      </c>
    </row>
    <row r="35" spans="1:12" x14ac:dyDescent="0.25">
      <c r="A35" s="24">
        <v>33</v>
      </c>
      <c r="B35" s="30" t="s">
        <v>4301</v>
      </c>
      <c r="C35" s="30"/>
      <c r="D35" s="34">
        <v>-23.551639999999999</v>
      </c>
      <c r="E35" s="34">
        <v>-46.79466</v>
      </c>
      <c r="F35" s="38">
        <v>0</v>
      </c>
      <c r="G35" s="38">
        <v>0.99930555555555556</v>
      </c>
      <c r="H35" s="30" t="s">
        <v>1149</v>
      </c>
      <c r="I35" s="41">
        <v>0</v>
      </c>
      <c r="J35" s="30">
        <v>0</v>
      </c>
      <c r="K35" s="30">
        <v>0</v>
      </c>
      <c r="L35" s="30">
        <v>0</v>
      </c>
    </row>
    <row r="36" spans="1:12" x14ac:dyDescent="0.25">
      <c r="A36" s="24">
        <v>34</v>
      </c>
      <c r="B36" s="31" t="s">
        <v>4302</v>
      </c>
      <c r="C36" s="31"/>
      <c r="D36" s="35">
        <v>-23.485520000000001</v>
      </c>
      <c r="E36" s="35">
        <v>-46.73883</v>
      </c>
      <c r="F36" s="39">
        <v>0</v>
      </c>
      <c r="G36" s="39">
        <v>0.99930555555555556</v>
      </c>
      <c r="H36" s="31" t="s">
        <v>1149</v>
      </c>
      <c r="I36" s="42">
        <v>0</v>
      </c>
      <c r="J36" s="31">
        <v>0</v>
      </c>
      <c r="K36" s="31">
        <v>0</v>
      </c>
      <c r="L36" s="31">
        <v>0</v>
      </c>
    </row>
    <row r="37" spans="1:12" x14ac:dyDescent="0.25">
      <c r="A37" s="24">
        <v>35</v>
      </c>
      <c r="B37" s="30" t="s">
        <v>4303</v>
      </c>
      <c r="C37" s="30"/>
      <c r="D37" s="34">
        <v>-23.467220000000001</v>
      </c>
      <c r="E37" s="34">
        <v>-46.58475</v>
      </c>
      <c r="F37" s="38">
        <v>0</v>
      </c>
      <c r="G37" s="38">
        <v>0.99930555555555556</v>
      </c>
      <c r="H37" s="30" t="s">
        <v>1149</v>
      </c>
      <c r="I37" s="41">
        <v>0</v>
      </c>
      <c r="J37" s="30">
        <v>0</v>
      </c>
      <c r="K37" s="30">
        <v>0</v>
      </c>
      <c r="L37" s="30">
        <v>0</v>
      </c>
    </row>
    <row r="38" spans="1:12" x14ac:dyDescent="0.25">
      <c r="A38" s="24">
        <v>36</v>
      </c>
      <c r="B38" s="31" t="s">
        <v>4304</v>
      </c>
      <c r="C38" s="31"/>
      <c r="D38" s="35">
        <v>-23.46668</v>
      </c>
      <c r="E38" s="35">
        <v>-46.846220000000002</v>
      </c>
      <c r="F38" s="39">
        <v>0</v>
      </c>
      <c r="G38" s="39">
        <v>0.99930555555555556</v>
      </c>
      <c r="H38" s="31" t="s">
        <v>1149</v>
      </c>
      <c r="I38" s="42">
        <v>0</v>
      </c>
      <c r="J38" s="31">
        <v>0</v>
      </c>
      <c r="K38" s="31">
        <v>0</v>
      </c>
      <c r="L38" s="31">
        <v>0</v>
      </c>
    </row>
    <row r="39" spans="1:12" x14ac:dyDescent="0.25">
      <c r="A39" s="24">
        <v>37</v>
      </c>
      <c r="B39" s="30" t="s">
        <v>4305</v>
      </c>
      <c r="C39" s="30"/>
      <c r="D39" s="34">
        <v>-23.46236</v>
      </c>
      <c r="E39" s="34">
        <v>-46.876010000000001</v>
      </c>
      <c r="F39" s="38">
        <v>0</v>
      </c>
      <c r="G39" s="38">
        <v>0.99930555555555556</v>
      </c>
      <c r="H39" s="30" t="s">
        <v>1149</v>
      </c>
      <c r="I39" s="41">
        <v>0</v>
      </c>
      <c r="J39" s="30">
        <v>0</v>
      </c>
      <c r="K39" s="30">
        <v>0</v>
      </c>
      <c r="L39" s="30">
        <v>0</v>
      </c>
    </row>
    <row r="40" spans="1:12" x14ac:dyDescent="0.25">
      <c r="A40" s="24">
        <v>38</v>
      </c>
      <c r="B40" s="31" t="s">
        <v>4306</v>
      </c>
      <c r="C40" s="31"/>
      <c r="D40" s="35">
        <v>-22.044499999999999</v>
      </c>
      <c r="E40" s="35">
        <v>-47.889980000000001</v>
      </c>
      <c r="F40" s="39">
        <v>0</v>
      </c>
      <c r="G40" s="39">
        <v>0.99930555555555556</v>
      </c>
      <c r="H40" s="31" t="s">
        <v>1149</v>
      </c>
      <c r="I40" s="42">
        <v>0</v>
      </c>
      <c r="J40" s="31">
        <v>0</v>
      </c>
      <c r="K40" s="31">
        <v>0</v>
      </c>
      <c r="L40" s="31">
        <v>0</v>
      </c>
    </row>
    <row r="41" spans="1:12" x14ac:dyDescent="0.25">
      <c r="A41" s="24">
        <v>39</v>
      </c>
      <c r="B41" s="30" t="s">
        <v>4307</v>
      </c>
      <c r="C41" s="30"/>
      <c r="D41" s="34">
        <v>-22.02384</v>
      </c>
      <c r="E41" s="34">
        <v>-47.880209999999998</v>
      </c>
      <c r="F41" s="38">
        <v>0</v>
      </c>
      <c r="G41" s="38">
        <v>0.99930555555555556</v>
      </c>
      <c r="H41" s="30" t="s">
        <v>1149</v>
      </c>
      <c r="I41" s="41">
        <v>0</v>
      </c>
      <c r="J41" s="30">
        <v>0</v>
      </c>
      <c r="K41" s="30">
        <v>0</v>
      </c>
      <c r="L41" s="30">
        <v>0</v>
      </c>
    </row>
    <row r="42" spans="1:12" x14ac:dyDescent="0.25">
      <c r="A42" s="24">
        <v>40</v>
      </c>
      <c r="B42" s="31" t="s">
        <v>4308</v>
      </c>
      <c r="C42" s="31"/>
      <c r="D42" s="35">
        <v>-22.03848</v>
      </c>
      <c r="E42" s="35">
        <v>-47.86018</v>
      </c>
      <c r="F42" s="39">
        <v>0</v>
      </c>
      <c r="G42" s="39">
        <v>0.99930555555555556</v>
      </c>
      <c r="H42" s="31" t="s">
        <v>1149</v>
      </c>
      <c r="I42" s="42">
        <v>0</v>
      </c>
      <c r="J42" s="31">
        <v>0</v>
      </c>
      <c r="K42" s="31">
        <v>0</v>
      </c>
      <c r="L42" s="31">
        <v>0</v>
      </c>
    </row>
    <row r="43" spans="1:12" x14ac:dyDescent="0.25">
      <c r="A43" s="24">
        <v>41</v>
      </c>
      <c r="B43" s="30" t="s">
        <v>4309</v>
      </c>
      <c r="C43" s="30"/>
      <c r="D43" s="34">
        <v>-23.017330000000001</v>
      </c>
      <c r="E43" s="34">
        <v>-45.55106</v>
      </c>
      <c r="F43" s="38">
        <v>0</v>
      </c>
      <c r="G43" s="38">
        <v>0.99930555555555556</v>
      </c>
      <c r="H43" s="30" t="s">
        <v>1149</v>
      </c>
      <c r="I43" s="41">
        <v>0</v>
      </c>
      <c r="J43" s="30">
        <v>0</v>
      </c>
      <c r="K43" s="30">
        <v>0</v>
      </c>
      <c r="L43" s="30">
        <v>0</v>
      </c>
    </row>
    <row r="44" spans="1:12" x14ac:dyDescent="0.25">
      <c r="A44" s="24">
        <v>42</v>
      </c>
      <c r="B44" s="31" t="s">
        <v>4310</v>
      </c>
      <c r="C44" s="31"/>
      <c r="D44" s="35">
        <v>-22.99756</v>
      </c>
      <c r="E44" s="35">
        <v>-45.540059999999997</v>
      </c>
      <c r="F44" s="39">
        <v>0</v>
      </c>
      <c r="G44" s="39">
        <v>0.99930555555555556</v>
      </c>
      <c r="H44" s="31" t="s">
        <v>1149</v>
      </c>
      <c r="I44" s="42">
        <v>0</v>
      </c>
      <c r="J44" s="31">
        <v>0</v>
      </c>
      <c r="K44" s="31">
        <v>0</v>
      </c>
      <c r="L44" s="31">
        <v>0</v>
      </c>
    </row>
    <row r="45" spans="1:12" x14ac:dyDescent="0.25">
      <c r="A45" s="24">
        <v>43</v>
      </c>
      <c r="B45" s="30" t="s">
        <v>4311</v>
      </c>
      <c r="C45" s="30"/>
      <c r="D45" s="34">
        <v>-23.072230000000001</v>
      </c>
      <c r="E45" s="34">
        <v>-45.712269999999997</v>
      </c>
      <c r="F45" s="38">
        <v>0</v>
      </c>
      <c r="G45" s="38">
        <v>0.99930555555555556</v>
      </c>
      <c r="H45" s="30" t="s">
        <v>1149</v>
      </c>
      <c r="I45" s="41">
        <v>0</v>
      </c>
      <c r="J45" s="30">
        <v>0</v>
      </c>
      <c r="K45" s="30">
        <v>0</v>
      </c>
      <c r="L45" s="30">
        <v>0</v>
      </c>
    </row>
    <row r="46" spans="1:12" x14ac:dyDescent="0.25">
      <c r="A46" s="24">
        <v>44</v>
      </c>
      <c r="B46" s="31" t="s">
        <v>4312</v>
      </c>
      <c r="C46" s="31"/>
      <c r="D46" s="35">
        <v>-23.11919</v>
      </c>
      <c r="E46" s="35">
        <v>-45.713470000000001</v>
      </c>
      <c r="F46" s="39">
        <v>0</v>
      </c>
      <c r="G46" s="39">
        <v>0.99930555555555556</v>
      </c>
      <c r="H46" s="31" t="s">
        <v>1149</v>
      </c>
      <c r="I46" s="42">
        <v>0</v>
      </c>
      <c r="J46" s="31">
        <v>0</v>
      </c>
      <c r="K46" s="31">
        <v>0</v>
      </c>
      <c r="L46" s="31">
        <v>0</v>
      </c>
    </row>
    <row r="47" spans="1:12" x14ac:dyDescent="0.25">
      <c r="A47" s="24">
        <v>45</v>
      </c>
      <c r="B47" s="30" t="s">
        <v>4313</v>
      </c>
      <c r="C47" s="30"/>
      <c r="D47" s="34">
        <v>-22.95467</v>
      </c>
      <c r="E47" s="34">
        <v>-45.494889999999998</v>
      </c>
      <c r="F47" s="38">
        <v>0</v>
      </c>
      <c r="G47" s="38">
        <v>0.99930555555555556</v>
      </c>
      <c r="H47" s="30" t="s">
        <v>1149</v>
      </c>
      <c r="I47" s="41">
        <v>0</v>
      </c>
      <c r="J47" s="30">
        <v>0</v>
      </c>
      <c r="K47" s="30">
        <v>0</v>
      </c>
      <c r="L47" s="30">
        <v>0</v>
      </c>
    </row>
    <row r="48" spans="1:12" x14ac:dyDescent="0.25">
      <c r="A48" s="24">
        <v>46</v>
      </c>
      <c r="B48" s="31" t="s">
        <v>4314</v>
      </c>
      <c r="C48" s="31"/>
      <c r="D48" s="35">
        <v>-23.465869999999999</v>
      </c>
      <c r="E48" s="35">
        <v>-47.496229999999997</v>
      </c>
      <c r="F48" s="39">
        <v>0</v>
      </c>
      <c r="G48" s="39">
        <v>0.99930555555555556</v>
      </c>
      <c r="H48" s="31" t="s">
        <v>1149</v>
      </c>
      <c r="I48" s="42">
        <v>0</v>
      </c>
      <c r="J48" s="31">
        <v>0</v>
      </c>
      <c r="K48" s="31">
        <v>0</v>
      </c>
      <c r="L48" s="31">
        <v>0</v>
      </c>
    </row>
    <row r="49" spans="1:12" x14ac:dyDescent="0.25">
      <c r="A49" s="24">
        <v>47</v>
      </c>
      <c r="B49" s="30" t="s">
        <v>4315</v>
      </c>
      <c r="C49" s="30"/>
      <c r="D49" s="34">
        <v>-23.495629999999998</v>
      </c>
      <c r="E49" s="34">
        <v>-47.511209999999998</v>
      </c>
      <c r="F49" s="38">
        <v>0</v>
      </c>
      <c r="G49" s="38">
        <v>0.99930555555555556</v>
      </c>
      <c r="H49" s="30" t="s">
        <v>1149</v>
      </c>
      <c r="I49" s="41">
        <v>0</v>
      </c>
      <c r="J49" s="30">
        <v>0</v>
      </c>
      <c r="K49" s="30">
        <v>0</v>
      </c>
      <c r="L49" s="30">
        <v>0</v>
      </c>
    </row>
    <row r="50" spans="1:12" x14ac:dyDescent="0.25">
      <c r="A50" s="24">
        <v>48</v>
      </c>
      <c r="B50" s="31" t="s">
        <v>4316</v>
      </c>
      <c r="C50" s="31"/>
      <c r="D50" s="35">
        <v>-23.48649</v>
      </c>
      <c r="E50" s="35">
        <v>-47.471170000000001</v>
      </c>
      <c r="F50" s="39">
        <v>0</v>
      </c>
      <c r="G50" s="39">
        <v>0.99930555555555556</v>
      </c>
      <c r="H50" s="31" t="s">
        <v>1149</v>
      </c>
      <c r="I50" s="42">
        <v>0</v>
      </c>
      <c r="J50" s="31">
        <v>0</v>
      </c>
      <c r="K50" s="31">
        <v>0</v>
      </c>
      <c r="L50" s="31">
        <v>0</v>
      </c>
    </row>
    <row r="51" spans="1:12" x14ac:dyDescent="0.25">
      <c r="A51" s="24">
        <v>49</v>
      </c>
      <c r="B51" s="30" t="s">
        <v>4317</v>
      </c>
      <c r="C51" s="30"/>
      <c r="D51" s="34">
        <v>-21.194980000000001</v>
      </c>
      <c r="E51" s="34">
        <v>-47.755890000000001</v>
      </c>
      <c r="F51" s="38">
        <v>0</v>
      </c>
      <c r="G51" s="38">
        <v>0.99930555555555556</v>
      </c>
      <c r="H51" s="30" t="s">
        <v>1149</v>
      </c>
      <c r="I51" s="41">
        <v>0</v>
      </c>
      <c r="J51" s="30">
        <v>0</v>
      </c>
      <c r="K51" s="30">
        <v>0</v>
      </c>
      <c r="L51" s="30">
        <v>0</v>
      </c>
    </row>
    <row r="52" spans="1:12" x14ac:dyDescent="0.25">
      <c r="A52" s="24">
        <v>50</v>
      </c>
      <c r="B52" s="31" t="s">
        <v>4318</v>
      </c>
      <c r="C52" s="31"/>
      <c r="D52" s="35">
        <v>-21.141179999999999</v>
      </c>
      <c r="E52" s="35">
        <v>-47.804819999999999</v>
      </c>
      <c r="F52" s="39">
        <v>0</v>
      </c>
      <c r="G52" s="39">
        <v>0.99930555555555556</v>
      </c>
      <c r="H52" s="31" t="s">
        <v>1149</v>
      </c>
      <c r="I52" s="42">
        <v>0</v>
      </c>
      <c r="J52" s="31">
        <v>0</v>
      </c>
      <c r="K52" s="31">
        <v>0</v>
      </c>
      <c r="L52" s="31">
        <v>0</v>
      </c>
    </row>
    <row r="53" spans="1:12" x14ac:dyDescent="0.25">
      <c r="A53" s="24">
        <v>51</v>
      </c>
      <c r="B53" s="30" t="s">
        <v>4319</v>
      </c>
      <c r="C53" s="30"/>
      <c r="D53" s="34">
        <v>-21.175160000000002</v>
      </c>
      <c r="E53" s="34">
        <v>-47.794550000000001</v>
      </c>
      <c r="F53" s="38">
        <v>0</v>
      </c>
      <c r="G53" s="38">
        <v>0.99930555555555556</v>
      </c>
      <c r="H53" s="30" t="s">
        <v>1149</v>
      </c>
      <c r="I53" s="41">
        <v>0</v>
      </c>
      <c r="J53" s="30">
        <v>0</v>
      </c>
      <c r="K53" s="30">
        <v>0</v>
      </c>
      <c r="L53" s="30">
        <v>0</v>
      </c>
    </row>
    <row r="54" spans="1:12" x14ac:dyDescent="0.25">
      <c r="A54" s="24">
        <v>52</v>
      </c>
      <c r="B54" s="31" t="s">
        <v>4320</v>
      </c>
      <c r="C54" s="31"/>
      <c r="D54" s="35">
        <v>-22.312100000000001</v>
      </c>
      <c r="E54" s="35">
        <v>-49.057459999999999</v>
      </c>
      <c r="F54" s="39">
        <v>0</v>
      </c>
      <c r="G54" s="39">
        <v>0.99930555555555556</v>
      </c>
      <c r="H54" s="31" t="s">
        <v>1149</v>
      </c>
      <c r="I54" s="42">
        <v>0</v>
      </c>
      <c r="J54" s="31">
        <v>0</v>
      </c>
      <c r="K54" s="31">
        <v>0</v>
      </c>
      <c r="L54" s="31">
        <v>0</v>
      </c>
    </row>
    <row r="55" spans="1:12" x14ac:dyDescent="0.25">
      <c r="A55" s="22">
        <v>53</v>
      </c>
      <c r="B55" s="56" t="s">
        <v>4321</v>
      </c>
      <c r="C55" s="56"/>
      <c r="D55" s="57">
        <v>-22.316279999999999</v>
      </c>
      <c r="E55" s="57">
        <v>-49.068150000000003</v>
      </c>
      <c r="F55" s="58">
        <v>0</v>
      </c>
      <c r="G55" s="58">
        <v>0.99930555555555556</v>
      </c>
      <c r="H55" s="56" t="s">
        <v>1149</v>
      </c>
      <c r="I55" s="59">
        <v>0</v>
      </c>
      <c r="J55" s="56">
        <v>0</v>
      </c>
      <c r="K55" s="56">
        <v>0</v>
      </c>
      <c r="L55" s="56">
        <v>0</v>
      </c>
    </row>
  </sheetData>
  <conditionalFormatting sqref="A2">
    <cfRule type="expression" dxfId="373" priority="1" stopIfTrue="1">
      <formula>ISBLANK(A2)</formula>
    </cfRule>
  </conditionalFormatting>
  <conditionalFormatting sqref="B2">
    <cfRule type="expression" dxfId="372" priority="2" stopIfTrue="1">
      <formula>ISBLANK(B2)</formula>
    </cfRule>
  </conditionalFormatting>
  <conditionalFormatting sqref="F2">
    <cfRule type="cellIs" dxfId="371" priority="3" stopIfTrue="1" operator="greaterThan">
      <formula>G2-$I$2</formula>
    </cfRule>
  </conditionalFormatting>
  <conditionalFormatting sqref="G2">
    <cfRule type="cellIs" dxfId="370" priority="4" stopIfTrue="1" operator="lessThan">
      <formula>F2+$I$2</formula>
    </cfRule>
  </conditionalFormatting>
  <conditionalFormatting sqref="I2">
    <cfRule type="cellIs" dxfId="369" priority="5" stopIfTrue="1" operator="greaterThan">
      <formula>G2-F2 + 0.0001</formula>
    </cfRule>
  </conditionalFormatting>
  <conditionalFormatting sqref="A3">
    <cfRule type="expression" dxfId="368" priority="6" stopIfTrue="1">
      <formula>ISBLANK(A3)</formula>
    </cfRule>
  </conditionalFormatting>
  <conditionalFormatting sqref="B3">
    <cfRule type="expression" dxfId="367" priority="7" stopIfTrue="1">
      <formula>ISBLANK(B3)</formula>
    </cfRule>
  </conditionalFormatting>
  <conditionalFormatting sqref="F3">
    <cfRule type="cellIs" dxfId="366" priority="8" stopIfTrue="1" operator="greaterThan">
      <formula>G3-$I$3</formula>
    </cfRule>
  </conditionalFormatting>
  <conditionalFormatting sqref="G3">
    <cfRule type="cellIs" dxfId="365" priority="9" stopIfTrue="1" operator="lessThan">
      <formula>F3+$I$3</formula>
    </cfRule>
  </conditionalFormatting>
  <conditionalFormatting sqref="I3">
    <cfRule type="cellIs" dxfId="364" priority="10" stopIfTrue="1" operator="greaterThan">
      <formula>G3-F3 + 0.0001</formula>
    </cfRule>
  </conditionalFormatting>
  <conditionalFormatting sqref="A4">
    <cfRule type="expression" dxfId="363" priority="11" stopIfTrue="1">
      <formula>ISBLANK(A4)</formula>
    </cfRule>
  </conditionalFormatting>
  <conditionalFormatting sqref="B4">
    <cfRule type="expression" dxfId="362" priority="12" stopIfTrue="1">
      <formula>ISBLANK(B4)</formula>
    </cfRule>
  </conditionalFormatting>
  <conditionalFormatting sqref="F4">
    <cfRule type="cellIs" dxfId="361" priority="13" stopIfTrue="1" operator="greaterThan">
      <formula>G4-$I$4</formula>
    </cfRule>
  </conditionalFormatting>
  <conditionalFormatting sqref="G4">
    <cfRule type="cellIs" dxfId="360" priority="14" stopIfTrue="1" operator="lessThan">
      <formula>F4+$I$4</formula>
    </cfRule>
  </conditionalFormatting>
  <conditionalFormatting sqref="I4">
    <cfRule type="cellIs" dxfId="359" priority="15" stopIfTrue="1" operator="greaterThan">
      <formula>G4-F4 + 0.0001</formula>
    </cfRule>
  </conditionalFormatting>
  <conditionalFormatting sqref="A5">
    <cfRule type="expression" dxfId="358" priority="16" stopIfTrue="1">
      <formula>ISBLANK(A5)</formula>
    </cfRule>
  </conditionalFormatting>
  <conditionalFormatting sqref="B5">
    <cfRule type="expression" dxfId="357" priority="17" stopIfTrue="1">
      <formula>ISBLANK(B5)</formula>
    </cfRule>
  </conditionalFormatting>
  <conditionalFormatting sqref="F5">
    <cfRule type="cellIs" dxfId="356" priority="18" stopIfTrue="1" operator="greaterThan">
      <formula>G5-$I$5</formula>
    </cfRule>
  </conditionalFormatting>
  <conditionalFormatting sqref="G5">
    <cfRule type="cellIs" dxfId="355" priority="19" stopIfTrue="1" operator="lessThan">
      <formula>F5+$I$5</formula>
    </cfRule>
  </conditionalFormatting>
  <conditionalFormatting sqref="H5">
    <cfRule type="cellIs" dxfId="354" priority="20" stopIfTrue="1" operator="equal">
      <formula>"Pode ser visitado"</formula>
    </cfRule>
    <cfRule type="cellIs" dxfId="353" priority="21" stopIfTrue="1" operator="equal">
      <formula>"Não visite"</formula>
    </cfRule>
  </conditionalFormatting>
  <conditionalFormatting sqref="I5">
    <cfRule type="cellIs" dxfId="352" priority="22" stopIfTrue="1" operator="greaterThan">
      <formula>G5-F5 + 0.0001</formula>
    </cfRule>
  </conditionalFormatting>
  <conditionalFormatting sqref="A6">
    <cfRule type="expression" dxfId="351" priority="23" stopIfTrue="1">
      <formula>ISBLANK(A6)</formula>
    </cfRule>
  </conditionalFormatting>
  <conditionalFormatting sqref="B6">
    <cfRule type="expression" dxfId="350" priority="24" stopIfTrue="1">
      <formula>ISBLANK(B6)</formula>
    </cfRule>
  </conditionalFormatting>
  <conditionalFormatting sqref="F6">
    <cfRule type="cellIs" dxfId="349" priority="25" stopIfTrue="1" operator="greaterThan">
      <formula>G6-$I$6</formula>
    </cfRule>
  </conditionalFormatting>
  <conditionalFormatting sqref="G6">
    <cfRule type="cellIs" dxfId="348" priority="26" stopIfTrue="1" operator="lessThan">
      <formula>F6+$I$6</formula>
    </cfRule>
  </conditionalFormatting>
  <conditionalFormatting sqref="H6">
    <cfRule type="cellIs" dxfId="347" priority="27" stopIfTrue="1" operator="equal">
      <formula>"Pode ser visitado"</formula>
    </cfRule>
  </conditionalFormatting>
  <conditionalFormatting sqref="H6">
    <cfRule type="cellIs" dxfId="346" priority="28" stopIfTrue="1" operator="equal">
      <formula>"Não visite"</formula>
    </cfRule>
  </conditionalFormatting>
  <conditionalFormatting sqref="I6">
    <cfRule type="cellIs" dxfId="345" priority="29" stopIfTrue="1" operator="greaterThan">
      <formula>G6-F6 + 0.0001</formula>
    </cfRule>
  </conditionalFormatting>
  <conditionalFormatting sqref="A7">
    <cfRule type="expression" dxfId="344" priority="30" stopIfTrue="1">
      <formula>ISBLANK(A7)</formula>
    </cfRule>
  </conditionalFormatting>
  <conditionalFormatting sqref="B7">
    <cfRule type="expression" dxfId="343" priority="31" stopIfTrue="1">
      <formula>ISBLANK(B7)</formula>
    </cfRule>
  </conditionalFormatting>
  <conditionalFormatting sqref="F7">
    <cfRule type="cellIs" dxfId="342" priority="32" stopIfTrue="1" operator="greaterThan">
      <formula>G7-$I$7</formula>
    </cfRule>
  </conditionalFormatting>
  <conditionalFormatting sqref="G7">
    <cfRule type="cellIs" dxfId="341" priority="33" stopIfTrue="1" operator="lessThan">
      <formula>F7+$I$7</formula>
    </cfRule>
  </conditionalFormatting>
  <conditionalFormatting sqref="H7">
    <cfRule type="cellIs" dxfId="340" priority="34" stopIfTrue="1" operator="equal">
      <formula>"Pode ser visitado"</formula>
    </cfRule>
  </conditionalFormatting>
  <conditionalFormatting sqref="H7">
    <cfRule type="cellIs" dxfId="339" priority="35" stopIfTrue="1" operator="equal">
      <formula>"Não visite"</formula>
    </cfRule>
  </conditionalFormatting>
  <conditionalFormatting sqref="I7">
    <cfRule type="cellIs" dxfId="338" priority="36" stopIfTrue="1" operator="greaterThan">
      <formula>G7-F7 + 0.0001</formula>
    </cfRule>
  </conditionalFormatting>
  <conditionalFormatting sqref="A8">
    <cfRule type="expression" dxfId="337" priority="37" stopIfTrue="1">
      <formula>ISBLANK(A8)</formula>
    </cfRule>
  </conditionalFormatting>
  <conditionalFormatting sqref="B8">
    <cfRule type="expression" dxfId="336" priority="38" stopIfTrue="1">
      <formula>ISBLANK(B8)</formula>
    </cfRule>
  </conditionalFormatting>
  <conditionalFormatting sqref="F8">
    <cfRule type="cellIs" dxfId="335" priority="39" stopIfTrue="1" operator="greaterThan">
      <formula>G8-$I$8</formula>
    </cfRule>
  </conditionalFormatting>
  <conditionalFormatting sqref="G8">
    <cfRule type="cellIs" dxfId="334" priority="40" stopIfTrue="1" operator="lessThan">
      <formula>F8+$I$8</formula>
    </cfRule>
  </conditionalFormatting>
  <conditionalFormatting sqref="H8">
    <cfRule type="cellIs" dxfId="333" priority="41" stopIfTrue="1" operator="equal">
      <formula>"Pode ser visitado"</formula>
    </cfRule>
  </conditionalFormatting>
  <conditionalFormatting sqref="H8">
    <cfRule type="cellIs" dxfId="332" priority="42" stopIfTrue="1" operator="equal">
      <formula>"Não visite"</formula>
    </cfRule>
  </conditionalFormatting>
  <conditionalFormatting sqref="I8">
    <cfRule type="cellIs" dxfId="331" priority="43" stopIfTrue="1" operator="greaterThan">
      <formula>G8-F8 + 0.0001</formula>
    </cfRule>
  </conditionalFormatting>
  <conditionalFormatting sqref="A9">
    <cfRule type="expression" dxfId="330" priority="44" stopIfTrue="1">
      <formula>ISBLANK(A9)</formula>
    </cfRule>
  </conditionalFormatting>
  <conditionalFormatting sqref="B9">
    <cfRule type="expression" dxfId="329" priority="45" stopIfTrue="1">
      <formula>ISBLANK(B9)</formula>
    </cfRule>
  </conditionalFormatting>
  <conditionalFormatting sqref="F9">
    <cfRule type="cellIs" dxfId="328" priority="46" stopIfTrue="1" operator="greaterThan">
      <formula>G9-$I$9</formula>
    </cfRule>
  </conditionalFormatting>
  <conditionalFormatting sqref="G9">
    <cfRule type="cellIs" dxfId="327" priority="47" stopIfTrue="1" operator="lessThan">
      <formula>F9+$I$9</formula>
    </cfRule>
  </conditionalFormatting>
  <conditionalFormatting sqref="H9">
    <cfRule type="cellIs" dxfId="326" priority="48" stopIfTrue="1" operator="equal">
      <formula>"Pode ser visitado"</formula>
    </cfRule>
  </conditionalFormatting>
  <conditionalFormatting sqref="H9">
    <cfRule type="cellIs" dxfId="325" priority="49" stopIfTrue="1" operator="equal">
      <formula>"Não visite"</formula>
    </cfRule>
  </conditionalFormatting>
  <conditionalFormatting sqref="I9">
    <cfRule type="cellIs" dxfId="324" priority="50" stopIfTrue="1" operator="greaterThan">
      <formula>G9-F9 + 0.0001</formula>
    </cfRule>
  </conditionalFormatting>
  <conditionalFormatting sqref="A10">
    <cfRule type="expression" dxfId="323" priority="51" stopIfTrue="1">
      <formula>ISBLANK(A10)</formula>
    </cfRule>
  </conditionalFormatting>
  <conditionalFormatting sqref="B10">
    <cfRule type="expression" dxfId="322" priority="52" stopIfTrue="1">
      <formula>ISBLANK(B10)</formula>
    </cfRule>
  </conditionalFormatting>
  <conditionalFormatting sqref="F10">
    <cfRule type="cellIs" dxfId="321" priority="53" stopIfTrue="1" operator="greaterThan">
      <formula>G10-$I$10</formula>
    </cfRule>
  </conditionalFormatting>
  <conditionalFormatting sqref="G10">
    <cfRule type="cellIs" dxfId="320" priority="54" stopIfTrue="1" operator="lessThan">
      <formula>F10+$I$10</formula>
    </cfRule>
  </conditionalFormatting>
  <conditionalFormatting sqref="H10">
    <cfRule type="cellIs" dxfId="319" priority="55" stopIfTrue="1" operator="equal">
      <formula>"Pode ser visitado"</formula>
    </cfRule>
  </conditionalFormatting>
  <conditionalFormatting sqref="H10">
    <cfRule type="cellIs" dxfId="318" priority="56" stopIfTrue="1" operator="equal">
      <formula>"Não visite"</formula>
    </cfRule>
  </conditionalFormatting>
  <conditionalFormatting sqref="I10">
    <cfRule type="cellIs" dxfId="317" priority="57" stopIfTrue="1" operator="greaterThan">
      <formula>G10-F10 + 0.0001</formula>
    </cfRule>
  </conditionalFormatting>
  <conditionalFormatting sqref="A11">
    <cfRule type="expression" dxfId="316" priority="58" stopIfTrue="1">
      <formula>ISBLANK(A11)</formula>
    </cfRule>
  </conditionalFormatting>
  <conditionalFormatting sqref="B11">
    <cfRule type="expression" dxfId="315" priority="59" stopIfTrue="1">
      <formula>ISBLANK(B11)</formula>
    </cfRule>
  </conditionalFormatting>
  <conditionalFormatting sqref="F11">
    <cfRule type="cellIs" dxfId="314" priority="60" stopIfTrue="1" operator="greaterThan">
      <formula>G11-$I$11</formula>
    </cfRule>
  </conditionalFormatting>
  <conditionalFormatting sqref="G11">
    <cfRule type="cellIs" dxfId="313" priority="61" stopIfTrue="1" operator="lessThan">
      <formula>F11+$I$11</formula>
    </cfRule>
  </conditionalFormatting>
  <conditionalFormatting sqref="H11">
    <cfRule type="cellIs" dxfId="312" priority="62" stopIfTrue="1" operator="equal">
      <formula>"Pode ser visitado"</formula>
    </cfRule>
  </conditionalFormatting>
  <conditionalFormatting sqref="H11">
    <cfRule type="cellIs" dxfId="311" priority="63" stopIfTrue="1" operator="equal">
      <formula>"Não visite"</formula>
    </cfRule>
  </conditionalFormatting>
  <conditionalFormatting sqref="I11">
    <cfRule type="cellIs" dxfId="310" priority="64" stopIfTrue="1" operator="greaterThan">
      <formula>G11-F11 + 0.0001</formula>
    </cfRule>
  </conditionalFormatting>
  <conditionalFormatting sqref="A12">
    <cfRule type="expression" dxfId="309" priority="65" stopIfTrue="1">
      <formula>ISBLANK(A12)</formula>
    </cfRule>
  </conditionalFormatting>
  <conditionalFormatting sqref="B12">
    <cfRule type="expression" dxfId="308" priority="66" stopIfTrue="1">
      <formula>ISBLANK(B12)</formula>
    </cfRule>
  </conditionalFormatting>
  <conditionalFormatting sqref="F12">
    <cfRule type="cellIs" dxfId="307" priority="67" stopIfTrue="1" operator="greaterThan">
      <formula>G12-$I$12</formula>
    </cfRule>
  </conditionalFormatting>
  <conditionalFormatting sqref="G12">
    <cfRule type="cellIs" dxfId="306" priority="68" stopIfTrue="1" operator="lessThan">
      <formula>F12+$I$12</formula>
    </cfRule>
  </conditionalFormatting>
  <conditionalFormatting sqref="H12">
    <cfRule type="cellIs" dxfId="305" priority="69" stopIfTrue="1" operator="equal">
      <formula>"Pode ser visitado"</formula>
    </cfRule>
  </conditionalFormatting>
  <conditionalFormatting sqref="H12">
    <cfRule type="cellIs" dxfId="304" priority="70" stopIfTrue="1" operator="equal">
      <formula>"Não visite"</formula>
    </cfRule>
  </conditionalFormatting>
  <conditionalFormatting sqref="I12">
    <cfRule type="cellIs" dxfId="303" priority="71" stopIfTrue="1" operator="greaterThan">
      <formula>G12-F12 + 0.0001</formula>
    </cfRule>
  </conditionalFormatting>
  <conditionalFormatting sqref="A13">
    <cfRule type="expression" dxfId="302" priority="72" stopIfTrue="1">
      <formula>ISBLANK(A13)</formula>
    </cfRule>
  </conditionalFormatting>
  <conditionalFormatting sqref="B13">
    <cfRule type="expression" dxfId="301" priority="73" stopIfTrue="1">
      <formula>ISBLANK(B13)</formula>
    </cfRule>
  </conditionalFormatting>
  <conditionalFormatting sqref="F13">
    <cfRule type="cellIs" dxfId="300" priority="74" stopIfTrue="1" operator="greaterThan">
      <formula>G13-$I$13</formula>
    </cfRule>
  </conditionalFormatting>
  <conditionalFormatting sqref="G13">
    <cfRule type="cellIs" dxfId="299" priority="75" stopIfTrue="1" operator="lessThan">
      <formula>F13+$I$13</formula>
    </cfRule>
  </conditionalFormatting>
  <conditionalFormatting sqref="H13">
    <cfRule type="cellIs" dxfId="298" priority="76" stopIfTrue="1" operator="equal">
      <formula>"Pode ser visitado"</formula>
    </cfRule>
  </conditionalFormatting>
  <conditionalFormatting sqref="H13">
    <cfRule type="cellIs" dxfId="297" priority="77" stopIfTrue="1" operator="equal">
      <formula>"Não visite"</formula>
    </cfRule>
  </conditionalFormatting>
  <conditionalFormatting sqref="I13">
    <cfRule type="cellIs" dxfId="296" priority="78" stopIfTrue="1" operator="greaterThan">
      <formula>G13-F13 + 0.0001</formula>
    </cfRule>
  </conditionalFormatting>
  <conditionalFormatting sqref="A14">
    <cfRule type="expression" dxfId="295" priority="79" stopIfTrue="1">
      <formula>ISBLANK(A14)</formula>
    </cfRule>
  </conditionalFormatting>
  <conditionalFormatting sqref="B14">
    <cfRule type="expression" dxfId="294" priority="80" stopIfTrue="1">
      <formula>ISBLANK(B14)</formula>
    </cfRule>
  </conditionalFormatting>
  <conditionalFormatting sqref="F14">
    <cfRule type="cellIs" dxfId="293" priority="81" stopIfTrue="1" operator="greaterThan">
      <formula>G14-$I$14</formula>
    </cfRule>
  </conditionalFormatting>
  <conditionalFormatting sqref="G14">
    <cfRule type="cellIs" dxfId="292" priority="82" stopIfTrue="1" operator="lessThan">
      <formula>F14+$I$14</formula>
    </cfRule>
  </conditionalFormatting>
  <conditionalFormatting sqref="H14">
    <cfRule type="cellIs" dxfId="291" priority="83" stopIfTrue="1" operator="equal">
      <formula>"Pode ser visitado"</formula>
    </cfRule>
  </conditionalFormatting>
  <conditionalFormatting sqref="H14">
    <cfRule type="cellIs" dxfId="290" priority="84" stopIfTrue="1" operator="equal">
      <formula>"Não visite"</formula>
    </cfRule>
  </conditionalFormatting>
  <conditionalFormatting sqref="I14">
    <cfRule type="cellIs" dxfId="289" priority="85" stopIfTrue="1" operator="greaterThan">
      <formula>G14-F14 + 0.0001</formula>
    </cfRule>
  </conditionalFormatting>
  <conditionalFormatting sqref="A15">
    <cfRule type="expression" dxfId="288" priority="86" stopIfTrue="1">
      <formula>ISBLANK(A15)</formula>
    </cfRule>
  </conditionalFormatting>
  <conditionalFormatting sqref="B15">
    <cfRule type="expression" dxfId="287" priority="87" stopIfTrue="1">
      <formula>ISBLANK(B15)</formula>
    </cfRule>
  </conditionalFormatting>
  <conditionalFormatting sqref="F15">
    <cfRule type="cellIs" dxfId="286" priority="88" stopIfTrue="1" operator="greaterThan">
      <formula>G15-$I$15</formula>
    </cfRule>
  </conditionalFormatting>
  <conditionalFormatting sqref="G15">
    <cfRule type="cellIs" dxfId="285" priority="89" stopIfTrue="1" operator="lessThan">
      <formula>F15+$I$15</formula>
    </cfRule>
  </conditionalFormatting>
  <conditionalFormatting sqref="H15">
    <cfRule type="cellIs" dxfId="284" priority="90" stopIfTrue="1" operator="equal">
      <formula>"Pode ser visitado"</formula>
    </cfRule>
  </conditionalFormatting>
  <conditionalFormatting sqref="H15">
    <cfRule type="cellIs" dxfId="283" priority="91" stopIfTrue="1" operator="equal">
      <formula>"Não visite"</formula>
    </cfRule>
  </conditionalFormatting>
  <conditionalFormatting sqref="I15">
    <cfRule type="cellIs" dxfId="282" priority="92" stopIfTrue="1" operator="greaterThan">
      <formula>G15-F15 + 0.0001</formula>
    </cfRule>
  </conditionalFormatting>
  <conditionalFormatting sqref="A16">
    <cfRule type="expression" dxfId="281" priority="93" stopIfTrue="1">
      <formula>ISBLANK(A16)</formula>
    </cfRule>
  </conditionalFormatting>
  <conditionalFormatting sqref="B16">
    <cfRule type="expression" dxfId="280" priority="94" stopIfTrue="1">
      <formula>ISBLANK(B16)</formula>
    </cfRule>
  </conditionalFormatting>
  <conditionalFormatting sqref="F16">
    <cfRule type="cellIs" dxfId="279" priority="95" stopIfTrue="1" operator="greaterThan">
      <formula>G16-$I$16</formula>
    </cfRule>
  </conditionalFormatting>
  <conditionalFormatting sqref="G16">
    <cfRule type="cellIs" dxfId="278" priority="96" stopIfTrue="1" operator="lessThan">
      <formula>F16+$I$16</formula>
    </cfRule>
  </conditionalFormatting>
  <conditionalFormatting sqref="H16">
    <cfRule type="cellIs" dxfId="277" priority="97" stopIfTrue="1" operator="equal">
      <formula>"Pode ser visitado"</formula>
    </cfRule>
  </conditionalFormatting>
  <conditionalFormatting sqref="H16">
    <cfRule type="cellIs" dxfId="276" priority="98" stopIfTrue="1" operator="equal">
      <formula>"Não visite"</formula>
    </cfRule>
  </conditionalFormatting>
  <conditionalFormatting sqref="I16">
    <cfRule type="cellIs" dxfId="275" priority="99" stopIfTrue="1" operator="greaterThan">
      <formula>G16-F16 + 0.0001</formula>
    </cfRule>
  </conditionalFormatting>
  <conditionalFormatting sqref="A17">
    <cfRule type="expression" dxfId="274" priority="100" stopIfTrue="1">
      <formula>ISBLANK(A17)</formula>
    </cfRule>
  </conditionalFormatting>
  <conditionalFormatting sqref="B17">
    <cfRule type="expression" dxfId="273" priority="101" stopIfTrue="1">
      <formula>ISBLANK(B17)</formula>
    </cfRule>
  </conditionalFormatting>
  <conditionalFormatting sqref="F17">
    <cfRule type="cellIs" dxfId="272" priority="102" stopIfTrue="1" operator="greaterThan">
      <formula>G17-$I$17</formula>
    </cfRule>
  </conditionalFormatting>
  <conditionalFormatting sqref="G17">
    <cfRule type="cellIs" dxfId="271" priority="103" stopIfTrue="1" operator="lessThan">
      <formula>F17+$I$17</formula>
    </cfRule>
  </conditionalFormatting>
  <conditionalFormatting sqref="H17">
    <cfRule type="cellIs" dxfId="270" priority="104" stopIfTrue="1" operator="equal">
      <formula>"Pode ser visitado"</formula>
    </cfRule>
  </conditionalFormatting>
  <conditionalFormatting sqref="H17">
    <cfRule type="cellIs" dxfId="269" priority="105" stopIfTrue="1" operator="equal">
      <formula>"Não visite"</formula>
    </cfRule>
  </conditionalFormatting>
  <conditionalFormatting sqref="I17">
    <cfRule type="cellIs" dxfId="268" priority="106" stopIfTrue="1" operator="greaterThan">
      <formula>G17-F17 + 0.0001</formula>
    </cfRule>
  </conditionalFormatting>
  <conditionalFormatting sqref="A18">
    <cfRule type="expression" dxfId="267" priority="107" stopIfTrue="1">
      <formula>ISBLANK(A18)</formula>
    </cfRule>
  </conditionalFormatting>
  <conditionalFormatting sqref="B18">
    <cfRule type="expression" dxfId="266" priority="108" stopIfTrue="1">
      <formula>ISBLANK(B18)</formula>
    </cfRule>
  </conditionalFormatting>
  <conditionalFormatting sqref="F18">
    <cfRule type="cellIs" dxfId="265" priority="109" stopIfTrue="1" operator="greaterThan">
      <formula>G18-$I$18</formula>
    </cfRule>
  </conditionalFormatting>
  <conditionalFormatting sqref="G18">
    <cfRule type="cellIs" dxfId="264" priority="110" stopIfTrue="1" operator="lessThan">
      <formula>F18+$I$18</formula>
    </cfRule>
  </conditionalFormatting>
  <conditionalFormatting sqref="H18">
    <cfRule type="cellIs" dxfId="263" priority="111" stopIfTrue="1" operator="equal">
      <formula>"Pode ser visitado"</formula>
    </cfRule>
  </conditionalFormatting>
  <conditionalFormatting sqref="H18">
    <cfRule type="cellIs" dxfId="262" priority="112" stopIfTrue="1" operator="equal">
      <formula>"Não visite"</formula>
    </cfRule>
  </conditionalFormatting>
  <conditionalFormatting sqref="I18">
    <cfRule type="cellIs" dxfId="261" priority="113" stopIfTrue="1" operator="greaterThan">
      <formula>G18-F18 + 0.0001</formula>
    </cfRule>
  </conditionalFormatting>
  <conditionalFormatting sqref="A19">
    <cfRule type="expression" dxfId="260" priority="114" stopIfTrue="1">
      <formula>ISBLANK(A19)</formula>
    </cfRule>
  </conditionalFormatting>
  <conditionalFormatting sqref="B19">
    <cfRule type="expression" dxfId="259" priority="115" stopIfTrue="1">
      <formula>ISBLANK(B19)</formula>
    </cfRule>
  </conditionalFormatting>
  <conditionalFormatting sqref="F19">
    <cfRule type="cellIs" dxfId="258" priority="116" stopIfTrue="1" operator="greaterThan">
      <formula>G19-$I$19</formula>
    </cfRule>
  </conditionalFormatting>
  <conditionalFormatting sqref="G19">
    <cfRule type="cellIs" dxfId="257" priority="117" stopIfTrue="1" operator="lessThan">
      <formula>F19+$I$19</formula>
    </cfRule>
  </conditionalFormatting>
  <conditionalFormatting sqref="H19">
    <cfRule type="cellIs" dxfId="256" priority="118" stopIfTrue="1" operator="equal">
      <formula>"Pode ser visitado"</formula>
    </cfRule>
  </conditionalFormatting>
  <conditionalFormatting sqref="H19">
    <cfRule type="cellIs" dxfId="255" priority="119" stopIfTrue="1" operator="equal">
      <formula>"Não visite"</formula>
    </cfRule>
  </conditionalFormatting>
  <conditionalFormatting sqref="I19">
    <cfRule type="cellIs" dxfId="254" priority="120" stopIfTrue="1" operator="greaterThan">
      <formula>G19-F19 + 0.0001</formula>
    </cfRule>
  </conditionalFormatting>
  <conditionalFormatting sqref="A20">
    <cfRule type="expression" dxfId="253" priority="121" stopIfTrue="1">
      <formula>ISBLANK(A20)</formula>
    </cfRule>
  </conditionalFormatting>
  <conditionalFormatting sqref="B20">
    <cfRule type="expression" dxfId="252" priority="122" stopIfTrue="1">
      <formula>ISBLANK(B20)</formula>
    </cfRule>
  </conditionalFormatting>
  <conditionalFormatting sqref="F20">
    <cfRule type="cellIs" dxfId="251" priority="123" stopIfTrue="1" operator="greaterThan">
      <formula>G20-$I$20</formula>
    </cfRule>
  </conditionalFormatting>
  <conditionalFormatting sqref="G20">
    <cfRule type="cellIs" dxfId="250" priority="124" stopIfTrue="1" operator="lessThan">
      <formula>F20+$I$20</formula>
    </cfRule>
  </conditionalFormatting>
  <conditionalFormatting sqref="H20">
    <cfRule type="cellIs" dxfId="249" priority="125" stopIfTrue="1" operator="equal">
      <formula>"Pode ser visitado"</formula>
    </cfRule>
  </conditionalFormatting>
  <conditionalFormatting sqref="H20">
    <cfRule type="cellIs" dxfId="248" priority="126" stopIfTrue="1" operator="equal">
      <formula>"Não visite"</formula>
    </cfRule>
  </conditionalFormatting>
  <conditionalFormatting sqref="I20">
    <cfRule type="cellIs" dxfId="247" priority="127" stopIfTrue="1" operator="greaterThan">
      <formula>G20-F20 + 0.0001</formula>
    </cfRule>
  </conditionalFormatting>
  <conditionalFormatting sqref="A21">
    <cfRule type="expression" dxfId="246" priority="128" stopIfTrue="1">
      <formula>ISBLANK(A21)</formula>
    </cfRule>
  </conditionalFormatting>
  <conditionalFormatting sqref="B21">
    <cfRule type="expression" dxfId="245" priority="129" stopIfTrue="1">
      <formula>ISBLANK(B21)</formula>
    </cfRule>
  </conditionalFormatting>
  <conditionalFormatting sqref="F21">
    <cfRule type="cellIs" dxfId="244" priority="130" stopIfTrue="1" operator="greaterThan">
      <formula>G21-$I$21</formula>
    </cfRule>
  </conditionalFormatting>
  <conditionalFormatting sqref="G21">
    <cfRule type="cellIs" dxfId="243" priority="131" stopIfTrue="1" operator="lessThan">
      <formula>F21+$I$21</formula>
    </cfRule>
  </conditionalFormatting>
  <conditionalFormatting sqref="H21">
    <cfRule type="cellIs" dxfId="242" priority="132" stopIfTrue="1" operator="equal">
      <formula>"Pode ser visitado"</formula>
    </cfRule>
  </conditionalFormatting>
  <conditionalFormatting sqref="H21">
    <cfRule type="cellIs" dxfId="241" priority="133" stopIfTrue="1" operator="equal">
      <formula>"Não visite"</formula>
    </cfRule>
  </conditionalFormatting>
  <conditionalFormatting sqref="I21">
    <cfRule type="cellIs" dxfId="240" priority="134" stopIfTrue="1" operator="greaterThan">
      <formula>G21-F21 + 0.0001</formula>
    </cfRule>
  </conditionalFormatting>
  <conditionalFormatting sqref="A22">
    <cfRule type="expression" dxfId="239" priority="135" stopIfTrue="1">
      <formula>ISBLANK(A22)</formula>
    </cfRule>
  </conditionalFormatting>
  <conditionalFormatting sqref="B22">
    <cfRule type="expression" dxfId="238" priority="136" stopIfTrue="1">
      <formula>ISBLANK(B22)</formula>
    </cfRule>
  </conditionalFormatting>
  <conditionalFormatting sqref="F22">
    <cfRule type="cellIs" dxfId="237" priority="137" stopIfTrue="1" operator="greaterThan">
      <formula>G22-$I$22</formula>
    </cfRule>
  </conditionalFormatting>
  <conditionalFormatting sqref="G22">
    <cfRule type="cellIs" dxfId="236" priority="138" stopIfTrue="1" operator="lessThan">
      <formula>F22+$I$22</formula>
    </cfRule>
  </conditionalFormatting>
  <conditionalFormatting sqref="H22">
    <cfRule type="cellIs" dxfId="235" priority="139" stopIfTrue="1" operator="equal">
      <formula>"Pode ser visitado"</formula>
    </cfRule>
  </conditionalFormatting>
  <conditionalFormatting sqref="H22">
    <cfRule type="cellIs" dxfId="234" priority="140" stopIfTrue="1" operator="equal">
      <formula>"Não visite"</formula>
    </cfRule>
  </conditionalFormatting>
  <conditionalFormatting sqref="I22">
    <cfRule type="cellIs" dxfId="233" priority="141" stopIfTrue="1" operator="greaterThan">
      <formula>G22-F22 + 0.0001</formula>
    </cfRule>
  </conditionalFormatting>
  <conditionalFormatting sqref="A23">
    <cfRule type="expression" dxfId="232" priority="142" stopIfTrue="1">
      <formula>ISBLANK(A23)</formula>
    </cfRule>
  </conditionalFormatting>
  <conditionalFormatting sqref="B23">
    <cfRule type="expression" dxfId="231" priority="143" stopIfTrue="1">
      <formula>ISBLANK(B23)</formula>
    </cfRule>
  </conditionalFormatting>
  <conditionalFormatting sqref="F23">
    <cfRule type="cellIs" dxfId="230" priority="144" stopIfTrue="1" operator="greaterThan">
      <formula>G23-$I$23</formula>
    </cfRule>
  </conditionalFormatting>
  <conditionalFormatting sqref="G23">
    <cfRule type="cellIs" dxfId="229" priority="145" stopIfTrue="1" operator="lessThan">
      <formula>F23+$I$23</formula>
    </cfRule>
  </conditionalFormatting>
  <conditionalFormatting sqref="H23">
    <cfRule type="cellIs" dxfId="228" priority="146" stopIfTrue="1" operator="equal">
      <formula>"Pode ser visitado"</formula>
    </cfRule>
  </conditionalFormatting>
  <conditionalFormatting sqref="H23">
    <cfRule type="cellIs" dxfId="227" priority="147" stopIfTrue="1" operator="equal">
      <formula>"Não visite"</formula>
    </cfRule>
  </conditionalFormatting>
  <conditionalFormatting sqref="I23">
    <cfRule type="cellIs" dxfId="226" priority="148" stopIfTrue="1" operator="greaterThan">
      <formula>G23-F23 + 0.0001</formula>
    </cfRule>
  </conditionalFormatting>
  <conditionalFormatting sqref="A24">
    <cfRule type="expression" dxfId="225" priority="149" stopIfTrue="1">
      <formula>ISBLANK(A24)</formula>
    </cfRule>
  </conditionalFormatting>
  <conditionalFormatting sqref="B24">
    <cfRule type="expression" dxfId="224" priority="150" stopIfTrue="1">
      <formula>ISBLANK(B24)</formula>
    </cfRule>
  </conditionalFormatting>
  <conditionalFormatting sqref="F24">
    <cfRule type="cellIs" dxfId="223" priority="151" stopIfTrue="1" operator="greaterThan">
      <formula>G24-$I$24</formula>
    </cfRule>
  </conditionalFormatting>
  <conditionalFormatting sqref="G24">
    <cfRule type="cellIs" dxfId="222" priority="152" stopIfTrue="1" operator="lessThan">
      <formula>F24+$I$24</formula>
    </cfRule>
  </conditionalFormatting>
  <conditionalFormatting sqref="H24">
    <cfRule type="cellIs" dxfId="221" priority="153" stopIfTrue="1" operator="equal">
      <formula>"Pode ser visitado"</formula>
    </cfRule>
  </conditionalFormatting>
  <conditionalFormatting sqref="H24">
    <cfRule type="cellIs" dxfId="220" priority="154" stopIfTrue="1" operator="equal">
      <formula>"Não visite"</formula>
    </cfRule>
  </conditionalFormatting>
  <conditionalFormatting sqref="I24">
    <cfRule type="cellIs" dxfId="219" priority="155" stopIfTrue="1" operator="greaterThan">
      <formula>G24-F24 + 0.0001</formula>
    </cfRule>
  </conditionalFormatting>
  <conditionalFormatting sqref="A25">
    <cfRule type="expression" dxfId="218" priority="156" stopIfTrue="1">
      <formula>ISBLANK(A25)</formula>
    </cfRule>
  </conditionalFormatting>
  <conditionalFormatting sqref="B25">
    <cfRule type="expression" dxfId="217" priority="157" stopIfTrue="1">
      <formula>ISBLANK(B25)</formula>
    </cfRule>
  </conditionalFormatting>
  <conditionalFormatting sqref="F25">
    <cfRule type="cellIs" dxfId="216" priority="158" stopIfTrue="1" operator="greaterThan">
      <formula>G25-$I$25</formula>
    </cfRule>
  </conditionalFormatting>
  <conditionalFormatting sqref="G25">
    <cfRule type="cellIs" dxfId="215" priority="159" stopIfTrue="1" operator="lessThan">
      <formula>F25+$I$25</formula>
    </cfRule>
  </conditionalFormatting>
  <conditionalFormatting sqref="H25">
    <cfRule type="cellIs" dxfId="214" priority="160" stopIfTrue="1" operator="equal">
      <formula>"Pode ser visitado"</formula>
    </cfRule>
  </conditionalFormatting>
  <conditionalFormatting sqref="H25">
    <cfRule type="cellIs" dxfId="213" priority="161" stopIfTrue="1" operator="equal">
      <formula>"Não visite"</formula>
    </cfRule>
  </conditionalFormatting>
  <conditionalFormatting sqref="I25">
    <cfRule type="cellIs" dxfId="212" priority="162" stopIfTrue="1" operator="greaterThan">
      <formula>G25-F25 + 0.0001</formula>
    </cfRule>
  </conditionalFormatting>
  <conditionalFormatting sqref="A26">
    <cfRule type="expression" dxfId="211" priority="163" stopIfTrue="1">
      <formula>ISBLANK(A26)</formula>
    </cfRule>
  </conditionalFormatting>
  <conditionalFormatting sqref="B26">
    <cfRule type="expression" dxfId="210" priority="164" stopIfTrue="1">
      <formula>ISBLANK(B26)</formula>
    </cfRule>
  </conditionalFormatting>
  <conditionalFormatting sqref="F26">
    <cfRule type="cellIs" dxfId="209" priority="165" stopIfTrue="1" operator="greaterThan">
      <formula>G26-$I$26</formula>
    </cfRule>
  </conditionalFormatting>
  <conditionalFormatting sqref="G26">
    <cfRule type="cellIs" dxfId="208" priority="166" stopIfTrue="1" operator="lessThan">
      <formula>F26+$I$26</formula>
    </cfRule>
  </conditionalFormatting>
  <conditionalFormatting sqref="H26">
    <cfRule type="cellIs" dxfId="207" priority="167" stopIfTrue="1" operator="equal">
      <formula>"Pode ser visitado"</formula>
    </cfRule>
  </conditionalFormatting>
  <conditionalFormatting sqref="H26">
    <cfRule type="cellIs" dxfId="206" priority="168" stopIfTrue="1" operator="equal">
      <formula>"Não visite"</formula>
    </cfRule>
  </conditionalFormatting>
  <conditionalFormatting sqref="I26">
    <cfRule type="cellIs" dxfId="205" priority="169" stopIfTrue="1" operator="greaterThan">
      <formula>G26-F26 + 0.0001</formula>
    </cfRule>
  </conditionalFormatting>
  <conditionalFormatting sqref="A27">
    <cfRule type="expression" dxfId="204" priority="170" stopIfTrue="1">
      <formula>ISBLANK(A27)</formula>
    </cfRule>
  </conditionalFormatting>
  <conditionalFormatting sqref="B27">
    <cfRule type="expression" dxfId="203" priority="171" stopIfTrue="1">
      <formula>ISBLANK(B27)</formula>
    </cfRule>
  </conditionalFormatting>
  <conditionalFormatting sqref="F27">
    <cfRule type="cellIs" dxfId="202" priority="172" stopIfTrue="1" operator="greaterThan">
      <formula>G27-$I$27</formula>
    </cfRule>
  </conditionalFormatting>
  <conditionalFormatting sqref="G27">
    <cfRule type="cellIs" dxfId="201" priority="173" stopIfTrue="1" operator="lessThan">
      <formula>F27+$I$27</formula>
    </cfRule>
  </conditionalFormatting>
  <conditionalFormatting sqref="H27">
    <cfRule type="cellIs" dxfId="200" priority="174" stopIfTrue="1" operator="equal">
      <formula>"Pode ser visitado"</formula>
    </cfRule>
  </conditionalFormatting>
  <conditionalFormatting sqref="H27">
    <cfRule type="cellIs" dxfId="199" priority="175" stopIfTrue="1" operator="equal">
      <formula>"Não visite"</formula>
    </cfRule>
  </conditionalFormatting>
  <conditionalFormatting sqref="I27">
    <cfRule type="cellIs" dxfId="198" priority="176" stopIfTrue="1" operator="greaterThan">
      <formula>G27-F27 + 0.0001</formula>
    </cfRule>
  </conditionalFormatting>
  <conditionalFormatting sqref="A28">
    <cfRule type="expression" dxfId="197" priority="177" stopIfTrue="1">
      <formula>ISBLANK(A28)</formula>
    </cfRule>
  </conditionalFormatting>
  <conditionalFormatting sqref="B28">
    <cfRule type="expression" dxfId="196" priority="178" stopIfTrue="1">
      <formula>ISBLANK(B28)</formula>
    </cfRule>
  </conditionalFormatting>
  <conditionalFormatting sqref="F28">
    <cfRule type="cellIs" dxfId="195" priority="179" stopIfTrue="1" operator="greaterThan">
      <formula>G28-$I$28</formula>
    </cfRule>
  </conditionalFormatting>
  <conditionalFormatting sqref="G28">
    <cfRule type="cellIs" dxfId="194" priority="180" stopIfTrue="1" operator="lessThan">
      <formula>F28+$I$28</formula>
    </cfRule>
  </conditionalFormatting>
  <conditionalFormatting sqref="H28">
    <cfRule type="cellIs" dxfId="193" priority="181" stopIfTrue="1" operator="equal">
      <formula>"Pode ser visitado"</formula>
    </cfRule>
  </conditionalFormatting>
  <conditionalFormatting sqref="H28">
    <cfRule type="cellIs" dxfId="192" priority="182" stopIfTrue="1" operator="equal">
      <formula>"Não visite"</formula>
    </cfRule>
  </conditionalFormatting>
  <conditionalFormatting sqref="I28">
    <cfRule type="cellIs" dxfId="191" priority="183" stopIfTrue="1" operator="greaterThan">
      <formula>G28-F28 + 0.0001</formula>
    </cfRule>
  </conditionalFormatting>
  <conditionalFormatting sqref="A29">
    <cfRule type="expression" dxfId="190" priority="184" stopIfTrue="1">
      <formula>ISBLANK(A29)</formula>
    </cfRule>
  </conditionalFormatting>
  <conditionalFormatting sqref="B29">
    <cfRule type="expression" dxfId="189" priority="185" stopIfTrue="1">
      <formula>ISBLANK(B29)</formula>
    </cfRule>
  </conditionalFormatting>
  <conditionalFormatting sqref="F29">
    <cfRule type="cellIs" dxfId="188" priority="186" stopIfTrue="1" operator="greaterThan">
      <formula>G29-$I$29</formula>
    </cfRule>
  </conditionalFormatting>
  <conditionalFormatting sqref="G29">
    <cfRule type="cellIs" dxfId="187" priority="187" stopIfTrue="1" operator="lessThan">
      <formula>F29+$I$29</formula>
    </cfRule>
  </conditionalFormatting>
  <conditionalFormatting sqref="H29">
    <cfRule type="cellIs" dxfId="186" priority="188" stopIfTrue="1" operator="equal">
      <formula>"Pode ser visitado"</formula>
    </cfRule>
  </conditionalFormatting>
  <conditionalFormatting sqref="H29">
    <cfRule type="cellIs" dxfId="185" priority="189" stopIfTrue="1" operator="equal">
      <formula>"Não visite"</formula>
    </cfRule>
  </conditionalFormatting>
  <conditionalFormatting sqref="I29">
    <cfRule type="cellIs" dxfId="184" priority="190" stopIfTrue="1" operator="greaterThan">
      <formula>G29-F29 + 0.0001</formula>
    </cfRule>
  </conditionalFormatting>
  <conditionalFormatting sqref="A30">
    <cfRule type="expression" dxfId="183" priority="191" stopIfTrue="1">
      <formula>ISBLANK(A30)</formula>
    </cfRule>
  </conditionalFormatting>
  <conditionalFormatting sqref="B30">
    <cfRule type="expression" dxfId="182" priority="192" stopIfTrue="1">
      <formula>ISBLANK(B30)</formula>
    </cfRule>
  </conditionalFormatting>
  <conditionalFormatting sqref="F30">
    <cfRule type="cellIs" dxfId="181" priority="193" stopIfTrue="1" operator="greaterThan">
      <formula>G30-$I$30</formula>
    </cfRule>
  </conditionalFormatting>
  <conditionalFormatting sqref="G30">
    <cfRule type="cellIs" dxfId="180" priority="194" stopIfTrue="1" operator="lessThan">
      <formula>F30+$I$30</formula>
    </cfRule>
  </conditionalFormatting>
  <conditionalFormatting sqref="H30">
    <cfRule type="cellIs" dxfId="179" priority="195" stopIfTrue="1" operator="equal">
      <formula>"Pode ser visitado"</formula>
    </cfRule>
  </conditionalFormatting>
  <conditionalFormatting sqref="H30">
    <cfRule type="cellIs" dxfId="178" priority="196" stopIfTrue="1" operator="equal">
      <formula>"Não visite"</formula>
    </cfRule>
  </conditionalFormatting>
  <conditionalFormatting sqref="I30">
    <cfRule type="cellIs" dxfId="177" priority="197" stopIfTrue="1" operator="greaterThan">
      <formula>G30-F30 + 0.0001</formula>
    </cfRule>
  </conditionalFormatting>
  <conditionalFormatting sqref="A31">
    <cfRule type="expression" dxfId="176" priority="198" stopIfTrue="1">
      <formula>ISBLANK(A31)</formula>
    </cfRule>
  </conditionalFormatting>
  <conditionalFormatting sqref="B31">
    <cfRule type="expression" dxfId="175" priority="199" stopIfTrue="1">
      <formula>ISBLANK(B31)</formula>
    </cfRule>
  </conditionalFormatting>
  <conditionalFormatting sqref="F31">
    <cfRule type="cellIs" dxfId="174" priority="200" stopIfTrue="1" operator="greaterThan">
      <formula>G31-$I$31</formula>
    </cfRule>
  </conditionalFormatting>
  <conditionalFormatting sqref="G31">
    <cfRule type="cellIs" dxfId="173" priority="201" stopIfTrue="1" operator="lessThan">
      <formula>F31+$I$31</formula>
    </cfRule>
  </conditionalFormatting>
  <conditionalFormatting sqref="H31">
    <cfRule type="cellIs" dxfId="172" priority="202" stopIfTrue="1" operator="equal">
      <formula>"Pode ser visitado"</formula>
    </cfRule>
  </conditionalFormatting>
  <conditionalFormatting sqref="H31">
    <cfRule type="cellIs" dxfId="171" priority="203" stopIfTrue="1" operator="equal">
      <formula>"Não visite"</formula>
    </cfRule>
  </conditionalFormatting>
  <conditionalFormatting sqref="I31">
    <cfRule type="cellIs" dxfId="170" priority="204" stopIfTrue="1" operator="greaterThan">
      <formula>G31-F31 + 0.0001</formula>
    </cfRule>
  </conditionalFormatting>
  <conditionalFormatting sqref="A32">
    <cfRule type="expression" dxfId="169" priority="205" stopIfTrue="1">
      <formula>ISBLANK(A32)</formula>
    </cfRule>
  </conditionalFormatting>
  <conditionalFormatting sqref="B32">
    <cfRule type="expression" dxfId="168" priority="206" stopIfTrue="1">
      <formula>ISBLANK(B32)</formula>
    </cfRule>
  </conditionalFormatting>
  <conditionalFormatting sqref="F32">
    <cfRule type="cellIs" dxfId="167" priority="207" stopIfTrue="1" operator="greaterThan">
      <formula>G32-$I$32</formula>
    </cfRule>
  </conditionalFormatting>
  <conditionalFormatting sqref="G32">
    <cfRule type="cellIs" dxfId="166" priority="208" stopIfTrue="1" operator="lessThan">
      <formula>F32+$I$32</formula>
    </cfRule>
  </conditionalFormatting>
  <conditionalFormatting sqref="H32">
    <cfRule type="cellIs" dxfId="165" priority="209" stopIfTrue="1" operator="equal">
      <formula>"Pode ser visitado"</formula>
    </cfRule>
  </conditionalFormatting>
  <conditionalFormatting sqref="H32">
    <cfRule type="cellIs" dxfId="164" priority="210" stopIfTrue="1" operator="equal">
      <formula>"Não visite"</formula>
    </cfRule>
  </conditionalFormatting>
  <conditionalFormatting sqref="I32">
    <cfRule type="cellIs" dxfId="163" priority="211" stopIfTrue="1" operator="greaterThan">
      <formula>G32-F32 + 0.0001</formula>
    </cfRule>
  </conditionalFormatting>
  <conditionalFormatting sqref="A33">
    <cfRule type="expression" dxfId="162" priority="212" stopIfTrue="1">
      <formula>ISBLANK(A33)</formula>
    </cfRule>
  </conditionalFormatting>
  <conditionalFormatting sqref="B33">
    <cfRule type="expression" dxfId="161" priority="213" stopIfTrue="1">
      <formula>ISBLANK(B33)</formula>
    </cfRule>
  </conditionalFormatting>
  <conditionalFormatting sqref="F33">
    <cfRule type="cellIs" dxfId="160" priority="214" stopIfTrue="1" operator="greaterThan">
      <formula>G33-$I$33</formula>
    </cfRule>
  </conditionalFormatting>
  <conditionalFormatting sqref="G33">
    <cfRule type="cellIs" dxfId="159" priority="215" stopIfTrue="1" operator="lessThan">
      <formula>F33+$I$33</formula>
    </cfRule>
  </conditionalFormatting>
  <conditionalFormatting sqref="H33">
    <cfRule type="cellIs" dxfId="158" priority="216" stopIfTrue="1" operator="equal">
      <formula>"Pode ser visitado"</formula>
    </cfRule>
  </conditionalFormatting>
  <conditionalFormatting sqref="H33">
    <cfRule type="cellIs" dxfId="157" priority="217" stopIfTrue="1" operator="equal">
      <formula>"Não visite"</formula>
    </cfRule>
  </conditionalFormatting>
  <conditionalFormatting sqref="I33">
    <cfRule type="cellIs" dxfId="156" priority="218" stopIfTrue="1" operator="greaterThan">
      <formula>G33-F33 + 0.0001</formula>
    </cfRule>
  </conditionalFormatting>
  <conditionalFormatting sqref="A34">
    <cfRule type="expression" dxfId="155" priority="219" stopIfTrue="1">
      <formula>ISBLANK(A34)</formula>
    </cfRule>
  </conditionalFormatting>
  <conditionalFormatting sqref="B34">
    <cfRule type="expression" dxfId="154" priority="220" stopIfTrue="1">
      <formula>ISBLANK(B34)</formula>
    </cfRule>
  </conditionalFormatting>
  <conditionalFormatting sqref="F34">
    <cfRule type="cellIs" dxfId="153" priority="221" stopIfTrue="1" operator="greaterThan">
      <formula>G34-$I$34</formula>
    </cfRule>
  </conditionalFormatting>
  <conditionalFormatting sqref="G34">
    <cfRule type="cellIs" dxfId="152" priority="222" stopIfTrue="1" operator="lessThan">
      <formula>F34+$I$34</formula>
    </cfRule>
  </conditionalFormatting>
  <conditionalFormatting sqref="H34">
    <cfRule type="cellIs" dxfId="151" priority="223" stopIfTrue="1" operator="equal">
      <formula>"Pode ser visitado"</formula>
    </cfRule>
  </conditionalFormatting>
  <conditionalFormatting sqref="H34">
    <cfRule type="cellIs" dxfId="150" priority="224" stopIfTrue="1" operator="equal">
      <formula>"Não visite"</formula>
    </cfRule>
  </conditionalFormatting>
  <conditionalFormatting sqref="I34">
    <cfRule type="cellIs" dxfId="149" priority="225" stopIfTrue="1" operator="greaterThan">
      <formula>G34-F34 + 0.0001</formula>
    </cfRule>
  </conditionalFormatting>
  <conditionalFormatting sqref="A35">
    <cfRule type="expression" dxfId="148" priority="226" stopIfTrue="1">
      <formula>ISBLANK(A35)</formula>
    </cfRule>
  </conditionalFormatting>
  <conditionalFormatting sqref="B35">
    <cfRule type="expression" dxfId="147" priority="227" stopIfTrue="1">
      <formula>ISBLANK(B35)</formula>
    </cfRule>
  </conditionalFormatting>
  <conditionalFormatting sqref="F35">
    <cfRule type="cellIs" dxfId="146" priority="228" stopIfTrue="1" operator="greaterThan">
      <formula>G35-$I$35</formula>
    </cfRule>
  </conditionalFormatting>
  <conditionalFormatting sqref="G35">
    <cfRule type="cellIs" dxfId="145" priority="229" stopIfTrue="1" operator="lessThan">
      <formula>F35+$I$35</formula>
    </cfRule>
  </conditionalFormatting>
  <conditionalFormatting sqref="H35">
    <cfRule type="cellIs" dxfId="144" priority="230" stopIfTrue="1" operator="equal">
      <formula>"Pode ser visitado"</formula>
    </cfRule>
  </conditionalFormatting>
  <conditionalFormatting sqref="H35">
    <cfRule type="cellIs" dxfId="143" priority="231" stopIfTrue="1" operator="equal">
      <formula>"Não visite"</formula>
    </cfRule>
  </conditionalFormatting>
  <conditionalFormatting sqref="I35">
    <cfRule type="cellIs" dxfId="142" priority="232" stopIfTrue="1" operator="greaterThan">
      <formula>G35-F35 + 0.0001</formula>
    </cfRule>
  </conditionalFormatting>
  <conditionalFormatting sqref="A36">
    <cfRule type="expression" dxfId="141" priority="233" stopIfTrue="1">
      <formula>ISBLANK(A36)</formula>
    </cfRule>
  </conditionalFormatting>
  <conditionalFormatting sqref="B36">
    <cfRule type="expression" dxfId="140" priority="234" stopIfTrue="1">
      <formula>ISBLANK(B36)</formula>
    </cfRule>
  </conditionalFormatting>
  <conditionalFormatting sqref="F36">
    <cfRule type="cellIs" dxfId="139" priority="235" stopIfTrue="1" operator="greaterThan">
      <formula>G36-$I$36</formula>
    </cfRule>
  </conditionalFormatting>
  <conditionalFormatting sqref="G36">
    <cfRule type="cellIs" dxfId="138" priority="236" stopIfTrue="1" operator="lessThan">
      <formula>F36+$I$36</formula>
    </cfRule>
  </conditionalFormatting>
  <conditionalFormatting sqref="H36">
    <cfRule type="cellIs" dxfId="137" priority="237" stopIfTrue="1" operator="equal">
      <formula>"Pode ser visitado"</formula>
    </cfRule>
  </conditionalFormatting>
  <conditionalFormatting sqref="H36">
    <cfRule type="cellIs" dxfId="136" priority="238" stopIfTrue="1" operator="equal">
      <formula>"Não visite"</formula>
    </cfRule>
  </conditionalFormatting>
  <conditionalFormatting sqref="I36">
    <cfRule type="cellIs" dxfId="135" priority="239" stopIfTrue="1" operator="greaterThan">
      <formula>G36-F36 + 0.0001</formula>
    </cfRule>
  </conditionalFormatting>
  <conditionalFormatting sqref="A37">
    <cfRule type="expression" dxfId="134" priority="240" stopIfTrue="1">
      <formula>ISBLANK(A37)</formula>
    </cfRule>
  </conditionalFormatting>
  <conditionalFormatting sqref="B37">
    <cfRule type="expression" dxfId="133" priority="241" stopIfTrue="1">
      <formula>ISBLANK(B37)</formula>
    </cfRule>
  </conditionalFormatting>
  <conditionalFormatting sqref="F37">
    <cfRule type="cellIs" dxfId="132" priority="242" stopIfTrue="1" operator="greaterThan">
      <formula>G37-$I$37</formula>
    </cfRule>
  </conditionalFormatting>
  <conditionalFormatting sqref="G37">
    <cfRule type="cellIs" dxfId="131" priority="243" stopIfTrue="1" operator="lessThan">
      <formula>F37+$I$37</formula>
    </cfRule>
  </conditionalFormatting>
  <conditionalFormatting sqref="H37">
    <cfRule type="cellIs" dxfId="130" priority="244" stopIfTrue="1" operator="equal">
      <formula>"Pode ser visitado"</formula>
    </cfRule>
  </conditionalFormatting>
  <conditionalFormatting sqref="H37">
    <cfRule type="cellIs" dxfId="129" priority="245" stopIfTrue="1" operator="equal">
      <formula>"Não visite"</formula>
    </cfRule>
  </conditionalFormatting>
  <conditionalFormatting sqref="I37">
    <cfRule type="cellIs" dxfId="128" priority="246" stopIfTrue="1" operator="greaterThan">
      <formula>G37-F37 + 0.0001</formula>
    </cfRule>
  </conditionalFormatting>
  <conditionalFormatting sqref="A38">
    <cfRule type="expression" dxfId="127" priority="247" stopIfTrue="1">
      <formula>ISBLANK(A38)</formula>
    </cfRule>
  </conditionalFormatting>
  <conditionalFormatting sqref="B38">
    <cfRule type="expression" dxfId="126" priority="248" stopIfTrue="1">
      <formula>ISBLANK(B38)</formula>
    </cfRule>
  </conditionalFormatting>
  <conditionalFormatting sqref="F38">
    <cfRule type="cellIs" dxfId="125" priority="249" stopIfTrue="1" operator="greaterThan">
      <formula>G38-$I$38</formula>
    </cfRule>
  </conditionalFormatting>
  <conditionalFormatting sqref="G38">
    <cfRule type="cellIs" dxfId="124" priority="250" stopIfTrue="1" operator="lessThan">
      <formula>F38+$I$38</formula>
    </cfRule>
  </conditionalFormatting>
  <conditionalFormatting sqref="H38">
    <cfRule type="cellIs" dxfId="123" priority="251" stopIfTrue="1" operator="equal">
      <formula>"Pode ser visitado"</formula>
    </cfRule>
  </conditionalFormatting>
  <conditionalFormatting sqref="H38">
    <cfRule type="cellIs" dxfId="122" priority="252" stopIfTrue="1" operator="equal">
      <formula>"Não visite"</formula>
    </cfRule>
  </conditionalFormatting>
  <conditionalFormatting sqref="I38">
    <cfRule type="cellIs" dxfId="121" priority="253" stopIfTrue="1" operator="greaterThan">
      <formula>G38-F38 + 0.0001</formula>
    </cfRule>
  </conditionalFormatting>
  <conditionalFormatting sqref="A39">
    <cfRule type="expression" dxfId="120" priority="254" stopIfTrue="1">
      <formula>ISBLANK(A39)</formula>
    </cfRule>
  </conditionalFormatting>
  <conditionalFormatting sqref="B39">
    <cfRule type="expression" dxfId="119" priority="255" stopIfTrue="1">
      <formula>ISBLANK(B39)</formula>
    </cfRule>
  </conditionalFormatting>
  <conditionalFormatting sqref="F39">
    <cfRule type="cellIs" dxfId="118" priority="256" stopIfTrue="1" operator="greaterThan">
      <formula>G39-$I$39</formula>
    </cfRule>
  </conditionalFormatting>
  <conditionalFormatting sqref="G39">
    <cfRule type="cellIs" dxfId="117" priority="257" stopIfTrue="1" operator="lessThan">
      <formula>F39+$I$39</formula>
    </cfRule>
  </conditionalFormatting>
  <conditionalFormatting sqref="H39">
    <cfRule type="cellIs" dxfId="116" priority="258" stopIfTrue="1" operator="equal">
      <formula>"Pode ser visitado"</formula>
    </cfRule>
  </conditionalFormatting>
  <conditionalFormatting sqref="H39">
    <cfRule type="cellIs" dxfId="115" priority="259" stopIfTrue="1" operator="equal">
      <formula>"Não visite"</formula>
    </cfRule>
  </conditionalFormatting>
  <conditionalFormatting sqref="I39">
    <cfRule type="cellIs" dxfId="114" priority="260" stopIfTrue="1" operator="greaterThan">
      <formula>G39-F39 + 0.0001</formula>
    </cfRule>
  </conditionalFormatting>
  <conditionalFormatting sqref="A40">
    <cfRule type="expression" dxfId="113" priority="261" stopIfTrue="1">
      <formula>ISBLANK(A40)</formula>
    </cfRule>
  </conditionalFormatting>
  <conditionalFormatting sqref="B40">
    <cfRule type="expression" dxfId="112" priority="262" stopIfTrue="1">
      <formula>ISBLANK(B40)</formula>
    </cfRule>
  </conditionalFormatting>
  <conditionalFormatting sqref="F40">
    <cfRule type="cellIs" dxfId="111" priority="263" stopIfTrue="1" operator="greaterThan">
      <formula>G40-$I$40</formula>
    </cfRule>
  </conditionalFormatting>
  <conditionalFormatting sqref="G40">
    <cfRule type="cellIs" dxfId="110" priority="264" stopIfTrue="1" operator="lessThan">
      <formula>F40+$I$40</formula>
    </cfRule>
  </conditionalFormatting>
  <conditionalFormatting sqref="H40">
    <cfRule type="cellIs" dxfId="109" priority="265" stopIfTrue="1" operator="equal">
      <formula>"Pode ser visitado"</formula>
    </cfRule>
  </conditionalFormatting>
  <conditionalFormatting sqref="H40">
    <cfRule type="cellIs" dxfId="108" priority="266" stopIfTrue="1" operator="equal">
      <formula>"Não visite"</formula>
    </cfRule>
  </conditionalFormatting>
  <conditionalFormatting sqref="I40">
    <cfRule type="cellIs" dxfId="107" priority="267" stopIfTrue="1" operator="greaterThan">
      <formula>G40-F40 + 0.0001</formula>
    </cfRule>
  </conditionalFormatting>
  <conditionalFormatting sqref="A41">
    <cfRule type="expression" dxfId="106" priority="268" stopIfTrue="1">
      <formula>ISBLANK(A41)</formula>
    </cfRule>
  </conditionalFormatting>
  <conditionalFormatting sqref="B41">
    <cfRule type="expression" dxfId="105" priority="269" stopIfTrue="1">
      <formula>ISBLANK(B41)</formula>
    </cfRule>
  </conditionalFormatting>
  <conditionalFormatting sqref="F41">
    <cfRule type="cellIs" dxfId="104" priority="270" stopIfTrue="1" operator="greaterThan">
      <formula>G41-$I$41</formula>
    </cfRule>
  </conditionalFormatting>
  <conditionalFormatting sqref="G41">
    <cfRule type="cellIs" dxfId="103" priority="271" stopIfTrue="1" operator="lessThan">
      <formula>F41+$I$41</formula>
    </cfRule>
  </conditionalFormatting>
  <conditionalFormatting sqref="H41">
    <cfRule type="cellIs" dxfId="102" priority="272" stopIfTrue="1" operator="equal">
      <formula>"Pode ser visitado"</formula>
    </cfRule>
  </conditionalFormatting>
  <conditionalFormatting sqref="H41">
    <cfRule type="cellIs" dxfId="101" priority="273" stopIfTrue="1" operator="equal">
      <formula>"Não visite"</formula>
    </cfRule>
  </conditionalFormatting>
  <conditionalFormatting sqref="I41">
    <cfRule type="cellIs" dxfId="100" priority="274" stopIfTrue="1" operator="greaterThan">
      <formula>G41-F41 + 0.0001</formula>
    </cfRule>
  </conditionalFormatting>
  <conditionalFormatting sqref="A42">
    <cfRule type="expression" dxfId="99" priority="275" stopIfTrue="1">
      <formula>ISBLANK(A42)</formula>
    </cfRule>
  </conditionalFormatting>
  <conditionalFormatting sqref="B42">
    <cfRule type="expression" dxfId="98" priority="276" stopIfTrue="1">
      <formula>ISBLANK(B42)</formula>
    </cfRule>
  </conditionalFormatting>
  <conditionalFormatting sqref="F42">
    <cfRule type="cellIs" dxfId="97" priority="277" stopIfTrue="1" operator="greaterThan">
      <formula>G42-$I$42</formula>
    </cfRule>
  </conditionalFormatting>
  <conditionalFormatting sqref="G42">
    <cfRule type="cellIs" dxfId="96" priority="278" stopIfTrue="1" operator="lessThan">
      <formula>F42+$I$42</formula>
    </cfRule>
  </conditionalFormatting>
  <conditionalFormatting sqref="H42">
    <cfRule type="cellIs" dxfId="95" priority="279" stopIfTrue="1" operator="equal">
      <formula>"Pode ser visitado"</formula>
    </cfRule>
  </conditionalFormatting>
  <conditionalFormatting sqref="H42">
    <cfRule type="cellIs" dxfId="94" priority="280" stopIfTrue="1" operator="equal">
      <formula>"Não visite"</formula>
    </cfRule>
  </conditionalFormatting>
  <conditionalFormatting sqref="I42">
    <cfRule type="cellIs" dxfId="93" priority="281" stopIfTrue="1" operator="greaterThan">
      <formula>G42-F42 + 0.0001</formula>
    </cfRule>
  </conditionalFormatting>
  <conditionalFormatting sqref="A43">
    <cfRule type="expression" dxfId="92" priority="282" stopIfTrue="1">
      <formula>ISBLANK(A43)</formula>
    </cfRule>
  </conditionalFormatting>
  <conditionalFormatting sqref="B43">
    <cfRule type="expression" dxfId="91" priority="283" stopIfTrue="1">
      <formula>ISBLANK(B43)</formula>
    </cfRule>
  </conditionalFormatting>
  <conditionalFormatting sqref="F43">
    <cfRule type="cellIs" dxfId="90" priority="284" stopIfTrue="1" operator="greaterThan">
      <formula>G43-$I$43</formula>
    </cfRule>
  </conditionalFormatting>
  <conditionalFormatting sqref="G43">
    <cfRule type="cellIs" dxfId="89" priority="285" stopIfTrue="1" operator="lessThan">
      <formula>F43+$I$43</formula>
    </cfRule>
  </conditionalFormatting>
  <conditionalFormatting sqref="H43">
    <cfRule type="cellIs" dxfId="88" priority="286" stopIfTrue="1" operator="equal">
      <formula>"Pode ser visitado"</formula>
    </cfRule>
  </conditionalFormatting>
  <conditionalFormatting sqref="H43">
    <cfRule type="cellIs" dxfId="87" priority="287" stopIfTrue="1" operator="equal">
      <formula>"Não visite"</formula>
    </cfRule>
  </conditionalFormatting>
  <conditionalFormatting sqref="I43">
    <cfRule type="cellIs" dxfId="86" priority="288" stopIfTrue="1" operator="greaterThan">
      <formula>G43-F43 + 0.0001</formula>
    </cfRule>
  </conditionalFormatting>
  <conditionalFormatting sqref="A44">
    <cfRule type="expression" dxfId="85" priority="289" stopIfTrue="1">
      <formula>ISBLANK(A44)</formula>
    </cfRule>
  </conditionalFormatting>
  <conditionalFormatting sqref="B44">
    <cfRule type="expression" dxfId="84" priority="290" stopIfTrue="1">
      <formula>ISBLANK(B44)</formula>
    </cfRule>
  </conditionalFormatting>
  <conditionalFormatting sqref="F44">
    <cfRule type="cellIs" dxfId="83" priority="291" stopIfTrue="1" operator="greaterThan">
      <formula>G44-$I$44</formula>
    </cfRule>
  </conditionalFormatting>
  <conditionalFormatting sqref="G44">
    <cfRule type="cellIs" dxfId="82" priority="292" stopIfTrue="1" operator="lessThan">
      <formula>F44+$I$44</formula>
    </cfRule>
  </conditionalFormatting>
  <conditionalFormatting sqref="H44">
    <cfRule type="cellIs" dxfId="81" priority="293" stopIfTrue="1" operator="equal">
      <formula>"Pode ser visitado"</formula>
    </cfRule>
  </conditionalFormatting>
  <conditionalFormatting sqref="H44">
    <cfRule type="cellIs" dxfId="80" priority="294" stopIfTrue="1" operator="equal">
      <formula>"Não visite"</formula>
    </cfRule>
  </conditionalFormatting>
  <conditionalFormatting sqref="I44">
    <cfRule type="cellIs" dxfId="79" priority="295" stopIfTrue="1" operator="greaterThan">
      <formula>G44-F44 + 0.0001</formula>
    </cfRule>
  </conditionalFormatting>
  <conditionalFormatting sqref="A45">
    <cfRule type="expression" dxfId="78" priority="296" stopIfTrue="1">
      <formula>ISBLANK(A45)</formula>
    </cfRule>
  </conditionalFormatting>
  <conditionalFormatting sqref="B45">
    <cfRule type="expression" dxfId="77" priority="297" stopIfTrue="1">
      <formula>ISBLANK(B45)</formula>
    </cfRule>
  </conditionalFormatting>
  <conditionalFormatting sqref="F45">
    <cfRule type="cellIs" dxfId="76" priority="298" stopIfTrue="1" operator="greaterThan">
      <formula>G45-$I$45</formula>
    </cfRule>
  </conditionalFormatting>
  <conditionalFormatting sqref="G45">
    <cfRule type="cellIs" dxfId="75" priority="299" stopIfTrue="1" operator="lessThan">
      <formula>F45+$I$45</formula>
    </cfRule>
  </conditionalFormatting>
  <conditionalFormatting sqref="H45">
    <cfRule type="cellIs" dxfId="74" priority="300" stopIfTrue="1" operator="equal">
      <formula>"Pode ser visitado"</formula>
    </cfRule>
  </conditionalFormatting>
  <conditionalFormatting sqref="H45">
    <cfRule type="cellIs" dxfId="73" priority="301" stopIfTrue="1" operator="equal">
      <formula>"Não visite"</formula>
    </cfRule>
  </conditionalFormatting>
  <conditionalFormatting sqref="I45">
    <cfRule type="cellIs" dxfId="72" priority="302" stopIfTrue="1" operator="greaterThan">
      <formula>G45-F45 + 0.0001</formula>
    </cfRule>
  </conditionalFormatting>
  <conditionalFormatting sqref="A46">
    <cfRule type="expression" dxfId="71" priority="303" stopIfTrue="1">
      <formula>ISBLANK(A46)</formula>
    </cfRule>
  </conditionalFormatting>
  <conditionalFormatting sqref="B46">
    <cfRule type="expression" dxfId="70" priority="304" stopIfTrue="1">
      <formula>ISBLANK(B46)</formula>
    </cfRule>
  </conditionalFormatting>
  <conditionalFormatting sqref="F46">
    <cfRule type="cellIs" dxfId="69" priority="305" stopIfTrue="1" operator="greaterThan">
      <formula>G46-$I$46</formula>
    </cfRule>
  </conditionalFormatting>
  <conditionalFormatting sqref="G46">
    <cfRule type="cellIs" dxfId="68" priority="306" stopIfTrue="1" operator="lessThan">
      <formula>F46+$I$46</formula>
    </cfRule>
  </conditionalFormatting>
  <conditionalFormatting sqref="H46">
    <cfRule type="cellIs" dxfId="67" priority="307" stopIfTrue="1" operator="equal">
      <formula>"Pode ser visitado"</formula>
    </cfRule>
  </conditionalFormatting>
  <conditionalFormatting sqref="H46">
    <cfRule type="cellIs" dxfId="66" priority="308" stopIfTrue="1" operator="equal">
      <formula>"Não visite"</formula>
    </cfRule>
  </conditionalFormatting>
  <conditionalFormatting sqref="I46">
    <cfRule type="cellIs" dxfId="65" priority="309" stopIfTrue="1" operator="greaterThan">
      <formula>G46-F46 + 0.0001</formula>
    </cfRule>
  </conditionalFormatting>
  <conditionalFormatting sqref="A47">
    <cfRule type="expression" dxfId="64" priority="310" stopIfTrue="1">
      <formula>ISBLANK(A47)</formula>
    </cfRule>
  </conditionalFormatting>
  <conditionalFormatting sqref="B47">
    <cfRule type="expression" dxfId="63" priority="311" stopIfTrue="1">
      <formula>ISBLANK(B47)</formula>
    </cfRule>
  </conditionalFormatting>
  <conditionalFormatting sqref="F47">
    <cfRule type="cellIs" dxfId="62" priority="312" stopIfTrue="1" operator="greaterThan">
      <formula>G47-$I$47</formula>
    </cfRule>
  </conditionalFormatting>
  <conditionalFormatting sqref="G47">
    <cfRule type="cellIs" dxfId="61" priority="313" stopIfTrue="1" operator="lessThan">
      <formula>F47+$I$47</formula>
    </cfRule>
  </conditionalFormatting>
  <conditionalFormatting sqref="H47">
    <cfRule type="cellIs" dxfId="60" priority="314" stopIfTrue="1" operator="equal">
      <formula>"Pode ser visitado"</formula>
    </cfRule>
  </conditionalFormatting>
  <conditionalFormatting sqref="H47">
    <cfRule type="cellIs" dxfId="59" priority="315" stopIfTrue="1" operator="equal">
      <formula>"Não visite"</formula>
    </cfRule>
  </conditionalFormatting>
  <conditionalFormatting sqref="I47">
    <cfRule type="cellIs" dxfId="58" priority="316" stopIfTrue="1" operator="greaterThan">
      <formula>G47-F47 + 0.0001</formula>
    </cfRule>
  </conditionalFormatting>
  <conditionalFormatting sqref="A48">
    <cfRule type="expression" dxfId="57" priority="317" stopIfTrue="1">
      <formula>ISBLANK(A48)</formula>
    </cfRule>
  </conditionalFormatting>
  <conditionalFormatting sqref="B48">
    <cfRule type="expression" dxfId="56" priority="318" stopIfTrue="1">
      <formula>ISBLANK(B48)</formula>
    </cfRule>
  </conditionalFormatting>
  <conditionalFormatting sqref="F48">
    <cfRule type="cellIs" dxfId="55" priority="319" stopIfTrue="1" operator="greaterThan">
      <formula>G48-$I$48</formula>
    </cfRule>
  </conditionalFormatting>
  <conditionalFormatting sqref="G48">
    <cfRule type="cellIs" dxfId="54" priority="320" stopIfTrue="1" operator="lessThan">
      <formula>F48+$I$48</formula>
    </cfRule>
  </conditionalFormatting>
  <conditionalFormatting sqref="H48">
    <cfRule type="cellIs" dxfId="53" priority="321" stopIfTrue="1" operator="equal">
      <formula>"Pode ser visitado"</formula>
    </cfRule>
  </conditionalFormatting>
  <conditionalFormatting sqref="H48">
    <cfRule type="cellIs" dxfId="52" priority="322" stopIfTrue="1" operator="equal">
      <formula>"Não visite"</formula>
    </cfRule>
  </conditionalFormatting>
  <conditionalFormatting sqref="I48">
    <cfRule type="cellIs" dxfId="51" priority="323" stopIfTrue="1" operator="greaterThan">
      <formula>G48-F48 + 0.0001</formula>
    </cfRule>
  </conditionalFormatting>
  <conditionalFormatting sqref="A49">
    <cfRule type="expression" dxfId="50" priority="324" stopIfTrue="1">
      <formula>ISBLANK(A49)</formula>
    </cfRule>
  </conditionalFormatting>
  <conditionalFormatting sqref="B49">
    <cfRule type="expression" dxfId="49" priority="325" stopIfTrue="1">
      <formula>ISBLANK(B49)</formula>
    </cfRule>
  </conditionalFormatting>
  <conditionalFormatting sqref="F49">
    <cfRule type="cellIs" dxfId="48" priority="326" stopIfTrue="1" operator="greaterThan">
      <formula>G49-$I$49</formula>
    </cfRule>
  </conditionalFormatting>
  <conditionalFormatting sqref="G49">
    <cfRule type="cellIs" dxfId="47" priority="327" stopIfTrue="1" operator="lessThan">
      <formula>F49+$I$49</formula>
    </cfRule>
  </conditionalFormatting>
  <conditionalFormatting sqref="H49">
    <cfRule type="cellIs" dxfId="46" priority="328" stopIfTrue="1" operator="equal">
      <formula>"Pode ser visitado"</formula>
    </cfRule>
  </conditionalFormatting>
  <conditionalFormatting sqref="H49">
    <cfRule type="cellIs" dxfId="45" priority="329" stopIfTrue="1" operator="equal">
      <formula>"Não visite"</formula>
    </cfRule>
  </conditionalFormatting>
  <conditionalFormatting sqref="I49">
    <cfRule type="cellIs" dxfId="44" priority="330" stopIfTrue="1" operator="greaterThan">
      <formula>G49-F49 + 0.0001</formula>
    </cfRule>
  </conditionalFormatting>
  <conditionalFormatting sqref="A50">
    <cfRule type="expression" dxfId="43" priority="331" stopIfTrue="1">
      <formula>ISBLANK(A50)</formula>
    </cfRule>
  </conditionalFormatting>
  <conditionalFormatting sqref="B50">
    <cfRule type="expression" dxfId="42" priority="332" stopIfTrue="1">
      <formula>ISBLANK(B50)</formula>
    </cfRule>
  </conditionalFormatting>
  <conditionalFormatting sqref="F50">
    <cfRule type="cellIs" dxfId="41" priority="333" stopIfTrue="1" operator="greaterThan">
      <formula>G50-$I$50</formula>
    </cfRule>
  </conditionalFormatting>
  <conditionalFormatting sqref="G50">
    <cfRule type="cellIs" dxfId="40" priority="334" stopIfTrue="1" operator="lessThan">
      <formula>F50+$I$50</formula>
    </cfRule>
  </conditionalFormatting>
  <conditionalFormatting sqref="H50">
    <cfRule type="cellIs" dxfId="39" priority="335" stopIfTrue="1" operator="equal">
      <formula>"Pode ser visitado"</formula>
    </cfRule>
  </conditionalFormatting>
  <conditionalFormatting sqref="H50">
    <cfRule type="cellIs" dxfId="38" priority="336" stopIfTrue="1" operator="equal">
      <formula>"Não visite"</formula>
    </cfRule>
  </conditionalFormatting>
  <conditionalFormatting sqref="I50">
    <cfRule type="cellIs" dxfId="37" priority="337" stopIfTrue="1" operator="greaterThan">
      <formula>G50-F50 + 0.0001</formula>
    </cfRule>
  </conditionalFormatting>
  <conditionalFormatting sqref="A51">
    <cfRule type="expression" dxfId="36" priority="338" stopIfTrue="1">
      <formula>ISBLANK(A51)</formula>
    </cfRule>
  </conditionalFormatting>
  <conditionalFormatting sqref="B51">
    <cfRule type="expression" dxfId="35" priority="339" stopIfTrue="1">
      <formula>ISBLANK(B51)</formula>
    </cfRule>
  </conditionalFormatting>
  <conditionalFormatting sqref="F51">
    <cfRule type="cellIs" dxfId="34" priority="340" stopIfTrue="1" operator="greaterThan">
      <formula>G51-$I$51</formula>
    </cfRule>
  </conditionalFormatting>
  <conditionalFormatting sqref="G51">
    <cfRule type="cellIs" dxfId="33" priority="341" stopIfTrue="1" operator="lessThan">
      <formula>F51+$I$51</formula>
    </cfRule>
  </conditionalFormatting>
  <conditionalFormatting sqref="H51">
    <cfRule type="cellIs" dxfId="32" priority="342" stopIfTrue="1" operator="equal">
      <formula>"Pode ser visitado"</formula>
    </cfRule>
  </conditionalFormatting>
  <conditionalFormatting sqref="H51">
    <cfRule type="cellIs" dxfId="31" priority="343" stopIfTrue="1" operator="equal">
      <formula>"Não visite"</formula>
    </cfRule>
  </conditionalFormatting>
  <conditionalFormatting sqref="I51">
    <cfRule type="cellIs" dxfId="30" priority="344" stopIfTrue="1" operator="greaterThan">
      <formula>G51-F51 + 0.0001</formula>
    </cfRule>
  </conditionalFormatting>
  <conditionalFormatting sqref="A52">
    <cfRule type="expression" dxfId="29" priority="345" stopIfTrue="1">
      <formula>ISBLANK(A52)</formula>
    </cfRule>
  </conditionalFormatting>
  <conditionalFormatting sqref="B52">
    <cfRule type="expression" dxfId="28" priority="346" stopIfTrue="1">
      <formula>ISBLANK(B52)</formula>
    </cfRule>
  </conditionalFormatting>
  <conditionalFormatting sqref="F52">
    <cfRule type="cellIs" dxfId="27" priority="347" stopIfTrue="1" operator="greaterThan">
      <formula>G52-$I$52</formula>
    </cfRule>
  </conditionalFormatting>
  <conditionalFormatting sqref="G52">
    <cfRule type="cellIs" dxfId="26" priority="348" stopIfTrue="1" operator="lessThan">
      <formula>F52+$I$52</formula>
    </cfRule>
  </conditionalFormatting>
  <conditionalFormatting sqref="H52">
    <cfRule type="cellIs" dxfId="25" priority="349" stopIfTrue="1" operator="equal">
      <formula>"Pode ser visitado"</formula>
    </cfRule>
  </conditionalFormatting>
  <conditionalFormatting sqref="H52">
    <cfRule type="cellIs" dxfId="24" priority="350" stopIfTrue="1" operator="equal">
      <formula>"Não visite"</formula>
    </cfRule>
  </conditionalFormatting>
  <conditionalFormatting sqref="I52">
    <cfRule type="cellIs" dxfId="23" priority="351" stopIfTrue="1" operator="greaterThan">
      <formula>G52-F52 + 0.0001</formula>
    </cfRule>
  </conditionalFormatting>
  <conditionalFormatting sqref="A53">
    <cfRule type="expression" dxfId="22" priority="352" stopIfTrue="1">
      <formula>ISBLANK(A53)</formula>
    </cfRule>
  </conditionalFormatting>
  <conditionalFormatting sqref="B53">
    <cfRule type="expression" dxfId="21" priority="353" stopIfTrue="1">
      <formula>ISBLANK(B53)</formula>
    </cfRule>
  </conditionalFormatting>
  <conditionalFormatting sqref="F53">
    <cfRule type="cellIs" dxfId="20" priority="354" stopIfTrue="1" operator="greaterThan">
      <formula>G53-$I$53</formula>
    </cfRule>
  </conditionalFormatting>
  <conditionalFormatting sqref="G53">
    <cfRule type="cellIs" dxfId="19" priority="355" stopIfTrue="1" operator="lessThan">
      <formula>F53+$I$53</formula>
    </cfRule>
  </conditionalFormatting>
  <conditionalFormatting sqref="H53">
    <cfRule type="cellIs" dxfId="18" priority="356" stopIfTrue="1" operator="equal">
      <formula>"Pode ser visitado"</formula>
    </cfRule>
  </conditionalFormatting>
  <conditionalFormatting sqref="H53">
    <cfRule type="cellIs" dxfId="17" priority="357" stopIfTrue="1" operator="equal">
      <formula>"Não visite"</formula>
    </cfRule>
  </conditionalFormatting>
  <conditionalFormatting sqref="I53">
    <cfRule type="cellIs" dxfId="16" priority="358" stopIfTrue="1" operator="greaterThan">
      <formula>G53-F53 + 0.0001</formula>
    </cfRule>
  </conditionalFormatting>
  <conditionalFormatting sqref="A54">
    <cfRule type="expression" dxfId="15" priority="359" stopIfTrue="1">
      <formula>ISBLANK(A54)</formula>
    </cfRule>
  </conditionalFormatting>
  <conditionalFormatting sqref="B54">
    <cfRule type="expression" dxfId="14" priority="360" stopIfTrue="1">
      <formula>ISBLANK(B54)</formula>
    </cfRule>
  </conditionalFormatting>
  <conditionalFormatting sqref="F54">
    <cfRule type="cellIs" dxfId="13" priority="361" stopIfTrue="1" operator="greaterThan">
      <formula>G54-$I$54</formula>
    </cfRule>
  </conditionalFormatting>
  <conditionalFormatting sqref="G54">
    <cfRule type="cellIs" dxfId="12" priority="362" stopIfTrue="1" operator="lessThan">
      <formula>F54+$I$54</formula>
    </cfRule>
  </conditionalFormatting>
  <conditionalFormatting sqref="H54">
    <cfRule type="cellIs" dxfId="11" priority="363" stopIfTrue="1" operator="equal">
      <formula>"Pode ser visitado"</formula>
    </cfRule>
  </conditionalFormatting>
  <conditionalFormatting sqref="H54">
    <cfRule type="cellIs" dxfId="10" priority="364" stopIfTrue="1" operator="equal">
      <formula>"Não visite"</formula>
    </cfRule>
  </conditionalFormatting>
  <conditionalFormatting sqref="I54">
    <cfRule type="cellIs" dxfId="9" priority="365" stopIfTrue="1" operator="greaterThan">
      <formula>G54-F54 + 0.0001</formula>
    </cfRule>
  </conditionalFormatting>
  <conditionalFormatting sqref="A55">
    <cfRule type="expression" dxfId="8" priority="366" stopIfTrue="1">
      <formula>ISBLANK(A55)</formula>
    </cfRule>
  </conditionalFormatting>
  <conditionalFormatting sqref="B55">
    <cfRule type="expression" dxfId="7" priority="367" stopIfTrue="1">
      <formula>ISBLANK(B55)</formula>
    </cfRule>
  </conditionalFormatting>
  <conditionalFormatting sqref="F55">
    <cfRule type="cellIs" dxfId="6" priority="368" stopIfTrue="1" operator="greaterThan">
      <formula>G55-$I$55</formula>
    </cfRule>
  </conditionalFormatting>
  <conditionalFormatting sqref="G55">
    <cfRule type="cellIs" dxfId="5" priority="369" stopIfTrue="1" operator="lessThan">
      <formula>F55+$I$55</formula>
    </cfRule>
  </conditionalFormatting>
  <conditionalFormatting sqref="H55">
    <cfRule type="cellIs" dxfId="4" priority="370" stopIfTrue="1" operator="equal">
      <formula>"Pode ser visitado"</formula>
    </cfRule>
  </conditionalFormatting>
  <conditionalFormatting sqref="H55">
    <cfRule type="cellIs" dxfId="3" priority="371" stopIfTrue="1" operator="equal">
      <formula>"Não visite"</formula>
    </cfRule>
  </conditionalFormatting>
  <conditionalFormatting sqref="I55">
    <cfRule type="cellIs" dxfId="2" priority="372" stopIfTrue="1" operator="greaterThan">
      <formula>G55-F55 + 0.0001</formula>
    </cfRule>
  </conditionalFormatting>
  <conditionalFormatting sqref="J5:J55">
    <cfRule type="cellIs" dxfId="1" priority="373" stopIfTrue="1" operator="lessThan">
      <formula>0</formula>
    </cfRule>
  </conditionalFormatting>
  <conditionalFormatting sqref="B2:B55">
    <cfRule type="duplicateValues" dxfId="0" priority="374"/>
  </conditionalFormatting>
  <dataValidations count="2">
    <dataValidation type="decimal" operator="greaterThan" allowBlank="1" showInputMessage="1" showErrorMessage="1" error="Insira um valor não negativo" sqref="K2:K55" xr:uid="{04262AE9-2639-4BE0-8215-BE127B075030}">
      <formula1>-0.0001</formula1>
    </dataValidation>
    <dataValidation type="list" allowBlank="1" showInputMessage="1" showErrorMessage="1" sqref="H5 H6 H7 H8 H9 H10 H11 H12 H13 H14 H15 H16 H17 H18 H19 H20 H21 H22 H23 H24 H25 H26 H27 H28 H29 H30 H31 H32 H33 H34 H35 H36 H37 H38 H39 H40 H41 H42 H43 H44 H45 H46 H47 H48 H49 H50 H51 H52 H53 H54 H55" xr:uid="{7D73BDB9-C2F8-4161-AD81-13BA0E20C17B}">
      <formula1>"Deve ser visitado,Pode ser visitado,Não visite"</formula1>
    </dataValidation>
  </dataValidations>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1D958-30EA-444B-912C-8394D6DBB312}">
  <dimension ref="A1:AF2918"/>
  <sheetViews>
    <sheetView tabSelected="1" zoomScale="106" zoomScaleNormal="106" workbookViewId="0">
      <selection activeCell="L5" sqref="L5"/>
    </sheetView>
  </sheetViews>
  <sheetFormatPr defaultRowHeight="15" x14ac:dyDescent="0.25"/>
  <cols>
    <col min="1" max="1" width="11.7109375" bestFit="1" customWidth="1"/>
    <col min="2" max="2" width="12" customWidth="1"/>
    <col min="3" max="3" width="9" bestFit="1" customWidth="1"/>
    <col min="4" max="4" width="8.140625" bestFit="1" customWidth="1"/>
    <col min="5" max="5" width="30.85546875" hidden="1" customWidth="1"/>
    <col min="6" max="6" width="32.42578125" hidden="1" customWidth="1"/>
    <col min="7" max="7" width="30.85546875" hidden="1" customWidth="1"/>
    <col min="8" max="8" width="32.42578125" hidden="1" customWidth="1"/>
    <col min="9" max="9" width="30.85546875" hidden="1" customWidth="1"/>
    <col min="10" max="10" width="32.42578125" hidden="1" customWidth="1"/>
    <col min="11" max="11" width="0" hidden="1" customWidth="1"/>
    <col min="12" max="12" width="21.140625" bestFit="1" customWidth="1"/>
    <col min="13" max="13" width="9.140625" customWidth="1"/>
    <col min="14" max="14" width="13.7109375" bestFit="1" customWidth="1"/>
  </cols>
  <sheetData>
    <row r="1" spans="1:32" x14ac:dyDescent="0.25">
      <c r="A1" s="18" t="s">
        <v>890</v>
      </c>
      <c r="B1" s="18" t="s">
        <v>4328</v>
      </c>
      <c r="C1" s="18"/>
      <c r="D1" s="18"/>
      <c r="E1" s="18"/>
      <c r="F1" s="18"/>
      <c r="G1" s="18"/>
      <c r="H1" s="18"/>
      <c r="I1" s="18"/>
      <c r="J1" s="18"/>
    </row>
    <row r="2" spans="1:32" x14ac:dyDescent="0.25">
      <c r="A2" s="18" t="s">
        <v>966</v>
      </c>
      <c r="B2" s="18" t="s">
        <v>1641</v>
      </c>
      <c r="C2" s="18" t="s">
        <v>1119</v>
      </c>
      <c r="D2" s="18" t="s">
        <v>1130</v>
      </c>
      <c r="E2" s="18" t="s">
        <v>4322</v>
      </c>
      <c r="F2" s="18" t="s">
        <v>4323</v>
      </c>
      <c r="G2" s="18" t="s">
        <v>4324</v>
      </c>
      <c r="H2" s="18" t="s">
        <v>4325</v>
      </c>
      <c r="I2" s="18" t="s">
        <v>4326</v>
      </c>
      <c r="J2" s="18" t="s">
        <v>4327</v>
      </c>
      <c r="L2" s="62" t="s">
        <v>4329</v>
      </c>
      <c r="V2" t="s">
        <v>4330</v>
      </c>
      <c r="W2" t="s">
        <v>4331</v>
      </c>
      <c r="X2" t="s">
        <v>4332</v>
      </c>
      <c r="Y2" t="s">
        <v>4333</v>
      </c>
      <c r="Z2" t="s">
        <v>4334</v>
      </c>
      <c r="AA2" t="s">
        <v>4335</v>
      </c>
      <c r="AC2" t="s">
        <v>4343</v>
      </c>
      <c r="AD2" t="s">
        <v>4344</v>
      </c>
      <c r="AE2" t="s">
        <v>4334</v>
      </c>
      <c r="AF2" t="s">
        <v>4335</v>
      </c>
    </row>
    <row r="3" spans="1:32" x14ac:dyDescent="0.25">
      <c r="A3" s="16" t="s">
        <v>4268</v>
      </c>
      <c r="B3" s="16" t="s">
        <v>4268</v>
      </c>
      <c r="C3" s="48">
        <v>0</v>
      </c>
      <c r="D3" s="21">
        <v>0</v>
      </c>
      <c r="E3" s="49">
        <f>'1. Locais'!D2</f>
        <v>-23.251784180000001</v>
      </c>
      <c r="F3" s="49">
        <f>'1. Locais'!E2</f>
        <v>-47.343907899999998</v>
      </c>
      <c r="G3" s="49">
        <f>'1. Locais'!D2</f>
        <v>-23.251784180000001</v>
      </c>
      <c r="H3" s="49">
        <f>'1. Locais'!E2</f>
        <v>-47.343907899999998</v>
      </c>
      <c r="I3" s="49">
        <f>'1. Locais'!D2</f>
        <v>-23.251784180000001</v>
      </c>
      <c r="J3" s="49">
        <f>'1. Locais'!E2</f>
        <v>-47.343907899999998</v>
      </c>
      <c r="L3" s="61" t="str">
        <f>_xlfn.CONCAT(A3,"-",B3)</f>
        <v>depósito A-depósito A</v>
      </c>
      <c r="M3">
        <v>0</v>
      </c>
      <c r="V3">
        <v>3423909</v>
      </c>
      <c r="W3" t="s">
        <v>4336</v>
      </c>
      <c r="X3" t="s">
        <v>4337</v>
      </c>
      <c r="Y3" t="s">
        <v>4338</v>
      </c>
      <c r="Z3" t="s">
        <v>7283</v>
      </c>
      <c r="AA3">
        <v>-473439079</v>
      </c>
      <c r="AC3">
        <v>2301</v>
      </c>
      <c r="AD3" t="s">
        <v>4345</v>
      </c>
      <c r="AE3">
        <v>-2295188</v>
      </c>
      <c r="AF3">
        <v>-4702779</v>
      </c>
    </row>
    <row r="4" spans="1:32" x14ac:dyDescent="0.25">
      <c r="A4" s="15" t="s">
        <v>4268</v>
      </c>
      <c r="B4" s="15" t="s">
        <v>4269</v>
      </c>
      <c r="C4" s="52">
        <v>128.49988200000001</v>
      </c>
      <c r="D4" s="25">
        <v>0.1076388888888889</v>
      </c>
      <c r="E4" s="53">
        <v>-22.986784</v>
      </c>
      <c r="F4" s="53">
        <v>-47.466548000000003</v>
      </c>
      <c r="G4" s="53">
        <v>-22.664216</v>
      </c>
      <c r="H4" s="53">
        <v>-47.616990000000001</v>
      </c>
      <c r="I4" s="53">
        <v>-22.288208000000001</v>
      </c>
      <c r="J4" s="53">
        <v>-47.677109999999999</v>
      </c>
      <c r="L4" s="61" t="str">
        <f t="shared" ref="L3:L17" si="0">_xlfn.CONCAT(A4,"-",B4)</f>
        <v>depósito A-depósito B</v>
      </c>
      <c r="M4">
        <v>128.49988200000001</v>
      </c>
      <c r="V4">
        <v>3403208</v>
      </c>
      <c r="W4" t="s">
        <v>4339</v>
      </c>
      <c r="X4" t="s">
        <v>4340</v>
      </c>
      <c r="Y4" t="s">
        <v>4338</v>
      </c>
      <c r="Z4">
        <v>-2182093539</v>
      </c>
      <c r="AA4" t="s">
        <v>7290</v>
      </c>
      <c r="AC4">
        <v>2302</v>
      </c>
      <c r="AD4" t="s">
        <v>4346</v>
      </c>
      <c r="AE4">
        <v>-2289429</v>
      </c>
      <c r="AF4">
        <v>-4705822</v>
      </c>
    </row>
    <row r="5" spans="1:32" x14ac:dyDescent="0.25">
      <c r="A5" s="15" t="s">
        <v>4268</v>
      </c>
      <c r="B5" s="15" t="s">
        <v>4270</v>
      </c>
      <c r="C5" s="54">
        <v>109.457914</v>
      </c>
      <c r="D5" s="26">
        <v>9.7222222222222224E-2</v>
      </c>
      <c r="E5" s="55">
        <v>-23.423338000000001</v>
      </c>
      <c r="F5" s="55">
        <v>-47.151088999999999</v>
      </c>
      <c r="G5" s="55">
        <v>-23.522822999999999</v>
      </c>
      <c r="H5" s="55">
        <v>-46.747301</v>
      </c>
      <c r="I5" s="55">
        <v>-23.397918000000001</v>
      </c>
      <c r="J5" s="55">
        <v>-46.295113999999998</v>
      </c>
      <c r="L5" s="61" t="str">
        <f t="shared" si="0"/>
        <v>depósito A-depósito C</v>
      </c>
      <c r="M5">
        <v>109.457914</v>
      </c>
      <c r="V5">
        <v>3424402</v>
      </c>
      <c r="W5" t="s">
        <v>4341</v>
      </c>
      <c r="X5" t="s">
        <v>4342</v>
      </c>
      <c r="Y5" t="s">
        <v>4338</v>
      </c>
      <c r="Z5" t="s">
        <v>7293</v>
      </c>
      <c r="AA5">
        <v>-459849763</v>
      </c>
      <c r="AC5">
        <v>2303</v>
      </c>
      <c r="AD5" t="s">
        <v>4346</v>
      </c>
      <c r="AE5">
        <v>-2292634</v>
      </c>
      <c r="AF5">
        <v>-4703974</v>
      </c>
    </row>
    <row r="6" spans="1:32" x14ac:dyDescent="0.25">
      <c r="A6" s="15" t="s">
        <v>4268</v>
      </c>
      <c r="B6" s="15" t="s">
        <v>4271</v>
      </c>
      <c r="C6" s="52">
        <v>36.971055999999997</v>
      </c>
      <c r="D6" s="25">
        <v>3.4722222222222224E-2</v>
      </c>
      <c r="E6" s="53">
        <v>-23.244349</v>
      </c>
      <c r="F6" s="53">
        <v>-47.316434999999998</v>
      </c>
      <c r="G6" s="53">
        <v>-23.046413999999999</v>
      </c>
      <c r="H6" s="53">
        <v>-47.137762000000002</v>
      </c>
      <c r="I6" s="53">
        <v>-23.005241999999999</v>
      </c>
      <c r="J6" s="53">
        <v>-47.083097000000002</v>
      </c>
      <c r="L6" s="61" t="str">
        <f t="shared" si="0"/>
        <v>depósito A-Cliente1</v>
      </c>
      <c r="M6">
        <v>36.971055999999997</v>
      </c>
      <c r="AC6">
        <v>2304</v>
      </c>
      <c r="AD6" t="s">
        <v>4346</v>
      </c>
      <c r="AE6">
        <v>-2283309</v>
      </c>
      <c r="AF6">
        <v>-4707943</v>
      </c>
    </row>
    <row r="7" spans="1:32" x14ac:dyDescent="0.25">
      <c r="A7" s="15" t="s">
        <v>4268</v>
      </c>
      <c r="B7" s="15" t="s">
        <v>4272</v>
      </c>
      <c r="C7" s="54">
        <v>36.501919999999998</v>
      </c>
      <c r="D7" s="26">
        <v>3.6805555555555557E-2</v>
      </c>
      <c r="E7" s="55">
        <v>-23.244349</v>
      </c>
      <c r="F7" s="55">
        <v>-47.316434999999998</v>
      </c>
      <c r="G7" s="55">
        <v>-23.048266999999999</v>
      </c>
      <c r="H7" s="55">
        <v>-47.139321000000002</v>
      </c>
      <c r="I7" s="55">
        <v>-22.918621000000002</v>
      </c>
      <c r="J7" s="55">
        <v>-47.064549</v>
      </c>
      <c r="L7" s="61" t="str">
        <f t="shared" si="0"/>
        <v>depósito A-Cliente2</v>
      </c>
      <c r="M7">
        <v>36.501919999999998</v>
      </c>
      <c r="AC7">
        <v>2305</v>
      </c>
      <c r="AD7" t="s">
        <v>4346</v>
      </c>
      <c r="AE7">
        <v>-2282307</v>
      </c>
      <c r="AF7">
        <v>-4707818</v>
      </c>
    </row>
    <row r="8" spans="1:32" x14ac:dyDescent="0.25">
      <c r="A8" s="15" t="s">
        <v>4268</v>
      </c>
      <c r="B8" s="15" t="s">
        <v>4273</v>
      </c>
      <c r="C8" s="52">
        <v>36.019734999999997</v>
      </c>
      <c r="D8" s="25">
        <v>3.6805555555555557E-2</v>
      </c>
      <c r="E8" s="53">
        <v>-23.254707</v>
      </c>
      <c r="F8" s="53">
        <v>-47.320743</v>
      </c>
      <c r="G8" s="53">
        <v>-23.104066</v>
      </c>
      <c r="H8" s="53">
        <v>-47.200375000000001</v>
      </c>
      <c r="I8" s="53">
        <v>-22.931422999999999</v>
      </c>
      <c r="J8" s="53">
        <v>-47.071187999999999</v>
      </c>
      <c r="L8" s="61" t="str">
        <f t="shared" si="0"/>
        <v>depósito A-Cliente3</v>
      </c>
      <c r="M8">
        <v>36.019734999999997</v>
      </c>
      <c r="AC8">
        <v>2306</v>
      </c>
      <c r="AD8" t="s">
        <v>4345</v>
      </c>
      <c r="AE8">
        <v>-2297509</v>
      </c>
      <c r="AF8">
        <v>-4701478</v>
      </c>
    </row>
    <row r="9" spans="1:32" x14ac:dyDescent="0.25">
      <c r="A9" s="15" t="s">
        <v>4268</v>
      </c>
      <c r="B9" s="15" t="s">
        <v>4274</v>
      </c>
      <c r="C9" s="54">
        <v>44.231175999999998</v>
      </c>
      <c r="D9" s="26">
        <v>4.1666666666666664E-2</v>
      </c>
      <c r="E9" s="55">
        <v>-23.236992999999998</v>
      </c>
      <c r="F9" s="55">
        <v>-47.315761000000002</v>
      </c>
      <c r="G9" s="55">
        <v>-23.016504000000001</v>
      </c>
      <c r="H9" s="55">
        <v>-47.118977000000001</v>
      </c>
      <c r="I9" s="55">
        <v>-22.870587</v>
      </c>
      <c r="J9" s="55">
        <v>-47.131515</v>
      </c>
      <c r="L9" s="61" t="str">
        <f t="shared" si="0"/>
        <v>depósito A-Cliente4</v>
      </c>
      <c r="M9">
        <v>44.231175999999998</v>
      </c>
      <c r="AC9">
        <v>2307</v>
      </c>
      <c r="AD9" t="s">
        <v>4346</v>
      </c>
      <c r="AE9">
        <v>-2294956</v>
      </c>
      <c r="AF9">
        <v>-4709268</v>
      </c>
    </row>
    <row r="10" spans="1:32" x14ac:dyDescent="0.25">
      <c r="A10" s="15" t="s">
        <v>4268</v>
      </c>
      <c r="B10" s="15" t="s">
        <v>4275</v>
      </c>
      <c r="C10" s="52">
        <v>44.324381000000002</v>
      </c>
      <c r="D10" s="25">
        <v>4.1666666666666664E-2</v>
      </c>
      <c r="E10" s="53">
        <v>-23.238631999999999</v>
      </c>
      <c r="F10" s="53">
        <v>-47.315621999999998</v>
      </c>
      <c r="G10" s="53">
        <v>-23.033223</v>
      </c>
      <c r="H10" s="53">
        <v>-47.132894999999998</v>
      </c>
      <c r="I10" s="53">
        <v>-22.882422999999999</v>
      </c>
      <c r="J10" s="53">
        <v>-47.130493999999999</v>
      </c>
      <c r="L10" s="61" t="str">
        <f t="shared" si="0"/>
        <v>depósito A-Cliente5</v>
      </c>
      <c r="M10">
        <v>44.324381000000002</v>
      </c>
      <c r="AC10">
        <v>2308</v>
      </c>
      <c r="AD10" t="s">
        <v>4346</v>
      </c>
      <c r="AE10">
        <v>-2288062</v>
      </c>
      <c r="AF10">
        <v>-4696944</v>
      </c>
    </row>
    <row r="11" spans="1:32" x14ac:dyDescent="0.25">
      <c r="A11" s="15" t="s">
        <v>4268</v>
      </c>
      <c r="B11" s="15" t="s">
        <v>4276</v>
      </c>
      <c r="C11" s="54">
        <v>37.662022999999998</v>
      </c>
      <c r="D11" s="26">
        <v>3.4722222222222224E-2</v>
      </c>
      <c r="E11" s="55">
        <v>-23.242822</v>
      </c>
      <c r="F11" s="55">
        <v>-47.316015</v>
      </c>
      <c r="G11" s="55">
        <v>-23.044642</v>
      </c>
      <c r="H11" s="55">
        <v>-47.136690000000002</v>
      </c>
      <c r="I11" s="55">
        <v>-22.993956000000001</v>
      </c>
      <c r="J11" s="55">
        <v>-47.072158000000002</v>
      </c>
      <c r="L11" s="61" t="str">
        <f t="shared" si="0"/>
        <v>depósito A-Cliente6</v>
      </c>
      <c r="M11">
        <v>37.662022999999998</v>
      </c>
      <c r="AC11">
        <v>2309</v>
      </c>
      <c r="AD11" t="s">
        <v>4347</v>
      </c>
      <c r="AE11">
        <v>-2272237</v>
      </c>
      <c r="AF11">
        <v>-473074</v>
      </c>
    </row>
    <row r="12" spans="1:32" x14ac:dyDescent="0.25">
      <c r="A12" s="15" t="s">
        <v>4268</v>
      </c>
      <c r="B12" s="15" t="s">
        <v>4277</v>
      </c>
      <c r="C12" s="52">
        <v>31.824846999999998</v>
      </c>
      <c r="D12" s="25">
        <v>3.0555555555555555E-2</v>
      </c>
      <c r="E12" s="53">
        <v>-23.252891999999999</v>
      </c>
      <c r="F12" s="53">
        <v>-47.338186</v>
      </c>
      <c r="G12" s="53">
        <v>-23.179742000000001</v>
      </c>
      <c r="H12" s="53">
        <v>-47.280577000000001</v>
      </c>
      <c r="I12" s="53">
        <v>-23.033223</v>
      </c>
      <c r="J12" s="53">
        <v>-47.132894999999998</v>
      </c>
      <c r="L12" s="61" t="str">
        <f t="shared" si="0"/>
        <v>depósito A-Cliente7</v>
      </c>
      <c r="M12">
        <v>31.824846999999998</v>
      </c>
      <c r="AC12">
        <v>2310</v>
      </c>
      <c r="AD12" t="s">
        <v>4348</v>
      </c>
      <c r="AE12">
        <v>-2347084</v>
      </c>
      <c r="AF12">
        <v>-4664965</v>
      </c>
    </row>
    <row r="13" spans="1:32" x14ac:dyDescent="0.25">
      <c r="A13" s="15" t="s">
        <v>4268</v>
      </c>
      <c r="B13" s="15" t="s">
        <v>4278</v>
      </c>
      <c r="C13" s="54">
        <v>45.091777</v>
      </c>
      <c r="D13" s="26">
        <v>4.1666666666666664E-2</v>
      </c>
      <c r="E13" s="55">
        <v>-23.189585999999998</v>
      </c>
      <c r="F13" s="55">
        <v>-47.316485999999998</v>
      </c>
      <c r="G13" s="55">
        <v>-23.007037</v>
      </c>
      <c r="H13" s="55">
        <v>-47.095286999999999</v>
      </c>
      <c r="I13" s="55">
        <v>-22.913855999999999</v>
      </c>
      <c r="J13" s="55">
        <v>-47.011014000000003</v>
      </c>
      <c r="L13" s="61" t="str">
        <f t="shared" si="0"/>
        <v>depósito A-Cliente8</v>
      </c>
      <c r="M13">
        <v>45.091777</v>
      </c>
      <c r="AC13">
        <v>2311</v>
      </c>
      <c r="AD13" t="s">
        <v>4349</v>
      </c>
      <c r="AE13">
        <v>-2274145</v>
      </c>
      <c r="AF13">
        <v>-4760181</v>
      </c>
    </row>
    <row r="14" spans="1:32" x14ac:dyDescent="0.25">
      <c r="A14" s="15" t="s">
        <v>4268</v>
      </c>
      <c r="B14" s="15" t="s">
        <v>4279</v>
      </c>
      <c r="C14" s="52">
        <v>52.82911</v>
      </c>
      <c r="D14" s="25">
        <v>4.9305555555555554E-2</v>
      </c>
      <c r="E14" s="53">
        <v>-23.196597000000001</v>
      </c>
      <c r="F14" s="53">
        <v>-47.324336000000002</v>
      </c>
      <c r="G14" s="53">
        <v>-22.992737999999999</v>
      </c>
      <c r="H14" s="53">
        <v>-47.108407999999997</v>
      </c>
      <c r="I14" s="53">
        <v>-22.859562</v>
      </c>
      <c r="J14" s="53">
        <v>-47.143931000000002</v>
      </c>
      <c r="L14" s="61" t="str">
        <f t="shared" si="0"/>
        <v>depósito A-Cliente9</v>
      </c>
      <c r="M14">
        <v>52.82911</v>
      </c>
      <c r="AC14">
        <v>2312</v>
      </c>
      <c r="AD14" t="s">
        <v>4341</v>
      </c>
      <c r="AE14">
        <v>-2331105</v>
      </c>
      <c r="AF14">
        <v>-4598107</v>
      </c>
    </row>
    <row r="15" spans="1:32" x14ac:dyDescent="0.25">
      <c r="A15" s="15" t="s">
        <v>4268</v>
      </c>
      <c r="B15" s="15" t="s">
        <v>4280</v>
      </c>
      <c r="C15" s="54">
        <v>63.211627</v>
      </c>
      <c r="D15" s="26">
        <v>6.25E-2</v>
      </c>
      <c r="E15" s="55">
        <v>-23.401883000000002</v>
      </c>
      <c r="F15" s="55">
        <v>-47.332732</v>
      </c>
      <c r="G15" s="55">
        <v>-23.464455000000001</v>
      </c>
      <c r="H15" s="55">
        <v>-47.029142</v>
      </c>
      <c r="I15" s="55">
        <v>-23.518045000000001</v>
      </c>
      <c r="J15" s="55">
        <v>-46.741480000000003</v>
      </c>
      <c r="L15" s="61" t="str">
        <f t="shared" si="0"/>
        <v>depósito A-Cliente10</v>
      </c>
      <c r="M15">
        <v>63.211627</v>
      </c>
      <c r="AC15">
        <v>2313</v>
      </c>
      <c r="AD15" t="s">
        <v>4350</v>
      </c>
      <c r="AE15">
        <v>-2322299</v>
      </c>
      <c r="AF15">
        <v>-4590595</v>
      </c>
    </row>
    <row r="16" spans="1:32" x14ac:dyDescent="0.25">
      <c r="A16" s="15" t="s">
        <v>4268</v>
      </c>
      <c r="B16" s="15" t="s">
        <v>4281</v>
      </c>
      <c r="C16" s="52">
        <v>44.166553</v>
      </c>
      <c r="D16" s="25">
        <v>4.0972222222222222E-2</v>
      </c>
      <c r="E16" s="53">
        <v>-23.254366999999998</v>
      </c>
      <c r="F16" s="53">
        <v>-47.320078000000002</v>
      </c>
      <c r="G16" s="53">
        <v>-23.061339</v>
      </c>
      <c r="H16" s="53">
        <v>-47.407974000000003</v>
      </c>
      <c r="I16" s="53">
        <v>-22.834662999999999</v>
      </c>
      <c r="J16" s="53">
        <v>-47.565336000000002</v>
      </c>
      <c r="L16" s="61" t="str">
        <f t="shared" si="0"/>
        <v>depósito A-Cliente11</v>
      </c>
      <c r="M16">
        <v>44.166553</v>
      </c>
      <c r="AC16">
        <v>2314</v>
      </c>
      <c r="AD16" t="s">
        <v>4350</v>
      </c>
      <c r="AE16">
        <v>-2322828463</v>
      </c>
      <c r="AF16">
        <v>-4590852209</v>
      </c>
    </row>
    <row r="17" spans="1:32" x14ac:dyDescent="0.25">
      <c r="A17" s="15" t="s">
        <v>4268</v>
      </c>
      <c r="B17" s="15" t="s">
        <v>4282</v>
      </c>
      <c r="C17" s="54">
        <v>108.49913599999999</v>
      </c>
      <c r="D17" s="26">
        <v>9.7222222222222224E-2</v>
      </c>
      <c r="E17" s="55">
        <v>-23.423883</v>
      </c>
      <c r="F17" s="55">
        <v>-47.149203999999997</v>
      </c>
      <c r="G17" s="55">
        <v>-23.521049999999999</v>
      </c>
      <c r="H17" s="55">
        <v>-46.746671999999997</v>
      </c>
      <c r="I17" s="55">
        <v>-23.396858000000002</v>
      </c>
      <c r="J17" s="55">
        <v>-46.292222000000002</v>
      </c>
      <c r="L17" s="61" t="str">
        <f t="shared" si="0"/>
        <v>depósito A-Cliente12</v>
      </c>
      <c r="M17">
        <v>108.49913599999999</v>
      </c>
      <c r="AC17">
        <v>2315</v>
      </c>
      <c r="AD17" t="s">
        <v>4350</v>
      </c>
      <c r="AE17">
        <v>-232374</v>
      </c>
      <c r="AF17">
        <v>-458966</v>
      </c>
    </row>
    <row r="18" spans="1:32" x14ac:dyDescent="0.25">
      <c r="A18" s="15" t="s">
        <v>4268</v>
      </c>
      <c r="B18" s="15" t="s">
        <v>4283</v>
      </c>
      <c r="C18" s="52">
        <v>116.38311400000001</v>
      </c>
      <c r="D18" s="25">
        <v>0.10277777777777779</v>
      </c>
      <c r="E18" s="53">
        <v>-23.428979000000002</v>
      </c>
      <c r="F18" s="53">
        <v>-47.137681999999998</v>
      </c>
      <c r="G18" s="53">
        <v>-23.517824999999998</v>
      </c>
      <c r="H18" s="53">
        <v>-46.731133999999997</v>
      </c>
      <c r="I18" s="53">
        <v>-23.369716</v>
      </c>
      <c r="J18" s="53">
        <v>-46.240248999999999</v>
      </c>
      <c r="L18" s="61" t="str">
        <f t="shared" ref="L18:L81" si="1">_xlfn.CONCAT(A18,"-",B18)</f>
        <v>depósito A-Cliente13</v>
      </c>
      <c r="M18">
        <v>116.38311400000001</v>
      </c>
      <c r="AC18">
        <v>2316</v>
      </c>
      <c r="AD18" t="s">
        <v>4350</v>
      </c>
      <c r="AE18" t="s">
        <v>7279</v>
      </c>
      <c r="AF18">
        <v>-45905</v>
      </c>
    </row>
    <row r="19" spans="1:32" x14ac:dyDescent="0.25">
      <c r="A19" s="15" t="s">
        <v>4268</v>
      </c>
      <c r="B19" s="15" t="s">
        <v>4284</v>
      </c>
      <c r="C19" s="54">
        <v>114.445673</v>
      </c>
      <c r="D19" s="26">
        <v>9.930555555555555E-2</v>
      </c>
      <c r="E19" s="55">
        <v>-23.423081</v>
      </c>
      <c r="F19" s="55">
        <v>-47.153520999999998</v>
      </c>
      <c r="G19" s="55">
        <v>-23.525493000000001</v>
      </c>
      <c r="H19" s="55">
        <v>-46.747509999999998</v>
      </c>
      <c r="I19" s="55">
        <v>-23.400144999999998</v>
      </c>
      <c r="J19" s="55">
        <v>-46.302852000000001</v>
      </c>
      <c r="L19" s="61" t="str">
        <f t="shared" si="1"/>
        <v>depósito A-Cliente14</v>
      </c>
      <c r="M19">
        <v>114.445673</v>
      </c>
      <c r="AC19">
        <v>2317</v>
      </c>
      <c r="AD19" t="s">
        <v>4350</v>
      </c>
      <c r="AE19">
        <v>-2322836</v>
      </c>
      <c r="AF19">
        <v>-4591124</v>
      </c>
    </row>
    <row r="20" spans="1:32" x14ac:dyDescent="0.25">
      <c r="A20" s="15" t="s">
        <v>4268</v>
      </c>
      <c r="B20" s="15" t="s">
        <v>4285</v>
      </c>
      <c r="C20" s="52">
        <v>116.824288</v>
      </c>
      <c r="D20" s="25">
        <v>0.10555555555555556</v>
      </c>
      <c r="E20" s="53">
        <v>-23.428979000000002</v>
      </c>
      <c r="F20" s="53">
        <v>-47.137681999999998</v>
      </c>
      <c r="G20" s="53">
        <v>-23.517824999999998</v>
      </c>
      <c r="H20" s="53">
        <v>-46.731133999999997</v>
      </c>
      <c r="I20" s="53">
        <v>-23.369716</v>
      </c>
      <c r="J20" s="53">
        <v>-46.240248999999999</v>
      </c>
      <c r="L20" s="61" t="str">
        <f t="shared" si="1"/>
        <v>depósito A-Cliente15</v>
      </c>
      <c r="M20">
        <v>116.824288</v>
      </c>
      <c r="AC20">
        <v>2318</v>
      </c>
      <c r="AD20" t="s">
        <v>4350</v>
      </c>
      <c r="AE20">
        <v>-2317422</v>
      </c>
      <c r="AF20">
        <v>-4581629</v>
      </c>
    </row>
    <row r="21" spans="1:32" x14ac:dyDescent="0.25">
      <c r="A21" s="15" t="s">
        <v>4268</v>
      </c>
      <c r="B21" s="15" t="s">
        <v>4286</v>
      </c>
      <c r="C21" s="54">
        <v>115.75490600000001</v>
      </c>
      <c r="D21" s="26">
        <v>0.10416666666666667</v>
      </c>
      <c r="E21" s="55">
        <v>-23.428979999999999</v>
      </c>
      <c r="F21" s="55">
        <v>-47.135970999999998</v>
      </c>
      <c r="G21" s="55">
        <v>-23.513279000000001</v>
      </c>
      <c r="H21" s="55">
        <v>-46.723036999999998</v>
      </c>
      <c r="I21" s="55">
        <v>-23.369465000000002</v>
      </c>
      <c r="J21" s="55">
        <v>-46.239342999999998</v>
      </c>
      <c r="L21" s="61" t="str">
        <f t="shared" si="1"/>
        <v>depósito A-Cliente16</v>
      </c>
      <c r="M21">
        <v>115.75490600000001</v>
      </c>
      <c r="AC21">
        <v>2319</v>
      </c>
      <c r="AD21" t="s">
        <v>4348</v>
      </c>
      <c r="AE21">
        <v>-2351672</v>
      </c>
      <c r="AF21">
        <v>-466704</v>
      </c>
    </row>
    <row r="22" spans="1:32" x14ac:dyDescent="0.25">
      <c r="A22" s="15" t="s">
        <v>4268</v>
      </c>
      <c r="B22" s="15" t="s">
        <v>4287</v>
      </c>
      <c r="C22" s="52">
        <v>116.81061800000001</v>
      </c>
      <c r="D22" s="25">
        <v>0.10208333333333335</v>
      </c>
      <c r="E22" s="53">
        <v>-23.428979000000002</v>
      </c>
      <c r="F22" s="53">
        <v>-47.137681999999998</v>
      </c>
      <c r="G22" s="53">
        <v>-23.517824999999998</v>
      </c>
      <c r="H22" s="53">
        <v>-46.731133999999997</v>
      </c>
      <c r="I22" s="53">
        <v>-23.369716</v>
      </c>
      <c r="J22" s="53">
        <v>-46.240248999999999</v>
      </c>
      <c r="L22" s="61" t="str">
        <f t="shared" si="1"/>
        <v>depósito A-Cliente17</v>
      </c>
      <c r="M22">
        <v>116.81061800000001</v>
      </c>
      <c r="AC22">
        <v>2320</v>
      </c>
      <c r="AD22" t="s">
        <v>4348</v>
      </c>
      <c r="AE22">
        <v>-2355224</v>
      </c>
      <c r="AF22">
        <v>-4674232</v>
      </c>
    </row>
    <row r="23" spans="1:32" x14ac:dyDescent="0.25">
      <c r="A23" s="15" t="s">
        <v>4268</v>
      </c>
      <c r="B23" s="15" t="s">
        <v>4288</v>
      </c>
      <c r="C23" s="54">
        <v>121.638684</v>
      </c>
      <c r="D23" s="26">
        <v>0.10694444444444444</v>
      </c>
      <c r="E23" s="55">
        <v>-23.424537999999998</v>
      </c>
      <c r="F23" s="55">
        <v>-47.147815000000001</v>
      </c>
      <c r="G23" s="55">
        <v>-23.52008</v>
      </c>
      <c r="H23" s="55">
        <v>-46.746032</v>
      </c>
      <c r="I23" s="55">
        <v>-23.382543999999999</v>
      </c>
      <c r="J23" s="55">
        <v>-46.261823</v>
      </c>
      <c r="L23" s="61" t="str">
        <f t="shared" si="1"/>
        <v>depósito A-Cliente18</v>
      </c>
      <c r="M23">
        <v>121.638684</v>
      </c>
      <c r="AC23">
        <v>2321</v>
      </c>
      <c r="AD23" t="s">
        <v>4348</v>
      </c>
      <c r="AE23">
        <v>-2354149</v>
      </c>
      <c r="AF23">
        <v>-467306</v>
      </c>
    </row>
    <row r="24" spans="1:32" x14ac:dyDescent="0.25">
      <c r="A24" s="15" t="s">
        <v>4268</v>
      </c>
      <c r="B24" s="15" t="s">
        <v>4289</v>
      </c>
      <c r="C24" s="52">
        <v>60.011558000000001</v>
      </c>
      <c r="D24" s="25">
        <v>5.347222222222222E-2</v>
      </c>
      <c r="E24" s="53">
        <v>-23.401941999999998</v>
      </c>
      <c r="F24" s="53">
        <v>-47.336512999999997</v>
      </c>
      <c r="G24" s="53">
        <v>-23.439533000000001</v>
      </c>
      <c r="H24" s="53">
        <v>-47.108710000000002</v>
      </c>
      <c r="I24" s="53">
        <v>-23.505406000000001</v>
      </c>
      <c r="J24" s="53">
        <v>-46.854759000000001</v>
      </c>
      <c r="L24" s="61" t="str">
        <f t="shared" si="1"/>
        <v>depósito A-Cliente19</v>
      </c>
      <c r="M24">
        <v>60.011558000000001</v>
      </c>
      <c r="AC24">
        <v>2322</v>
      </c>
      <c r="AD24" t="s">
        <v>4348</v>
      </c>
      <c r="AE24">
        <v>-2353466</v>
      </c>
      <c r="AF24">
        <v>-4671295</v>
      </c>
    </row>
    <row r="25" spans="1:32" x14ac:dyDescent="0.25">
      <c r="A25" s="15" t="s">
        <v>4268</v>
      </c>
      <c r="B25" s="15" t="s">
        <v>4290</v>
      </c>
      <c r="C25" s="54">
        <v>56.528142000000003</v>
      </c>
      <c r="D25" s="26">
        <v>5.1388888888888894E-2</v>
      </c>
      <c r="E25" s="55">
        <v>-23.380955</v>
      </c>
      <c r="F25" s="55">
        <v>-47.327688999999999</v>
      </c>
      <c r="G25" s="55">
        <v>-23.429188</v>
      </c>
      <c r="H25" s="55">
        <v>-47.131368999999999</v>
      </c>
      <c r="I25" s="55">
        <v>-23.517932999999999</v>
      </c>
      <c r="J25" s="55">
        <v>-46.937843000000001</v>
      </c>
      <c r="L25" s="61" t="str">
        <f t="shared" si="1"/>
        <v>depósito A-Cliente20</v>
      </c>
      <c r="M25">
        <v>56.528142000000003</v>
      </c>
      <c r="AC25">
        <v>2323</v>
      </c>
      <c r="AD25" t="s">
        <v>4348</v>
      </c>
      <c r="AE25">
        <v>-2359032</v>
      </c>
      <c r="AF25">
        <v>-4673951</v>
      </c>
    </row>
    <row r="26" spans="1:32" x14ac:dyDescent="0.25">
      <c r="A26" s="15" t="s">
        <v>4268</v>
      </c>
      <c r="B26" s="15" t="s">
        <v>4291</v>
      </c>
      <c r="C26" s="52">
        <v>57.070599999999999</v>
      </c>
      <c r="D26" s="25">
        <v>5.2083333333333336E-2</v>
      </c>
      <c r="E26" s="53">
        <v>-23.385514000000001</v>
      </c>
      <c r="F26" s="53">
        <v>-47.328873999999999</v>
      </c>
      <c r="G26" s="53">
        <v>-23.438023999999999</v>
      </c>
      <c r="H26" s="53">
        <v>-47.116017999999997</v>
      </c>
      <c r="I26" s="53">
        <v>-23.505195000000001</v>
      </c>
      <c r="J26" s="53">
        <v>-46.883963999999999</v>
      </c>
      <c r="L26" s="61" t="str">
        <f t="shared" si="1"/>
        <v>depósito A-Cliente21</v>
      </c>
      <c r="M26">
        <v>57.070599999999999</v>
      </c>
      <c r="AC26" t="s">
        <v>4294</v>
      </c>
      <c r="AD26" t="s">
        <v>4348</v>
      </c>
      <c r="AE26">
        <v>-2359551</v>
      </c>
      <c r="AF26">
        <v>-4673765</v>
      </c>
    </row>
    <row r="27" spans="1:32" x14ac:dyDescent="0.25">
      <c r="A27" s="15" t="s">
        <v>4268</v>
      </c>
      <c r="B27" s="15" t="s">
        <v>4292</v>
      </c>
      <c r="C27" s="54">
        <v>58.333851000000003</v>
      </c>
      <c r="D27" s="26">
        <v>5.486111111111111E-2</v>
      </c>
      <c r="E27" s="55">
        <v>-23.404578999999998</v>
      </c>
      <c r="F27" s="55">
        <v>-47.337702999999998</v>
      </c>
      <c r="G27" s="55">
        <v>-23.438251000000001</v>
      </c>
      <c r="H27" s="55">
        <v>-47.067673999999997</v>
      </c>
      <c r="I27" s="55">
        <v>-23.520524999999999</v>
      </c>
      <c r="J27" s="55">
        <v>-46.777844999999999</v>
      </c>
      <c r="L27" s="61" t="str">
        <f t="shared" si="1"/>
        <v>depósito A-Cliente22</v>
      </c>
      <c r="M27">
        <v>58.333851000000003</v>
      </c>
      <c r="AC27" t="s">
        <v>4295</v>
      </c>
      <c r="AD27" t="s">
        <v>4348</v>
      </c>
      <c r="AE27">
        <v>-2360962</v>
      </c>
      <c r="AF27">
        <v>-4675296</v>
      </c>
    </row>
    <row r="28" spans="1:32" x14ac:dyDescent="0.25">
      <c r="A28" s="15" t="s">
        <v>4268</v>
      </c>
      <c r="B28" s="15" t="s">
        <v>4293</v>
      </c>
      <c r="C28" s="52">
        <v>62.078243000000001</v>
      </c>
      <c r="D28" s="25">
        <v>5.6944444444444443E-2</v>
      </c>
      <c r="E28" s="53">
        <v>-23.405757000000001</v>
      </c>
      <c r="F28" s="53">
        <v>-47.305109999999999</v>
      </c>
      <c r="G28" s="53">
        <v>-23.47306</v>
      </c>
      <c r="H28" s="53">
        <v>-47.006169999999997</v>
      </c>
      <c r="I28" s="53">
        <v>-23.564094000000001</v>
      </c>
      <c r="J28" s="53">
        <v>-46.820186999999997</v>
      </c>
      <c r="L28" s="61" t="str">
        <f t="shared" si="1"/>
        <v>depósito A-Cliente23</v>
      </c>
      <c r="M28">
        <v>62.078243000000001</v>
      </c>
      <c r="AC28" t="s">
        <v>4296</v>
      </c>
      <c r="AD28" t="s">
        <v>4351</v>
      </c>
      <c r="AE28">
        <v>-2358915</v>
      </c>
      <c r="AF28">
        <v>-468169</v>
      </c>
    </row>
    <row r="29" spans="1:32" x14ac:dyDescent="0.25">
      <c r="A29" s="15" t="s">
        <v>4268</v>
      </c>
      <c r="B29" s="15" t="s">
        <v>4294</v>
      </c>
      <c r="C29" s="54">
        <v>63.057527</v>
      </c>
      <c r="D29" s="26">
        <v>5.9722222222222225E-2</v>
      </c>
      <c r="E29" s="55">
        <v>-23.406276999999999</v>
      </c>
      <c r="F29" s="55">
        <v>-47.300808000000004</v>
      </c>
      <c r="G29" s="55">
        <v>-23.478258</v>
      </c>
      <c r="H29" s="55">
        <v>-46.998520999999997</v>
      </c>
      <c r="I29" s="55">
        <v>-23.566573000000002</v>
      </c>
      <c r="J29" s="55">
        <v>-46.818778999999999</v>
      </c>
      <c r="L29" s="61" t="str">
        <f t="shared" si="1"/>
        <v>depósito A-Cliente24</v>
      </c>
      <c r="M29">
        <v>63.057527</v>
      </c>
      <c r="AC29" t="s">
        <v>4297</v>
      </c>
      <c r="AD29" t="s">
        <v>4348</v>
      </c>
      <c r="AE29">
        <v>-2361184</v>
      </c>
      <c r="AF29">
        <v>-4674081</v>
      </c>
    </row>
    <row r="30" spans="1:32" x14ac:dyDescent="0.25">
      <c r="A30" s="15" t="s">
        <v>4268</v>
      </c>
      <c r="B30" s="15" t="s">
        <v>4295</v>
      </c>
      <c r="C30" s="52">
        <v>65.877938</v>
      </c>
      <c r="D30" s="25">
        <v>6.1805555555555558E-2</v>
      </c>
      <c r="E30" s="53">
        <v>-23.406517999999998</v>
      </c>
      <c r="F30" s="53">
        <v>-47.299563999999997</v>
      </c>
      <c r="G30" s="53">
        <v>-23.479952000000001</v>
      </c>
      <c r="H30" s="53">
        <v>-46.996733999999996</v>
      </c>
      <c r="I30" s="53">
        <v>-23.569181</v>
      </c>
      <c r="J30" s="53">
        <v>-46.814050000000002</v>
      </c>
      <c r="L30" s="61" t="str">
        <f t="shared" si="1"/>
        <v>depósito A-Cliente25</v>
      </c>
      <c r="M30">
        <v>65.877938</v>
      </c>
      <c r="AC30" t="s">
        <v>4298</v>
      </c>
      <c r="AD30" t="s">
        <v>4348</v>
      </c>
      <c r="AE30">
        <v>-236705</v>
      </c>
      <c r="AF30">
        <v>-4664785</v>
      </c>
    </row>
    <row r="31" spans="1:32" x14ac:dyDescent="0.25">
      <c r="A31" s="15" t="s">
        <v>4268</v>
      </c>
      <c r="B31" s="15" t="s">
        <v>4296</v>
      </c>
      <c r="C31" s="54">
        <v>57.540357999999998</v>
      </c>
      <c r="D31" s="26">
        <v>5.2777777777777778E-2</v>
      </c>
      <c r="E31" s="55">
        <v>-23.401971</v>
      </c>
      <c r="F31" s="55">
        <v>-47.333663000000001</v>
      </c>
      <c r="G31" s="55">
        <v>-23.463502999999999</v>
      </c>
      <c r="H31" s="55">
        <v>-47.031528999999999</v>
      </c>
      <c r="I31" s="55">
        <v>-23.533843999999998</v>
      </c>
      <c r="J31" s="55">
        <v>-46.818106999999998</v>
      </c>
      <c r="L31" s="61" t="str">
        <f t="shared" si="1"/>
        <v>depósito A-Cliente26</v>
      </c>
      <c r="M31">
        <v>57.540357999999998</v>
      </c>
      <c r="AC31" t="s">
        <v>4299</v>
      </c>
      <c r="AD31" t="s">
        <v>4352</v>
      </c>
      <c r="AE31">
        <v>-2367408</v>
      </c>
      <c r="AF31">
        <v>-4657141</v>
      </c>
    </row>
    <row r="32" spans="1:32" x14ac:dyDescent="0.25">
      <c r="A32" s="15" t="s">
        <v>4268</v>
      </c>
      <c r="B32" s="15" t="s">
        <v>4297</v>
      </c>
      <c r="C32" s="52">
        <v>63.857233000000001</v>
      </c>
      <c r="D32" s="25">
        <v>6.0416666666666667E-2</v>
      </c>
      <c r="E32" s="53">
        <v>-23.406517999999998</v>
      </c>
      <c r="F32" s="53">
        <v>-47.299563999999997</v>
      </c>
      <c r="G32" s="53">
        <v>-23.479952000000001</v>
      </c>
      <c r="H32" s="53">
        <v>-46.996733999999996</v>
      </c>
      <c r="I32" s="53">
        <v>-23.569181</v>
      </c>
      <c r="J32" s="53">
        <v>-46.814050000000002</v>
      </c>
      <c r="L32" s="61" t="str">
        <f t="shared" si="1"/>
        <v>depósito A-Cliente27</v>
      </c>
      <c r="M32">
        <v>63.857233000000001</v>
      </c>
      <c r="AC32">
        <v>2330</v>
      </c>
      <c r="AD32" t="s">
        <v>4353</v>
      </c>
      <c r="AE32">
        <v>-2366289</v>
      </c>
      <c r="AF32">
        <v>-4648223</v>
      </c>
    </row>
    <row r="33" spans="1:32" x14ac:dyDescent="0.25">
      <c r="A33" s="15" t="s">
        <v>4268</v>
      </c>
      <c r="B33" s="15" t="s">
        <v>4298</v>
      </c>
      <c r="C33" s="54">
        <v>67.540730999999994</v>
      </c>
      <c r="D33" s="26">
        <v>6.7361111111111108E-2</v>
      </c>
      <c r="E33" s="55">
        <v>-23.405757000000001</v>
      </c>
      <c r="F33" s="55">
        <v>-47.305109999999999</v>
      </c>
      <c r="G33" s="55">
        <v>-23.47306</v>
      </c>
      <c r="H33" s="55">
        <v>-47.006169999999997</v>
      </c>
      <c r="I33" s="55">
        <v>-23.564800000000002</v>
      </c>
      <c r="J33" s="55">
        <v>-46.705184000000003</v>
      </c>
      <c r="L33" s="61" t="str">
        <f t="shared" si="1"/>
        <v>depósito A-Cliente28</v>
      </c>
      <c r="M33">
        <v>67.540730999999994</v>
      </c>
      <c r="AC33">
        <v>2331</v>
      </c>
      <c r="AD33" t="s">
        <v>4354</v>
      </c>
      <c r="AE33">
        <v>-2355164</v>
      </c>
      <c r="AF33">
        <v>-4679466</v>
      </c>
    </row>
    <row r="34" spans="1:32" x14ac:dyDescent="0.25">
      <c r="A34" s="15" t="s">
        <v>4268</v>
      </c>
      <c r="B34" s="15" t="s">
        <v>4299</v>
      </c>
      <c r="C34" s="52">
        <v>72.960965000000002</v>
      </c>
      <c r="D34" s="25">
        <v>7.4305555555555555E-2</v>
      </c>
      <c r="E34" s="53">
        <v>-23.414774999999999</v>
      </c>
      <c r="F34" s="53">
        <v>-47.268832000000003</v>
      </c>
      <c r="G34" s="53">
        <v>-23.51859</v>
      </c>
      <c r="H34" s="53">
        <v>-46.940645000000004</v>
      </c>
      <c r="I34" s="53">
        <v>-23.611823999999999</v>
      </c>
      <c r="J34" s="53">
        <v>-46.673557000000002</v>
      </c>
      <c r="L34" s="61" t="str">
        <f t="shared" si="1"/>
        <v>depósito A-Cliente29</v>
      </c>
      <c r="M34">
        <v>72.960965000000002</v>
      </c>
      <c r="AC34">
        <v>2332</v>
      </c>
      <c r="AD34" t="s">
        <v>4348</v>
      </c>
      <c r="AE34">
        <v>-2348552</v>
      </c>
      <c r="AF34">
        <v>-4673883</v>
      </c>
    </row>
    <row r="35" spans="1:32" x14ac:dyDescent="0.25">
      <c r="A35" s="15" t="s">
        <v>4268</v>
      </c>
      <c r="B35" s="15" t="s">
        <v>4300</v>
      </c>
      <c r="C35" s="54">
        <v>78.888239999999996</v>
      </c>
      <c r="D35" s="26">
        <v>8.5416666666666655E-2</v>
      </c>
      <c r="E35" s="55">
        <v>-23.423088</v>
      </c>
      <c r="F35" s="55">
        <v>-47.236001000000002</v>
      </c>
      <c r="G35" s="55">
        <v>-23.521713999999999</v>
      </c>
      <c r="H35" s="55">
        <v>-46.767434999999999</v>
      </c>
      <c r="I35" s="55">
        <v>-23.578510999999999</v>
      </c>
      <c r="J35" s="55">
        <v>-46.600262000000001</v>
      </c>
      <c r="L35" s="61" t="str">
        <f t="shared" si="1"/>
        <v>depósito A-Cliente30</v>
      </c>
      <c r="M35">
        <v>78.888239999999996</v>
      </c>
      <c r="AC35">
        <v>2333</v>
      </c>
      <c r="AD35" t="s">
        <v>4348</v>
      </c>
      <c r="AE35">
        <v>-2346722</v>
      </c>
      <c r="AF35">
        <v>-4658475</v>
      </c>
    </row>
    <row r="36" spans="1:32" x14ac:dyDescent="0.25">
      <c r="A36" s="15" t="s">
        <v>4268</v>
      </c>
      <c r="B36" s="15" t="s">
        <v>4301</v>
      </c>
      <c r="C36" s="52">
        <v>54.439087000000001</v>
      </c>
      <c r="D36" s="25">
        <v>5.1388888888888894E-2</v>
      </c>
      <c r="E36" s="53">
        <v>-23.385514000000001</v>
      </c>
      <c r="F36" s="53">
        <v>-47.328873999999999</v>
      </c>
      <c r="G36" s="53">
        <v>-23.438023999999999</v>
      </c>
      <c r="H36" s="53">
        <v>-47.116017999999997</v>
      </c>
      <c r="I36" s="53">
        <v>-23.505195000000001</v>
      </c>
      <c r="J36" s="53">
        <v>-46.883963999999999</v>
      </c>
      <c r="L36" s="61" t="str">
        <f t="shared" si="1"/>
        <v>depósito A-Cliente31</v>
      </c>
      <c r="M36">
        <v>54.439087000000001</v>
      </c>
      <c r="AC36">
        <v>2334</v>
      </c>
      <c r="AD36" t="s">
        <v>4355</v>
      </c>
      <c r="AE36">
        <v>-2346668</v>
      </c>
      <c r="AF36">
        <v>-4684622</v>
      </c>
    </row>
    <row r="37" spans="1:32" x14ac:dyDescent="0.25">
      <c r="A37" s="15" t="s">
        <v>4268</v>
      </c>
      <c r="B37" s="15" t="s">
        <v>4302</v>
      </c>
      <c r="C37" s="54">
        <v>58.895572000000001</v>
      </c>
      <c r="D37" s="26">
        <v>5.486111111111111E-2</v>
      </c>
      <c r="E37" s="55">
        <v>-23.404858000000001</v>
      </c>
      <c r="F37" s="55">
        <v>-47.336663999999999</v>
      </c>
      <c r="G37" s="55">
        <v>-23.456029000000001</v>
      </c>
      <c r="H37" s="55">
        <v>-47.052199000000002</v>
      </c>
      <c r="I37" s="55">
        <v>-23.525946000000001</v>
      </c>
      <c r="J37" s="55">
        <v>-46.747629000000003</v>
      </c>
      <c r="L37" s="61" t="str">
        <f t="shared" si="1"/>
        <v>depósito A-Cliente32</v>
      </c>
      <c r="M37">
        <v>58.895572000000001</v>
      </c>
      <c r="AC37">
        <v>2335</v>
      </c>
      <c r="AD37" t="s">
        <v>4355</v>
      </c>
      <c r="AE37">
        <v>-2346236</v>
      </c>
      <c r="AF37">
        <v>-4687601</v>
      </c>
    </row>
    <row r="38" spans="1:32" x14ac:dyDescent="0.25">
      <c r="A38" s="15" t="s">
        <v>4268</v>
      </c>
      <c r="B38" s="15" t="s">
        <v>4303</v>
      </c>
      <c r="C38" s="52">
        <v>72.907527000000002</v>
      </c>
      <c r="D38" s="25">
        <v>6.9444444444444434E-2</v>
      </c>
      <c r="E38" s="53">
        <v>-23.414217000000001</v>
      </c>
      <c r="F38" s="53">
        <v>-47.270895000000003</v>
      </c>
      <c r="G38" s="53">
        <v>-23.519103000000001</v>
      </c>
      <c r="H38" s="53">
        <v>-46.954436999999999</v>
      </c>
      <c r="I38" s="53">
        <v>-23.519798000000002</v>
      </c>
      <c r="J38" s="53">
        <v>-46.622607000000002</v>
      </c>
      <c r="L38" s="61" t="str">
        <f t="shared" si="1"/>
        <v>depósito A-Cliente33</v>
      </c>
      <c r="M38">
        <v>72.907527000000002</v>
      </c>
      <c r="AC38">
        <v>2336</v>
      </c>
      <c r="AD38" t="s">
        <v>4356</v>
      </c>
      <c r="AE38">
        <v>-220445</v>
      </c>
      <c r="AF38">
        <v>-4788998</v>
      </c>
    </row>
    <row r="39" spans="1:32" x14ac:dyDescent="0.25">
      <c r="A39" s="15" t="s">
        <v>4268</v>
      </c>
      <c r="B39" s="15" t="s">
        <v>4304</v>
      </c>
      <c r="C39" s="54">
        <v>53.693440000000002</v>
      </c>
      <c r="D39" s="26">
        <v>5.1388888888888894E-2</v>
      </c>
      <c r="E39" s="55">
        <v>-23.404858000000001</v>
      </c>
      <c r="F39" s="55">
        <v>-47.336663999999999</v>
      </c>
      <c r="G39" s="55">
        <v>-23.456029000000001</v>
      </c>
      <c r="H39" s="55">
        <v>-47.052199000000002</v>
      </c>
      <c r="I39" s="55">
        <v>-23.495732</v>
      </c>
      <c r="J39" s="55">
        <v>-46.829521999999997</v>
      </c>
      <c r="L39" s="61" t="str">
        <f t="shared" si="1"/>
        <v>depósito A-Cliente34</v>
      </c>
      <c r="M39">
        <v>53.693440000000002</v>
      </c>
      <c r="AC39">
        <v>2337</v>
      </c>
      <c r="AD39" t="s">
        <v>4356</v>
      </c>
      <c r="AE39">
        <v>-2202384</v>
      </c>
      <c r="AF39">
        <v>-4788021</v>
      </c>
    </row>
    <row r="40" spans="1:32" x14ac:dyDescent="0.25">
      <c r="A40" s="15" t="s">
        <v>4268</v>
      </c>
      <c r="B40" s="15" t="s">
        <v>4305</v>
      </c>
      <c r="C40" s="52">
        <v>52.417140000000003</v>
      </c>
      <c r="D40" s="25">
        <v>4.9305555555555554E-2</v>
      </c>
      <c r="E40" s="53">
        <v>-23.404578999999998</v>
      </c>
      <c r="F40" s="53">
        <v>-47.337702999999998</v>
      </c>
      <c r="G40" s="53">
        <v>-23.438251000000001</v>
      </c>
      <c r="H40" s="53">
        <v>-47.067673999999997</v>
      </c>
      <c r="I40" s="53">
        <v>-23.507189</v>
      </c>
      <c r="J40" s="53">
        <v>-46.846021999999998</v>
      </c>
      <c r="L40" s="61" t="str">
        <f t="shared" si="1"/>
        <v>depósito A-Cliente35</v>
      </c>
      <c r="M40">
        <v>52.417140000000003</v>
      </c>
      <c r="AC40">
        <v>2338</v>
      </c>
      <c r="AD40" t="s">
        <v>4356</v>
      </c>
      <c r="AE40">
        <v>-2203848</v>
      </c>
      <c r="AF40">
        <v>-4786018</v>
      </c>
    </row>
    <row r="41" spans="1:32" x14ac:dyDescent="0.25">
      <c r="A41" s="15" t="s">
        <v>4268</v>
      </c>
      <c r="B41" s="15" t="s">
        <v>4306</v>
      </c>
      <c r="C41" s="54">
        <v>105.43576899999999</v>
      </c>
      <c r="D41" s="26">
        <v>9.2361111111111116E-2</v>
      </c>
      <c r="E41" s="55">
        <v>-22.992584000000001</v>
      </c>
      <c r="F41" s="55">
        <v>-47.462789000000001</v>
      </c>
      <c r="G41" s="55">
        <v>-22.661881999999999</v>
      </c>
      <c r="H41" s="55">
        <v>-47.610190000000003</v>
      </c>
      <c r="I41" s="55">
        <v>-22.310746999999999</v>
      </c>
      <c r="J41" s="55">
        <v>-47.667257999999997</v>
      </c>
      <c r="L41" s="61" t="str">
        <f t="shared" si="1"/>
        <v>depósito A-Cliente36</v>
      </c>
      <c r="M41">
        <v>105.43576899999999</v>
      </c>
      <c r="AC41">
        <v>2339</v>
      </c>
      <c r="AD41" t="s">
        <v>4357</v>
      </c>
      <c r="AE41">
        <v>-2301733</v>
      </c>
      <c r="AF41">
        <v>-4555106</v>
      </c>
    </row>
    <row r="42" spans="1:32" x14ac:dyDescent="0.25">
      <c r="A42" s="15" t="s">
        <v>4268</v>
      </c>
      <c r="B42" s="15" t="s">
        <v>4307</v>
      </c>
      <c r="C42" s="52">
        <v>104.339046</v>
      </c>
      <c r="D42" s="25">
        <v>9.0972222222222218E-2</v>
      </c>
      <c r="E42" s="53">
        <v>-22.989751999999999</v>
      </c>
      <c r="F42" s="53">
        <v>-47.464756999999999</v>
      </c>
      <c r="G42" s="53">
        <v>-22.664225999999999</v>
      </c>
      <c r="H42" s="53">
        <v>-47.616560999999997</v>
      </c>
      <c r="I42" s="53">
        <v>-22.292919999999999</v>
      </c>
      <c r="J42" s="53">
        <v>-47.675952000000002</v>
      </c>
      <c r="L42" s="61" t="str">
        <f t="shared" si="1"/>
        <v>depósito A-Cliente37</v>
      </c>
      <c r="M42">
        <v>104.339046</v>
      </c>
      <c r="AC42">
        <v>2340</v>
      </c>
      <c r="AD42" t="s">
        <v>4357</v>
      </c>
      <c r="AE42">
        <v>-2299756</v>
      </c>
      <c r="AF42">
        <v>-4554006</v>
      </c>
    </row>
    <row r="43" spans="1:32" x14ac:dyDescent="0.25">
      <c r="A43" s="15" t="s">
        <v>4268</v>
      </c>
      <c r="B43" s="15" t="s">
        <v>4308</v>
      </c>
      <c r="C43" s="54">
        <v>102.562541</v>
      </c>
      <c r="D43" s="26">
        <v>8.8888888888888892E-2</v>
      </c>
      <c r="E43" s="55">
        <v>-22.995650999999999</v>
      </c>
      <c r="F43" s="55">
        <v>-47.460031999999998</v>
      </c>
      <c r="G43" s="55">
        <v>-22.679998999999999</v>
      </c>
      <c r="H43" s="55">
        <v>-47.595249000000003</v>
      </c>
      <c r="I43" s="55">
        <v>-22.314139000000001</v>
      </c>
      <c r="J43" s="55">
        <v>-47.66198</v>
      </c>
      <c r="L43" s="61" t="str">
        <f t="shared" si="1"/>
        <v>depósito A-Cliente38</v>
      </c>
      <c r="M43">
        <v>102.562541</v>
      </c>
      <c r="AC43">
        <v>2341</v>
      </c>
      <c r="AD43" t="s">
        <v>4358</v>
      </c>
      <c r="AE43">
        <v>-2307223</v>
      </c>
      <c r="AF43">
        <v>-4571227</v>
      </c>
    </row>
    <row r="44" spans="1:32" x14ac:dyDescent="0.25">
      <c r="A44" s="15" t="s">
        <v>4268</v>
      </c>
      <c r="B44" s="15" t="s">
        <v>4309</v>
      </c>
      <c r="C44" s="52">
        <v>142.644811</v>
      </c>
      <c r="D44" s="25">
        <v>0.12638888888888888</v>
      </c>
      <c r="E44" s="53">
        <v>-23.436405000000001</v>
      </c>
      <c r="F44" s="53">
        <v>-47.119414999999996</v>
      </c>
      <c r="G44" s="53">
        <v>-23.511005000000001</v>
      </c>
      <c r="H44" s="53">
        <v>-46.683208999999998</v>
      </c>
      <c r="I44" s="53">
        <v>-23.352357999999999</v>
      </c>
      <c r="J44" s="53">
        <v>-46.181800000000003</v>
      </c>
      <c r="L44" s="61" t="str">
        <f t="shared" si="1"/>
        <v>depósito A-Cliente39</v>
      </c>
      <c r="M44">
        <v>142.644811</v>
      </c>
      <c r="AC44">
        <v>2342</v>
      </c>
      <c r="AD44" t="s">
        <v>4358</v>
      </c>
      <c r="AE44">
        <v>-2311919</v>
      </c>
      <c r="AF44">
        <v>-4571347</v>
      </c>
    </row>
    <row r="45" spans="1:32" x14ac:dyDescent="0.25">
      <c r="A45" s="15" t="s">
        <v>4268</v>
      </c>
      <c r="B45" s="15" t="s">
        <v>4310</v>
      </c>
      <c r="C45" s="54">
        <v>144.206321</v>
      </c>
      <c r="D45" s="26">
        <v>0.12986111111111112</v>
      </c>
      <c r="E45" s="55">
        <v>-23.438727</v>
      </c>
      <c r="F45" s="55">
        <v>-47.114165999999997</v>
      </c>
      <c r="G45" s="55">
        <v>-23.516403</v>
      </c>
      <c r="H45" s="55">
        <v>-46.661253000000002</v>
      </c>
      <c r="I45" s="55">
        <v>-23.337396999999999</v>
      </c>
      <c r="J45" s="55">
        <v>-46.147202</v>
      </c>
      <c r="L45" s="61" t="str">
        <f t="shared" si="1"/>
        <v>depósito A-Cliente40</v>
      </c>
      <c r="M45">
        <v>144.206321</v>
      </c>
      <c r="AC45">
        <v>2343</v>
      </c>
      <c r="AD45" t="s">
        <v>4359</v>
      </c>
      <c r="AE45">
        <v>-2295467</v>
      </c>
      <c r="AF45">
        <v>-4549489</v>
      </c>
    </row>
    <row r="46" spans="1:32" x14ac:dyDescent="0.25">
      <c r="A46" s="15" t="s">
        <v>4268</v>
      </c>
      <c r="B46" s="15" t="s">
        <v>4311</v>
      </c>
      <c r="C46" s="52">
        <v>133.68337299999999</v>
      </c>
      <c r="D46" s="25">
        <v>0.12083333333333333</v>
      </c>
      <c r="E46" s="53">
        <v>-23.439267000000001</v>
      </c>
      <c r="F46" s="53">
        <v>-47.111949000000003</v>
      </c>
      <c r="G46" s="53">
        <v>-23.517282999999999</v>
      </c>
      <c r="H46" s="53">
        <v>-46.654156999999998</v>
      </c>
      <c r="I46" s="53">
        <v>-23.322575000000001</v>
      </c>
      <c r="J46" s="53">
        <v>-46.117641999999996</v>
      </c>
      <c r="L46" s="61" t="str">
        <f t="shared" si="1"/>
        <v>depósito A-Cliente41</v>
      </c>
      <c r="M46">
        <v>133.68337299999999</v>
      </c>
      <c r="AC46">
        <v>2344</v>
      </c>
      <c r="AD46" t="s">
        <v>4360</v>
      </c>
      <c r="AE46">
        <v>-2346587</v>
      </c>
      <c r="AF46">
        <v>-4749623</v>
      </c>
    </row>
    <row r="47" spans="1:32" x14ac:dyDescent="0.25">
      <c r="A47" s="15" t="s">
        <v>4268</v>
      </c>
      <c r="B47" s="15" t="s">
        <v>4312</v>
      </c>
      <c r="C47" s="54">
        <v>130.21238500000001</v>
      </c>
      <c r="D47" s="26">
        <v>0.11319444444444444</v>
      </c>
      <c r="E47" s="55">
        <v>-23.427755999999999</v>
      </c>
      <c r="F47" s="55">
        <v>-47.142021999999997</v>
      </c>
      <c r="G47" s="55">
        <v>-23.518709000000001</v>
      </c>
      <c r="H47" s="55">
        <v>-46.744439</v>
      </c>
      <c r="I47" s="55">
        <v>-23.377779</v>
      </c>
      <c r="J47" s="55">
        <v>-46.254198000000002</v>
      </c>
      <c r="L47" s="61" t="str">
        <f t="shared" si="1"/>
        <v>depósito A-Cliente42</v>
      </c>
      <c r="M47">
        <v>130.21238500000001</v>
      </c>
      <c r="AC47">
        <v>2345</v>
      </c>
      <c r="AD47" t="s">
        <v>4360</v>
      </c>
      <c r="AE47">
        <v>-2349563</v>
      </c>
      <c r="AF47">
        <v>-4751121</v>
      </c>
    </row>
    <row r="48" spans="1:32" x14ac:dyDescent="0.25">
      <c r="A48" s="15" t="s">
        <v>4268</v>
      </c>
      <c r="B48" s="15" t="s">
        <v>4313</v>
      </c>
      <c r="C48" s="52">
        <v>152.86515</v>
      </c>
      <c r="D48" s="25">
        <v>0.13402777777777777</v>
      </c>
      <c r="E48" s="53">
        <v>-23.439140999999999</v>
      </c>
      <c r="F48" s="53">
        <v>-47.105175000000003</v>
      </c>
      <c r="G48" s="53">
        <v>-23.519265999999998</v>
      </c>
      <c r="H48" s="53">
        <v>-46.618634999999998</v>
      </c>
      <c r="I48" s="53">
        <v>-23.314112000000002</v>
      </c>
      <c r="J48" s="53">
        <v>-46.067197</v>
      </c>
      <c r="L48" s="61" t="str">
        <f t="shared" si="1"/>
        <v>depósito A-Cliente43</v>
      </c>
      <c r="M48">
        <v>152.86515</v>
      </c>
      <c r="AC48">
        <v>2346</v>
      </c>
      <c r="AD48" t="s">
        <v>4360</v>
      </c>
      <c r="AE48">
        <v>-2348649</v>
      </c>
      <c r="AF48">
        <v>-4747117</v>
      </c>
    </row>
    <row r="49" spans="1:32" x14ac:dyDescent="0.25">
      <c r="A49" s="15" t="s">
        <v>4268</v>
      </c>
      <c r="B49" s="15" t="s">
        <v>4314</v>
      </c>
      <c r="C49" s="54">
        <v>26.677396000000002</v>
      </c>
      <c r="D49" s="26">
        <v>3.1944444444444449E-2</v>
      </c>
      <c r="E49" s="55">
        <v>-23.253654999999998</v>
      </c>
      <c r="F49" s="55">
        <v>-47.341031000000001</v>
      </c>
      <c r="G49" s="55">
        <v>-23.385514000000001</v>
      </c>
      <c r="H49" s="55">
        <v>-47.328873999999999</v>
      </c>
      <c r="I49" s="55">
        <v>-23.483930000000001</v>
      </c>
      <c r="J49" s="55">
        <v>-47.454211999999998</v>
      </c>
      <c r="L49" s="61" t="str">
        <f t="shared" si="1"/>
        <v>depósito A-Cliente44</v>
      </c>
      <c r="M49">
        <v>26.677396000000002</v>
      </c>
      <c r="AC49">
        <v>2347</v>
      </c>
      <c r="AD49" t="s">
        <v>4361</v>
      </c>
      <c r="AE49">
        <v>-2119498</v>
      </c>
      <c r="AF49">
        <v>-4775589</v>
      </c>
    </row>
    <row r="50" spans="1:32" x14ac:dyDescent="0.25">
      <c r="A50" s="15" t="s">
        <v>4268</v>
      </c>
      <c r="B50" s="15" t="s">
        <v>4315</v>
      </c>
      <c r="C50" s="52">
        <v>27.455354</v>
      </c>
      <c r="D50" s="25">
        <v>3.4722222222222224E-2</v>
      </c>
      <c r="E50" s="53">
        <v>-23.255407000000002</v>
      </c>
      <c r="F50" s="53">
        <v>-47.322042000000003</v>
      </c>
      <c r="G50" s="53">
        <v>-23.476517000000001</v>
      </c>
      <c r="H50" s="53">
        <v>-47.442619000000001</v>
      </c>
      <c r="I50" s="53">
        <v>-23.487719999999999</v>
      </c>
      <c r="J50" s="53">
        <v>-47.476914999999998</v>
      </c>
      <c r="L50" s="61" t="str">
        <f t="shared" si="1"/>
        <v>depósito A-Cliente45</v>
      </c>
      <c r="M50">
        <v>27.455354</v>
      </c>
      <c r="AC50">
        <v>2348</v>
      </c>
      <c r="AD50" t="s">
        <v>4361</v>
      </c>
      <c r="AE50">
        <v>-2114118</v>
      </c>
      <c r="AF50">
        <v>-4780482</v>
      </c>
    </row>
    <row r="51" spans="1:32" x14ac:dyDescent="0.25">
      <c r="A51" s="15" t="s">
        <v>4268</v>
      </c>
      <c r="B51" s="15" t="s">
        <v>4316</v>
      </c>
      <c r="C51" s="54">
        <v>24.749897000000001</v>
      </c>
      <c r="D51" s="26">
        <v>2.9166666666666664E-2</v>
      </c>
      <c r="E51" s="55">
        <v>-23.253931999999999</v>
      </c>
      <c r="F51" s="55">
        <v>-47.341562000000003</v>
      </c>
      <c r="G51" s="55">
        <v>-23.382839000000001</v>
      </c>
      <c r="H51" s="55">
        <v>-47.328001</v>
      </c>
      <c r="I51" s="55">
        <v>-23.481904</v>
      </c>
      <c r="J51" s="55">
        <v>-47.451154000000002</v>
      </c>
      <c r="L51" s="61" t="str">
        <f t="shared" si="1"/>
        <v>depósito A-Cliente46</v>
      </c>
      <c r="M51">
        <v>24.749897000000001</v>
      </c>
      <c r="AC51">
        <v>2349</v>
      </c>
      <c r="AD51" t="s">
        <v>4361</v>
      </c>
      <c r="AE51">
        <v>-2117516</v>
      </c>
      <c r="AF51">
        <v>-4779455</v>
      </c>
    </row>
    <row r="52" spans="1:32" x14ac:dyDescent="0.25">
      <c r="A52" s="15" t="s">
        <v>4268</v>
      </c>
      <c r="B52" s="15" t="s">
        <v>4317</v>
      </c>
      <c r="C52" s="52">
        <v>163.53536199999999</v>
      </c>
      <c r="D52" s="25">
        <v>0.13472222222222222</v>
      </c>
      <c r="E52" s="53">
        <v>-22.886766999999999</v>
      </c>
      <c r="F52" s="53">
        <v>-47.469673999999998</v>
      </c>
      <c r="G52" s="53">
        <v>-22.545407999999998</v>
      </c>
      <c r="H52" s="53">
        <v>-47.461801999999999</v>
      </c>
      <c r="I52" s="53">
        <v>-21.964701000000002</v>
      </c>
      <c r="J52" s="53">
        <v>-47.457093999999998</v>
      </c>
      <c r="L52" s="61" t="str">
        <f t="shared" si="1"/>
        <v>depósito A-Cliente47</v>
      </c>
      <c r="M52">
        <v>163.53536199999999</v>
      </c>
      <c r="AC52">
        <v>2350</v>
      </c>
      <c r="AD52" t="s">
        <v>4362</v>
      </c>
      <c r="AE52">
        <v>-223121</v>
      </c>
      <c r="AF52">
        <v>-4905746</v>
      </c>
    </row>
    <row r="53" spans="1:32" x14ac:dyDescent="0.25">
      <c r="A53" s="15" t="s">
        <v>4268</v>
      </c>
      <c r="B53" s="15" t="s">
        <v>4318</v>
      </c>
      <c r="C53" s="54">
        <v>172.64655099999999</v>
      </c>
      <c r="D53" s="26">
        <v>0.14305555555555557</v>
      </c>
      <c r="E53" s="55">
        <v>-22.772470999999999</v>
      </c>
      <c r="F53" s="55">
        <v>-47.423036000000003</v>
      </c>
      <c r="G53" s="55">
        <v>-22.492352</v>
      </c>
      <c r="H53" s="55">
        <v>-47.425986999999999</v>
      </c>
      <c r="I53" s="55">
        <v>-21.467984000000001</v>
      </c>
      <c r="J53" s="55">
        <v>-47.641044999999998</v>
      </c>
      <c r="L53" s="61" t="str">
        <f t="shared" si="1"/>
        <v>depósito A-Cliente48</v>
      </c>
      <c r="M53">
        <v>172.64655099999999</v>
      </c>
      <c r="AC53">
        <v>2351</v>
      </c>
      <c r="AD53" t="s">
        <v>4362</v>
      </c>
      <c r="AE53">
        <v>-2231628</v>
      </c>
      <c r="AF53">
        <v>-4906815</v>
      </c>
    </row>
    <row r="54" spans="1:32" x14ac:dyDescent="0.25">
      <c r="A54" s="15" t="s">
        <v>4268</v>
      </c>
      <c r="B54" s="15" t="s">
        <v>4319</v>
      </c>
      <c r="C54" s="52">
        <v>166.28431499999999</v>
      </c>
      <c r="D54" s="25">
        <v>0.1388888888888889</v>
      </c>
      <c r="E54" s="53">
        <v>-22.817581000000001</v>
      </c>
      <c r="F54" s="53">
        <v>-47.446815999999998</v>
      </c>
      <c r="G54" s="53">
        <v>-22.525585</v>
      </c>
      <c r="H54" s="53">
        <v>-47.436526000000001</v>
      </c>
      <c r="I54" s="53">
        <v>-21.734825000000001</v>
      </c>
      <c r="J54" s="53">
        <v>-47.583300000000001</v>
      </c>
      <c r="L54" s="61" t="str">
        <f t="shared" si="1"/>
        <v>depósito A-Cliente49</v>
      </c>
      <c r="M54">
        <v>166.28431499999999</v>
      </c>
    </row>
    <row r="55" spans="1:32" x14ac:dyDescent="0.25">
      <c r="A55" s="15" t="s">
        <v>4268</v>
      </c>
      <c r="B55" s="15" t="s">
        <v>4320</v>
      </c>
      <c r="C55" s="54">
        <v>156.588415</v>
      </c>
      <c r="D55" s="26">
        <v>0.13680555555555554</v>
      </c>
      <c r="E55" s="55">
        <v>-23.225888999999999</v>
      </c>
      <c r="F55" s="55">
        <v>-47.569906000000003</v>
      </c>
      <c r="G55" s="55">
        <v>-23.200434999999999</v>
      </c>
      <c r="H55" s="55">
        <v>-48.256115999999999</v>
      </c>
      <c r="I55" s="55">
        <v>-22.827487999999999</v>
      </c>
      <c r="J55" s="55">
        <v>-48.527768999999999</v>
      </c>
      <c r="L55" s="61" t="str">
        <f t="shared" si="1"/>
        <v>depósito A-Cliente50</v>
      </c>
      <c r="M55">
        <v>156.588415</v>
      </c>
    </row>
    <row r="56" spans="1:32" x14ac:dyDescent="0.25">
      <c r="A56" s="15" t="s">
        <v>4268</v>
      </c>
      <c r="B56" s="15" t="s">
        <v>4321</v>
      </c>
      <c r="C56" s="52">
        <v>155.48734300000001</v>
      </c>
      <c r="D56" s="25">
        <v>0.13472222222222222</v>
      </c>
      <c r="E56" s="53">
        <v>-23.225085</v>
      </c>
      <c r="F56" s="53">
        <v>-47.570205000000001</v>
      </c>
      <c r="G56" s="53">
        <v>-23.193725000000001</v>
      </c>
      <c r="H56" s="53">
        <v>-48.244245999999997</v>
      </c>
      <c r="I56" s="53">
        <v>-22.876194000000002</v>
      </c>
      <c r="J56" s="53">
        <v>-48.479697000000002</v>
      </c>
      <c r="L56" s="61" t="str">
        <f t="shared" si="1"/>
        <v>depósito A-Cliente51</v>
      </c>
      <c r="M56">
        <v>155.48734300000001</v>
      </c>
    </row>
    <row r="57" spans="1:32" x14ac:dyDescent="0.25">
      <c r="A57" s="15" t="s">
        <v>4269</v>
      </c>
      <c r="B57" s="15" t="s">
        <v>4268</v>
      </c>
      <c r="C57" s="54">
        <v>127.89404399999999</v>
      </c>
      <c r="D57" s="26">
        <v>0.11180555555555556</v>
      </c>
      <c r="E57" s="55">
        <v>-22.245039999999999</v>
      </c>
      <c r="F57" s="55">
        <v>-47.709145999999997</v>
      </c>
      <c r="G57" s="55">
        <v>-22.482885</v>
      </c>
      <c r="H57" s="55">
        <v>-47.579237999999997</v>
      </c>
      <c r="I57" s="55">
        <v>-22.834700000000002</v>
      </c>
      <c r="J57" s="55">
        <v>-47.565522000000001</v>
      </c>
      <c r="L57" s="61" t="str">
        <f t="shared" si="1"/>
        <v>depósito B-depósito A</v>
      </c>
      <c r="M57">
        <v>127.89404399999999</v>
      </c>
    </row>
    <row r="58" spans="1:32" x14ac:dyDescent="0.25">
      <c r="A58" s="15" t="s">
        <v>4269</v>
      </c>
      <c r="B58" s="15" t="s">
        <v>4269</v>
      </c>
      <c r="C58" s="52">
        <v>0</v>
      </c>
      <c r="D58" s="25">
        <v>0</v>
      </c>
      <c r="E58" s="53">
        <f>'1. Locais'!D3</f>
        <v>-21.820935389999999</v>
      </c>
      <c r="F58" s="53">
        <f>'1. Locais'!E3</f>
        <v>-48.17232722</v>
      </c>
      <c r="G58" s="53">
        <f>'1. Locais'!D3</f>
        <v>-21.820935389999999</v>
      </c>
      <c r="H58" s="53">
        <f>'1. Locais'!E3</f>
        <v>-48.17232722</v>
      </c>
      <c r="I58" s="53">
        <f>'1. Locais'!D3</f>
        <v>-21.820935389999999</v>
      </c>
      <c r="J58" s="53">
        <f>'1. Locais'!E3</f>
        <v>-48.17232722</v>
      </c>
      <c r="L58" s="61" t="str">
        <f t="shared" si="1"/>
        <v>depósito B-depósito B</v>
      </c>
      <c r="M58">
        <v>0</v>
      </c>
    </row>
    <row r="59" spans="1:32" x14ac:dyDescent="0.25">
      <c r="A59" s="15" t="s">
        <v>4269</v>
      </c>
      <c r="B59" s="15" t="s">
        <v>4270</v>
      </c>
      <c r="C59" s="54">
        <v>198.84921800000001</v>
      </c>
      <c r="D59" s="26">
        <v>0.16250000000000001</v>
      </c>
      <c r="E59" s="55">
        <v>-22.472742</v>
      </c>
      <c r="F59" s="55">
        <v>-47.499963999999999</v>
      </c>
      <c r="G59" s="55">
        <v>-22.932604999999999</v>
      </c>
      <c r="H59" s="55">
        <v>-46.933577</v>
      </c>
      <c r="I59" s="55">
        <v>-23.185607999999998</v>
      </c>
      <c r="J59" s="55">
        <v>-46.328091000000001</v>
      </c>
      <c r="L59" s="61" t="str">
        <f t="shared" si="1"/>
        <v>depósito B-depósito C</v>
      </c>
      <c r="M59">
        <v>198.84921800000001</v>
      </c>
    </row>
    <row r="60" spans="1:32" x14ac:dyDescent="0.25">
      <c r="A60" s="15" t="s">
        <v>4269</v>
      </c>
      <c r="B60" s="15" t="s">
        <v>4271</v>
      </c>
      <c r="C60" s="52">
        <v>120.021872</v>
      </c>
      <c r="D60" s="25">
        <v>0.1013888888888889</v>
      </c>
      <c r="E60" s="53">
        <v>-22.251729000000001</v>
      </c>
      <c r="F60" s="53">
        <v>-47.703429</v>
      </c>
      <c r="G60" s="53">
        <v>-22.502590999999999</v>
      </c>
      <c r="H60" s="53">
        <v>-47.401133000000002</v>
      </c>
      <c r="I60" s="53">
        <v>-22.810196000000001</v>
      </c>
      <c r="J60" s="53">
        <v>-47.213504999999998</v>
      </c>
      <c r="L60" s="61" t="str">
        <f t="shared" si="1"/>
        <v>depósito B-Cliente1</v>
      </c>
      <c r="M60">
        <v>120.021872</v>
      </c>
    </row>
    <row r="61" spans="1:32" x14ac:dyDescent="0.25">
      <c r="A61" s="15" t="s">
        <v>4269</v>
      </c>
      <c r="B61" s="15" t="s">
        <v>4272</v>
      </c>
      <c r="C61" s="54">
        <v>113.378776</v>
      </c>
      <c r="D61" s="26">
        <v>9.7222222222222224E-2</v>
      </c>
      <c r="E61" s="55">
        <v>-22.251729000000001</v>
      </c>
      <c r="F61" s="55">
        <v>-47.703429</v>
      </c>
      <c r="G61" s="55">
        <v>-22.502590999999999</v>
      </c>
      <c r="H61" s="55">
        <v>-47.401133000000002</v>
      </c>
      <c r="I61" s="55">
        <v>-22.810196000000001</v>
      </c>
      <c r="J61" s="55">
        <v>-47.213504999999998</v>
      </c>
      <c r="L61" s="61" t="str">
        <f t="shared" si="1"/>
        <v>depósito B-Cliente2</v>
      </c>
      <c r="M61">
        <v>113.378776</v>
      </c>
    </row>
    <row r="62" spans="1:32" x14ac:dyDescent="0.25">
      <c r="A62" s="15" t="s">
        <v>4269</v>
      </c>
      <c r="B62" s="15" t="s">
        <v>4273</v>
      </c>
      <c r="C62" s="52">
        <v>114.934072</v>
      </c>
      <c r="D62" s="25">
        <v>0.10069444444444443</v>
      </c>
      <c r="E62" s="53">
        <v>-22.273682999999998</v>
      </c>
      <c r="F62" s="53">
        <v>-47.700443</v>
      </c>
      <c r="G62" s="53">
        <v>-22.547618</v>
      </c>
      <c r="H62" s="53">
        <v>-47.374679999999998</v>
      </c>
      <c r="I62" s="53">
        <v>-22.855844000000001</v>
      </c>
      <c r="J62" s="53">
        <v>-47.150579</v>
      </c>
      <c r="L62" s="61" t="str">
        <f t="shared" si="1"/>
        <v>depósito B-Cliente3</v>
      </c>
      <c r="M62">
        <v>114.934072</v>
      </c>
    </row>
    <row r="63" spans="1:32" x14ac:dyDescent="0.25">
      <c r="A63" s="15" t="s">
        <v>4269</v>
      </c>
      <c r="B63" s="15" t="s">
        <v>4274</v>
      </c>
      <c r="C63" s="54">
        <v>111.91420100000001</v>
      </c>
      <c r="D63" s="26">
        <v>9.4444444444444442E-2</v>
      </c>
      <c r="E63" s="55">
        <v>-22.219687</v>
      </c>
      <c r="F63" s="55">
        <v>-47.764225000000003</v>
      </c>
      <c r="G63" s="55">
        <v>-22.457915</v>
      </c>
      <c r="H63" s="55">
        <v>-47.546498</v>
      </c>
      <c r="I63" s="55">
        <v>-22.739968000000001</v>
      </c>
      <c r="J63" s="55">
        <v>-47.273623000000001</v>
      </c>
      <c r="L63" s="61" t="str">
        <f t="shared" si="1"/>
        <v>depósito B-Cliente4</v>
      </c>
      <c r="M63">
        <v>111.91420100000001</v>
      </c>
    </row>
    <row r="64" spans="1:32" x14ac:dyDescent="0.25">
      <c r="A64" s="15" t="s">
        <v>4269</v>
      </c>
      <c r="B64" s="15" t="s">
        <v>4275</v>
      </c>
      <c r="C64" s="52">
        <v>112.007407</v>
      </c>
      <c r="D64" s="25">
        <v>9.4444444444444442E-2</v>
      </c>
      <c r="E64" s="53">
        <v>-22.218862000000001</v>
      </c>
      <c r="F64" s="53">
        <v>-47.764994000000002</v>
      </c>
      <c r="G64" s="53">
        <v>-22.454595000000001</v>
      </c>
      <c r="H64" s="53">
        <v>-47.552357000000001</v>
      </c>
      <c r="I64" s="53">
        <v>-22.731449000000001</v>
      </c>
      <c r="J64" s="53">
        <v>-47.290101999999997</v>
      </c>
      <c r="L64" s="61" t="str">
        <f t="shared" si="1"/>
        <v>depósito B-Cliente5</v>
      </c>
      <c r="M64">
        <v>112.007407</v>
      </c>
    </row>
    <row r="65" spans="1:13" x14ac:dyDescent="0.25">
      <c r="A65" s="15" t="s">
        <v>4269</v>
      </c>
      <c r="B65" s="15" t="s">
        <v>4276</v>
      </c>
      <c r="C65" s="54">
        <v>120.712839</v>
      </c>
      <c r="D65" s="26">
        <v>0.1013888888888889</v>
      </c>
      <c r="E65" s="55">
        <v>-22.253532</v>
      </c>
      <c r="F65" s="55">
        <v>-47.703060999999998</v>
      </c>
      <c r="G65" s="55">
        <v>-22.505400000000002</v>
      </c>
      <c r="H65" s="55">
        <v>-47.399203</v>
      </c>
      <c r="I65" s="55">
        <v>-22.814119000000002</v>
      </c>
      <c r="J65" s="55">
        <v>-47.208675999999997</v>
      </c>
      <c r="L65" s="61" t="str">
        <f t="shared" si="1"/>
        <v>depósito B-Cliente6</v>
      </c>
      <c r="M65">
        <v>120.712839</v>
      </c>
    </row>
    <row r="66" spans="1:13" x14ac:dyDescent="0.25">
      <c r="A66" s="15" t="s">
        <v>4269</v>
      </c>
      <c r="B66" s="15" t="s">
        <v>4277</v>
      </c>
      <c r="C66" s="52">
        <v>114.18718200000001</v>
      </c>
      <c r="D66" s="25">
        <v>9.5833333333333326E-2</v>
      </c>
      <c r="E66" s="53">
        <v>-22.246392</v>
      </c>
      <c r="F66" s="53">
        <v>-47.707006</v>
      </c>
      <c r="G66" s="53">
        <v>-22.463158</v>
      </c>
      <c r="H66" s="53">
        <v>-47.522733000000002</v>
      </c>
      <c r="I66" s="53">
        <v>-22.770879999999998</v>
      </c>
      <c r="J66" s="53">
        <v>-47.239131999999998</v>
      </c>
      <c r="L66" s="61" t="str">
        <f t="shared" si="1"/>
        <v>depósito B-Cliente7</v>
      </c>
      <c r="M66">
        <v>114.18718200000001</v>
      </c>
    </row>
    <row r="67" spans="1:13" x14ac:dyDescent="0.25">
      <c r="A67" s="15" t="s">
        <v>4269</v>
      </c>
      <c r="B67" s="15" t="s">
        <v>4278</v>
      </c>
      <c r="C67" s="54">
        <v>121.751153</v>
      </c>
      <c r="D67" s="26">
        <v>0.10277777777777779</v>
      </c>
      <c r="E67" s="55">
        <v>-22.253532</v>
      </c>
      <c r="F67" s="55">
        <v>-47.703060999999998</v>
      </c>
      <c r="G67" s="55">
        <v>-22.505400000000002</v>
      </c>
      <c r="H67" s="55">
        <v>-47.399203</v>
      </c>
      <c r="I67" s="55">
        <v>-22.814119000000002</v>
      </c>
      <c r="J67" s="55">
        <v>-47.208675999999997</v>
      </c>
      <c r="L67" s="61" t="str">
        <f t="shared" si="1"/>
        <v>depósito B-Cliente8</v>
      </c>
      <c r="M67">
        <v>121.751153</v>
      </c>
    </row>
    <row r="68" spans="1:13" x14ac:dyDescent="0.25">
      <c r="A68" s="15" t="s">
        <v>4269</v>
      </c>
      <c r="B68" s="15" t="s">
        <v>4279</v>
      </c>
      <c r="C68" s="52">
        <v>93.561335999999997</v>
      </c>
      <c r="D68" s="25">
        <v>7.9166666666666663E-2</v>
      </c>
      <c r="E68" s="53">
        <v>-22.046606000000001</v>
      </c>
      <c r="F68" s="53">
        <v>-47.860967000000002</v>
      </c>
      <c r="G68" s="53">
        <v>-22.323651000000002</v>
      </c>
      <c r="H68" s="53">
        <v>-47.656435999999999</v>
      </c>
      <c r="I68" s="53">
        <v>-22.550545</v>
      </c>
      <c r="J68" s="53">
        <v>-47.372596999999999</v>
      </c>
      <c r="L68" s="61" t="str">
        <f t="shared" si="1"/>
        <v>depósito B-Cliente9</v>
      </c>
      <c r="M68">
        <v>93.561335999999997</v>
      </c>
    </row>
    <row r="69" spans="1:13" x14ac:dyDescent="0.25">
      <c r="A69" s="15" t="s">
        <v>4269</v>
      </c>
      <c r="B69" s="15" t="s">
        <v>4280</v>
      </c>
      <c r="C69" s="54">
        <v>167.60721799999999</v>
      </c>
      <c r="D69" s="26">
        <v>0.1423611111111111</v>
      </c>
      <c r="E69" s="55">
        <v>-22.356217000000001</v>
      </c>
      <c r="F69" s="55">
        <v>-47.643647999999999</v>
      </c>
      <c r="G69" s="55">
        <v>-22.863769999999999</v>
      </c>
      <c r="H69" s="55">
        <v>-47.136952999999998</v>
      </c>
      <c r="I69" s="55">
        <v>-23.296662000000001</v>
      </c>
      <c r="J69" s="55">
        <v>-46.841473999999998</v>
      </c>
      <c r="L69" s="61" t="str">
        <f t="shared" si="1"/>
        <v>depósito B-Cliente10</v>
      </c>
      <c r="M69">
        <v>167.60721799999999</v>
      </c>
    </row>
    <row r="70" spans="1:13" x14ac:dyDescent="0.25">
      <c r="A70" s="15" t="s">
        <v>4269</v>
      </c>
      <c r="B70" s="15" t="s">
        <v>4281</v>
      </c>
      <c r="C70" s="52">
        <v>85.814059999999998</v>
      </c>
      <c r="D70" s="25">
        <v>7.1527777777777787E-2</v>
      </c>
      <c r="E70" s="53">
        <v>-22.030982999999999</v>
      </c>
      <c r="F70" s="53">
        <v>-47.860022999999998</v>
      </c>
      <c r="G70" s="53">
        <v>-22.302593000000002</v>
      </c>
      <c r="H70" s="53">
        <v>-47.670093000000001</v>
      </c>
      <c r="I70" s="53">
        <v>-22.551462000000001</v>
      </c>
      <c r="J70" s="53">
        <v>-47.582458000000003</v>
      </c>
      <c r="L70" s="61" t="str">
        <f t="shared" si="1"/>
        <v>depósito B-Cliente11</v>
      </c>
      <c r="M70">
        <v>85.814059999999998</v>
      </c>
    </row>
    <row r="71" spans="1:13" x14ac:dyDescent="0.25">
      <c r="A71" s="15" t="s">
        <v>4269</v>
      </c>
      <c r="B71" s="15" t="s">
        <v>4282</v>
      </c>
      <c r="C71" s="54">
        <v>197.89044000000001</v>
      </c>
      <c r="D71" s="26">
        <v>0.16250000000000001</v>
      </c>
      <c r="E71" s="55">
        <v>-22.492487000000001</v>
      </c>
      <c r="F71" s="55">
        <v>-47.433608</v>
      </c>
      <c r="G71" s="55">
        <v>-22.932938</v>
      </c>
      <c r="H71" s="55">
        <v>-46.930787000000002</v>
      </c>
      <c r="I71" s="55">
        <v>-23.179466999999999</v>
      </c>
      <c r="J71" s="55">
        <v>-46.320461000000002</v>
      </c>
      <c r="L71" s="61" t="str">
        <f t="shared" si="1"/>
        <v>depósito B-Cliente12</v>
      </c>
      <c r="M71">
        <v>197.89044000000001</v>
      </c>
    </row>
    <row r="72" spans="1:13" x14ac:dyDescent="0.25">
      <c r="A72" s="15" t="s">
        <v>4269</v>
      </c>
      <c r="B72" s="15" t="s">
        <v>4283</v>
      </c>
      <c r="C72" s="52">
        <v>205.774417</v>
      </c>
      <c r="D72" s="25">
        <v>0.16805555555555554</v>
      </c>
      <c r="E72" s="53">
        <v>-22.505400000000002</v>
      </c>
      <c r="F72" s="53">
        <v>-47.399203</v>
      </c>
      <c r="G72" s="53">
        <v>-22.933971</v>
      </c>
      <c r="H72" s="53">
        <v>-46.898966000000001</v>
      </c>
      <c r="I72" s="53">
        <v>-23.182198</v>
      </c>
      <c r="J72" s="53">
        <v>-46.292687000000001</v>
      </c>
      <c r="L72" s="61" t="str">
        <f t="shared" si="1"/>
        <v>depósito B-Cliente13</v>
      </c>
      <c r="M72">
        <v>205.774417</v>
      </c>
    </row>
    <row r="73" spans="1:13" x14ac:dyDescent="0.25">
      <c r="A73" s="15" t="s">
        <v>4269</v>
      </c>
      <c r="B73" s="15" t="s">
        <v>4284</v>
      </c>
      <c r="C73" s="54">
        <v>203.83697699999999</v>
      </c>
      <c r="D73" s="26">
        <v>0.16527777777777777</v>
      </c>
      <c r="E73" s="55">
        <v>-22.463932</v>
      </c>
      <c r="F73" s="55">
        <v>-47.520836000000003</v>
      </c>
      <c r="G73" s="55">
        <v>-22.928583</v>
      </c>
      <c r="H73" s="55">
        <v>-46.941023999999999</v>
      </c>
      <c r="I73" s="55">
        <v>-23.193764999999999</v>
      </c>
      <c r="J73" s="55">
        <v>-46.343347999999999</v>
      </c>
      <c r="L73" s="61" t="str">
        <f t="shared" si="1"/>
        <v>depósito B-Cliente14</v>
      </c>
      <c r="M73">
        <v>203.83697699999999</v>
      </c>
    </row>
    <row r="74" spans="1:13" x14ac:dyDescent="0.25">
      <c r="A74" s="15" t="s">
        <v>4269</v>
      </c>
      <c r="B74" s="15" t="s">
        <v>4285</v>
      </c>
      <c r="C74" s="52">
        <v>207.56956299999999</v>
      </c>
      <c r="D74" s="25">
        <v>0.17361111111111113</v>
      </c>
      <c r="E74" s="53">
        <v>-22.521920000000001</v>
      </c>
      <c r="F74" s="53">
        <v>-47.392260999999998</v>
      </c>
      <c r="G74" s="53">
        <v>-22.965029000000001</v>
      </c>
      <c r="H74" s="53">
        <v>-46.843806999999998</v>
      </c>
      <c r="I74" s="53">
        <v>-23.164223</v>
      </c>
      <c r="J74" s="53">
        <v>-46.228814</v>
      </c>
      <c r="L74" s="61" t="str">
        <f t="shared" si="1"/>
        <v>depósito B-Cliente15</v>
      </c>
      <c r="M74">
        <v>207.56956299999999</v>
      </c>
    </row>
    <row r="75" spans="1:13" x14ac:dyDescent="0.25">
      <c r="A75" s="15" t="s">
        <v>4269</v>
      </c>
      <c r="B75" s="15" t="s">
        <v>4286</v>
      </c>
      <c r="C75" s="54">
        <v>205.146209</v>
      </c>
      <c r="D75" s="26">
        <v>0.16944444444444443</v>
      </c>
      <c r="E75" s="55">
        <v>-22.504286</v>
      </c>
      <c r="F75" s="55">
        <v>-47.399718999999997</v>
      </c>
      <c r="G75" s="55">
        <v>-22.931801</v>
      </c>
      <c r="H75" s="55">
        <v>-46.900883</v>
      </c>
      <c r="I75" s="55">
        <v>-23.181771999999999</v>
      </c>
      <c r="J75" s="55">
        <v>-46.302263000000004</v>
      </c>
      <c r="L75" s="61" t="str">
        <f t="shared" si="1"/>
        <v>depósito B-Cliente16</v>
      </c>
      <c r="M75">
        <v>205.146209</v>
      </c>
    </row>
    <row r="76" spans="1:13" x14ac:dyDescent="0.25">
      <c r="A76" s="15" t="s">
        <v>4269</v>
      </c>
      <c r="B76" s="15" t="s">
        <v>4287</v>
      </c>
      <c r="C76" s="52">
        <v>206.201921</v>
      </c>
      <c r="D76" s="25">
        <v>0.16805555555555554</v>
      </c>
      <c r="E76" s="53">
        <v>-22.505400000000002</v>
      </c>
      <c r="F76" s="53">
        <v>-47.399203</v>
      </c>
      <c r="G76" s="53">
        <v>-22.933971</v>
      </c>
      <c r="H76" s="53">
        <v>-46.898966000000001</v>
      </c>
      <c r="I76" s="53">
        <v>-23.182198</v>
      </c>
      <c r="J76" s="53">
        <v>-46.292687000000001</v>
      </c>
      <c r="L76" s="61" t="str">
        <f t="shared" si="1"/>
        <v>depósito B-Cliente17</v>
      </c>
      <c r="M76">
        <v>206.201921</v>
      </c>
    </row>
    <row r="77" spans="1:13" x14ac:dyDescent="0.25">
      <c r="A77" s="15" t="s">
        <v>4269</v>
      </c>
      <c r="B77" s="15" t="s">
        <v>4288</v>
      </c>
      <c r="C77" s="54">
        <v>211.02998700000001</v>
      </c>
      <c r="D77" s="26">
        <v>0.17291666666666669</v>
      </c>
      <c r="E77" s="55">
        <v>-22.501626000000002</v>
      </c>
      <c r="F77" s="55">
        <v>-47.402728000000003</v>
      </c>
      <c r="G77" s="55">
        <v>-22.928719000000001</v>
      </c>
      <c r="H77" s="55">
        <v>-46.913853000000003</v>
      </c>
      <c r="I77" s="55">
        <v>-23.178795999999998</v>
      </c>
      <c r="J77" s="55">
        <v>-46.313901999999999</v>
      </c>
      <c r="L77" s="61" t="str">
        <f t="shared" si="1"/>
        <v>depósito B-Cliente18</v>
      </c>
      <c r="M77">
        <v>211.02998700000001</v>
      </c>
    </row>
    <row r="78" spans="1:13" x14ac:dyDescent="0.25">
      <c r="A78" s="15" t="s">
        <v>4269</v>
      </c>
      <c r="B78" s="15" t="s">
        <v>4289</v>
      </c>
      <c r="C78" s="52">
        <v>164.38726399999999</v>
      </c>
      <c r="D78" s="25">
        <v>0.13333333333333333</v>
      </c>
      <c r="E78" s="53">
        <v>-22.338709000000001</v>
      </c>
      <c r="F78" s="53">
        <v>-47.651142999999998</v>
      </c>
      <c r="G78" s="53">
        <v>-22.815078</v>
      </c>
      <c r="H78" s="53">
        <v>-47.207166000000001</v>
      </c>
      <c r="I78" s="53">
        <v>-23.249438999999999</v>
      </c>
      <c r="J78" s="53">
        <v>-46.876894999999998</v>
      </c>
      <c r="L78" s="61" t="str">
        <f t="shared" si="1"/>
        <v>depósito B-Cliente19</v>
      </c>
      <c r="M78">
        <v>164.38726399999999</v>
      </c>
    </row>
    <row r="79" spans="1:13" x14ac:dyDescent="0.25">
      <c r="A79" s="15" t="s">
        <v>4269</v>
      </c>
      <c r="B79" s="15" t="s">
        <v>4290</v>
      </c>
      <c r="C79" s="54">
        <v>165.959337</v>
      </c>
      <c r="D79" s="26">
        <v>0.13680555555555554</v>
      </c>
      <c r="E79" s="55">
        <v>-22.347059000000002</v>
      </c>
      <c r="F79" s="55">
        <v>-47.651226999999999</v>
      </c>
      <c r="G79" s="55">
        <v>-22.835854999999999</v>
      </c>
      <c r="H79" s="55">
        <v>-47.174379999999999</v>
      </c>
      <c r="I79" s="55">
        <v>-23.275825000000001</v>
      </c>
      <c r="J79" s="55">
        <v>-46.850839000000001</v>
      </c>
      <c r="L79" s="61" t="str">
        <f t="shared" si="1"/>
        <v>depósito B-Cliente20</v>
      </c>
      <c r="M79">
        <v>165.959337</v>
      </c>
    </row>
    <row r="80" spans="1:13" x14ac:dyDescent="0.25">
      <c r="A80" s="15" t="s">
        <v>4269</v>
      </c>
      <c r="B80" s="15" t="s">
        <v>4291</v>
      </c>
      <c r="C80" s="52">
        <v>165.561037</v>
      </c>
      <c r="D80" s="25">
        <v>0.13749999999999998</v>
      </c>
      <c r="E80" s="53">
        <v>-22.360681</v>
      </c>
      <c r="F80" s="53">
        <v>-47.635776</v>
      </c>
      <c r="G80" s="53">
        <v>-22.864706999999999</v>
      </c>
      <c r="H80" s="53">
        <v>-47.135399999999997</v>
      </c>
      <c r="I80" s="53">
        <v>-23.303367999999999</v>
      </c>
      <c r="J80" s="53">
        <v>-46.840018000000001</v>
      </c>
      <c r="L80" s="61" t="str">
        <f t="shared" si="1"/>
        <v>depósito B-Cliente21</v>
      </c>
      <c r="M80">
        <v>165.561037</v>
      </c>
    </row>
    <row r="81" spans="1:13" x14ac:dyDescent="0.25">
      <c r="A81" s="15" t="s">
        <v>4269</v>
      </c>
      <c r="B81" s="15" t="s">
        <v>4292</v>
      </c>
      <c r="C81" s="54">
        <v>164.684281</v>
      </c>
      <c r="D81" s="26">
        <v>0.1361111111111111</v>
      </c>
      <c r="E81" s="55">
        <v>-22.353815000000001</v>
      </c>
      <c r="F81" s="55">
        <v>-47.646407000000004</v>
      </c>
      <c r="G81" s="55">
        <v>-22.847170999999999</v>
      </c>
      <c r="H81" s="55">
        <v>-47.163587999999997</v>
      </c>
      <c r="I81" s="55">
        <v>-23.290033999999999</v>
      </c>
      <c r="J81" s="55">
        <v>-46.846899999999998</v>
      </c>
      <c r="L81" s="61" t="str">
        <f t="shared" si="1"/>
        <v>depósito B-Cliente22</v>
      </c>
      <c r="M81">
        <v>164.684281</v>
      </c>
    </row>
    <row r="82" spans="1:13" x14ac:dyDescent="0.25">
      <c r="A82" s="15" t="s">
        <v>4269</v>
      </c>
      <c r="B82" s="15" t="s">
        <v>4293</v>
      </c>
      <c r="C82" s="52">
        <v>173.83461500000001</v>
      </c>
      <c r="D82" s="25">
        <v>0.14375000000000002</v>
      </c>
      <c r="E82" s="53">
        <v>-22.439316000000002</v>
      </c>
      <c r="F82" s="53">
        <v>-47.567639</v>
      </c>
      <c r="G82" s="53">
        <v>-22.921543</v>
      </c>
      <c r="H82" s="53">
        <v>-47.133260999999997</v>
      </c>
      <c r="I82" s="53">
        <v>-23.355848999999999</v>
      </c>
      <c r="J82" s="53">
        <v>-46.792028000000002</v>
      </c>
      <c r="L82" s="61" t="str">
        <f t="shared" ref="L82:L145" si="2">_xlfn.CONCAT(A82,"-",B82)</f>
        <v>depósito B-Cliente23</v>
      </c>
      <c r="M82">
        <v>173.83461500000001</v>
      </c>
    </row>
    <row r="83" spans="1:13" x14ac:dyDescent="0.25">
      <c r="A83" s="15" t="s">
        <v>4269</v>
      </c>
      <c r="B83" s="15" t="s">
        <v>4294</v>
      </c>
      <c r="C83" s="54">
        <v>174.81389899999999</v>
      </c>
      <c r="D83" s="26">
        <v>0.14583333333333334</v>
      </c>
      <c r="E83" s="55">
        <v>-22.442163000000001</v>
      </c>
      <c r="F83" s="55">
        <v>-47.565666</v>
      </c>
      <c r="G83" s="55">
        <v>-22.924717000000001</v>
      </c>
      <c r="H83" s="55">
        <v>-47.131155</v>
      </c>
      <c r="I83" s="55">
        <v>-23.357445999999999</v>
      </c>
      <c r="J83" s="55">
        <v>-46.787207000000002</v>
      </c>
      <c r="L83" s="61" t="str">
        <f t="shared" si="2"/>
        <v>depósito B-Cliente24</v>
      </c>
      <c r="M83">
        <v>174.81389899999999</v>
      </c>
    </row>
    <row r="84" spans="1:13" x14ac:dyDescent="0.25">
      <c r="A84" s="15" t="s">
        <v>4269</v>
      </c>
      <c r="B84" s="15" t="s">
        <v>4295</v>
      </c>
      <c r="C84" s="52">
        <v>177.63431</v>
      </c>
      <c r="D84" s="25">
        <v>0.14861111111111111</v>
      </c>
      <c r="E84" s="53">
        <v>-22.443908</v>
      </c>
      <c r="F84" s="53">
        <v>-47.564292999999999</v>
      </c>
      <c r="G84" s="53">
        <v>-22.926476999999998</v>
      </c>
      <c r="H84" s="53">
        <v>-47.130132000000003</v>
      </c>
      <c r="I84" s="53">
        <v>-23.359144000000001</v>
      </c>
      <c r="J84" s="53">
        <v>-46.785300999999997</v>
      </c>
      <c r="L84" s="61" t="str">
        <f t="shared" si="2"/>
        <v>depósito B-Cliente25</v>
      </c>
      <c r="M84">
        <v>177.63431</v>
      </c>
    </row>
    <row r="85" spans="1:13" x14ac:dyDescent="0.25">
      <c r="A85" s="15" t="s">
        <v>4269</v>
      </c>
      <c r="B85" s="15" t="s">
        <v>4296</v>
      </c>
      <c r="C85" s="54">
        <v>169.29673</v>
      </c>
      <c r="D85" s="26">
        <v>0.1388888888888889</v>
      </c>
      <c r="E85" s="55">
        <v>-22.415762999999998</v>
      </c>
      <c r="F85" s="55">
        <v>-47.580205999999997</v>
      </c>
      <c r="G85" s="55">
        <v>-22.89827</v>
      </c>
      <c r="H85" s="55">
        <v>-47.136758999999998</v>
      </c>
      <c r="I85" s="55">
        <v>-23.345116000000001</v>
      </c>
      <c r="J85" s="55">
        <v>-46.815179000000001</v>
      </c>
      <c r="L85" s="61" t="str">
        <f t="shared" si="2"/>
        <v>depósito B-Cliente26</v>
      </c>
      <c r="M85">
        <v>169.29673</v>
      </c>
    </row>
    <row r="86" spans="1:13" x14ac:dyDescent="0.25">
      <c r="A86" s="15" t="s">
        <v>4269</v>
      </c>
      <c r="B86" s="15" t="s">
        <v>4297</v>
      </c>
      <c r="C86" s="52">
        <v>175.613606</v>
      </c>
      <c r="D86" s="25">
        <v>0.14652777777777778</v>
      </c>
      <c r="E86" s="53">
        <v>-22.443908</v>
      </c>
      <c r="F86" s="53">
        <v>-47.564292999999999</v>
      </c>
      <c r="G86" s="53">
        <v>-22.926476999999998</v>
      </c>
      <c r="H86" s="53">
        <v>-47.130132000000003</v>
      </c>
      <c r="I86" s="53">
        <v>-23.359144000000001</v>
      </c>
      <c r="J86" s="53">
        <v>-46.785300999999997</v>
      </c>
      <c r="L86" s="61" t="str">
        <f t="shared" si="2"/>
        <v>depósito B-Cliente27</v>
      </c>
      <c r="M86">
        <v>175.613606</v>
      </c>
    </row>
    <row r="87" spans="1:13" x14ac:dyDescent="0.25">
      <c r="A87" s="15" t="s">
        <v>4269</v>
      </c>
      <c r="B87" s="15" t="s">
        <v>4298</v>
      </c>
      <c r="C87" s="54">
        <v>176.94520700000001</v>
      </c>
      <c r="D87" s="26">
        <v>0.15277777777777776</v>
      </c>
      <c r="E87" s="55">
        <v>-22.443908</v>
      </c>
      <c r="F87" s="55">
        <v>-47.564292999999999</v>
      </c>
      <c r="G87" s="55">
        <v>-22.926476999999998</v>
      </c>
      <c r="H87" s="55">
        <v>-47.130132000000003</v>
      </c>
      <c r="I87" s="55">
        <v>-23.359144000000001</v>
      </c>
      <c r="J87" s="55">
        <v>-46.785300999999997</v>
      </c>
      <c r="L87" s="61" t="str">
        <f t="shared" si="2"/>
        <v>depósito B-Cliente28</v>
      </c>
      <c r="M87">
        <v>176.94520700000001</v>
      </c>
    </row>
    <row r="88" spans="1:13" x14ac:dyDescent="0.25">
      <c r="A88" s="15" t="s">
        <v>4269</v>
      </c>
      <c r="B88" s="15" t="s">
        <v>4299</v>
      </c>
      <c r="C88" s="52">
        <v>179.20762500000001</v>
      </c>
      <c r="D88" s="25">
        <v>0.15694444444444444</v>
      </c>
      <c r="E88" s="53">
        <v>-22.450212000000001</v>
      </c>
      <c r="F88" s="53">
        <v>-47.558177000000001</v>
      </c>
      <c r="G88" s="53">
        <v>-22.943541</v>
      </c>
      <c r="H88" s="53">
        <v>-47.126103999999998</v>
      </c>
      <c r="I88" s="53">
        <v>-23.379301999999999</v>
      </c>
      <c r="J88" s="53">
        <v>-46.771503000000003</v>
      </c>
      <c r="L88" s="61" t="str">
        <f t="shared" si="2"/>
        <v>depósito B-Cliente29</v>
      </c>
      <c r="M88">
        <v>179.20762500000001</v>
      </c>
    </row>
    <row r="89" spans="1:13" x14ac:dyDescent="0.25">
      <c r="A89" s="15" t="s">
        <v>4269</v>
      </c>
      <c r="B89" s="15" t="s">
        <v>4300</v>
      </c>
      <c r="C89" s="54">
        <v>183.267054</v>
      </c>
      <c r="D89" s="26">
        <v>0.16597222222222222</v>
      </c>
      <c r="E89" s="55">
        <v>-22.462834999999998</v>
      </c>
      <c r="F89" s="55">
        <v>-47.523733</v>
      </c>
      <c r="G89" s="55">
        <v>-23.016147</v>
      </c>
      <c r="H89" s="55">
        <v>-47.083191999999997</v>
      </c>
      <c r="I89" s="55">
        <v>-23.489622000000001</v>
      </c>
      <c r="J89" s="55">
        <v>-46.736199999999997</v>
      </c>
      <c r="L89" s="61" t="str">
        <f t="shared" si="2"/>
        <v>depósito B-Cliente30</v>
      </c>
      <c r="M89">
        <v>183.267054</v>
      </c>
    </row>
    <row r="90" spans="1:13" x14ac:dyDescent="0.25">
      <c r="A90" s="15" t="s">
        <v>4269</v>
      </c>
      <c r="B90" s="15" t="s">
        <v>4301</v>
      </c>
      <c r="C90" s="52">
        <v>174.571563</v>
      </c>
      <c r="D90" s="25">
        <v>0.15347222222222223</v>
      </c>
      <c r="E90" s="53">
        <v>-22.46059</v>
      </c>
      <c r="F90" s="53">
        <v>-47.539946999999998</v>
      </c>
      <c r="G90" s="53">
        <v>-22.988553</v>
      </c>
      <c r="H90" s="53">
        <v>-47.111597000000003</v>
      </c>
      <c r="I90" s="53">
        <v>-23.428857000000001</v>
      </c>
      <c r="J90" s="53">
        <v>-46.760888999999999</v>
      </c>
      <c r="L90" s="61" t="str">
        <f t="shared" si="2"/>
        <v>depósito B-Cliente31</v>
      </c>
      <c r="M90">
        <v>174.571563</v>
      </c>
    </row>
    <row r="91" spans="1:13" x14ac:dyDescent="0.25">
      <c r="A91" s="15" t="s">
        <v>4269</v>
      </c>
      <c r="B91" s="15" t="s">
        <v>4302</v>
      </c>
      <c r="C91" s="54">
        <v>164.13312300000001</v>
      </c>
      <c r="D91" s="26">
        <v>0.13749999999999998</v>
      </c>
      <c r="E91" s="55">
        <v>-22.413716999999998</v>
      </c>
      <c r="F91" s="55">
        <v>-47.581795999999997</v>
      </c>
      <c r="G91" s="55">
        <v>-22.887784</v>
      </c>
      <c r="H91" s="55">
        <v>-47.132292</v>
      </c>
      <c r="I91" s="55">
        <v>-23.338241</v>
      </c>
      <c r="J91" s="55">
        <v>-46.821655</v>
      </c>
      <c r="L91" s="61" t="str">
        <f t="shared" si="2"/>
        <v>depósito B-Cliente32</v>
      </c>
      <c r="M91">
        <v>164.13312300000001</v>
      </c>
    </row>
    <row r="92" spans="1:13" x14ac:dyDescent="0.25">
      <c r="A92" s="15" t="s">
        <v>4269</v>
      </c>
      <c r="B92" s="15" t="s">
        <v>4303</v>
      </c>
      <c r="C92" s="52">
        <v>177.29069100000001</v>
      </c>
      <c r="D92" s="25">
        <v>0.15</v>
      </c>
      <c r="E92" s="53">
        <v>-22.442163000000001</v>
      </c>
      <c r="F92" s="53">
        <v>-47.565666</v>
      </c>
      <c r="G92" s="53">
        <v>-22.924717000000001</v>
      </c>
      <c r="H92" s="53">
        <v>-47.131155</v>
      </c>
      <c r="I92" s="53">
        <v>-23.357218</v>
      </c>
      <c r="J92" s="53">
        <v>-46.787655999999998</v>
      </c>
      <c r="L92" s="61" t="str">
        <f t="shared" si="2"/>
        <v>depósito B-Cliente33</v>
      </c>
      <c r="M92">
        <v>177.29069100000001</v>
      </c>
    </row>
    <row r="93" spans="1:13" x14ac:dyDescent="0.25">
      <c r="A93" s="15" t="s">
        <v>4269</v>
      </c>
      <c r="B93" s="15" t="s">
        <v>4304</v>
      </c>
      <c r="C93" s="54">
        <v>164.79488499999999</v>
      </c>
      <c r="D93" s="26">
        <v>0.15138888888888888</v>
      </c>
      <c r="E93" s="55">
        <v>-22.510155000000001</v>
      </c>
      <c r="F93" s="55">
        <v>-47.397657000000002</v>
      </c>
      <c r="G93" s="55">
        <v>-23.111121000000001</v>
      </c>
      <c r="H93" s="55">
        <v>-47.003929999999997</v>
      </c>
      <c r="I93" s="55">
        <v>-23.408297999999998</v>
      </c>
      <c r="J93" s="55">
        <v>-46.869742000000002</v>
      </c>
      <c r="L93" s="61" t="str">
        <f t="shared" si="2"/>
        <v>depósito B-Cliente34</v>
      </c>
      <c r="M93">
        <v>164.79488499999999</v>
      </c>
    </row>
    <row r="94" spans="1:13" x14ac:dyDescent="0.25">
      <c r="A94" s="15" t="s">
        <v>4269</v>
      </c>
      <c r="B94" s="15" t="s">
        <v>4305</v>
      </c>
      <c r="C94" s="52">
        <v>161.76072199999999</v>
      </c>
      <c r="D94" s="25">
        <v>0.14583333333333334</v>
      </c>
      <c r="E94" s="53">
        <v>-22.471487</v>
      </c>
      <c r="F94" s="53">
        <v>-47.503176000000003</v>
      </c>
      <c r="G94" s="53">
        <v>-23.03773</v>
      </c>
      <c r="H94" s="53">
        <v>-47.069488</v>
      </c>
      <c r="I94" s="53">
        <v>-23.381692999999999</v>
      </c>
      <c r="J94" s="53">
        <v>-46.858483999999997</v>
      </c>
      <c r="L94" s="61" t="str">
        <f t="shared" si="2"/>
        <v>depósito B-Cliente35</v>
      </c>
      <c r="M94">
        <v>161.76072199999999</v>
      </c>
    </row>
    <row r="95" spans="1:13" x14ac:dyDescent="0.25">
      <c r="A95" s="15" t="s">
        <v>4269</v>
      </c>
      <c r="B95" s="15" t="s">
        <v>4306</v>
      </c>
      <c r="C95" s="54">
        <v>30.136578</v>
      </c>
      <c r="D95" s="26">
        <v>2.7777777777777776E-2</v>
      </c>
      <c r="E95" s="55">
        <v>-21.819904999999999</v>
      </c>
      <c r="F95" s="55">
        <v>-48.177216999999999</v>
      </c>
      <c r="G95" s="55">
        <v>-21.992556</v>
      </c>
      <c r="H95" s="55">
        <v>-47.881655000000002</v>
      </c>
      <c r="I95" s="55">
        <v>-22.034324999999999</v>
      </c>
      <c r="J95" s="55">
        <v>-47.871352999999999</v>
      </c>
      <c r="L95" s="61" t="str">
        <f t="shared" si="2"/>
        <v>depósito B-Cliente36</v>
      </c>
      <c r="M95">
        <v>30.136578</v>
      </c>
    </row>
    <row r="96" spans="1:13" x14ac:dyDescent="0.25">
      <c r="A96" s="15" t="s">
        <v>4269</v>
      </c>
      <c r="B96" s="15" t="s">
        <v>4307</v>
      </c>
      <c r="C96" s="52">
        <v>29.080864999999999</v>
      </c>
      <c r="D96" s="25">
        <v>2.5694444444444447E-2</v>
      </c>
      <c r="E96" s="53">
        <v>-21.819246</v>
      </c>
      <c r="F96" s="53">
        <v>-48.178885999999999</v>
      </c>
      <c r="G96" s="53">
        <v>-21.961998000000001</v>
      </c>
      <c r="H96" s="53">
        <v>-47.976990000000001</v>
      </c>
      <c r="I96" s="53">
        <v>-22.034254000000001</v>
      </c>
      <c r="J96" s="53">
        <v>-47.860798000000003</v>
      </c>
      <c r="L96" s="61" t="str">
        <f t="shared" si="2"/>
        <v>depósito B-Cliente37</v>
      </c>
      <c r="M96">
        <v>29.080864999999999</v>
      </c>
    </row>
    <row r="97" spans="1:13" x14ac:dyDescent="0.25">
      <c r="A97" s="15" t="s">
        <v>4269</v>
      </c>
      <c r="B97" s="15" t="s">
        <v>4308</v>
      </c>
      <c r="C97" s="54">
        <v>27.731244</v>
      </c>
      <c r="D97" s="26">
        <v>2.361111111111111E-2</v>
      </c>
      <c r="E97" s="55">
        <v>-21.819246</v>
      </c>
      <c r="F97" s="55">
        <v>-48.178885999999999</v>
      </c>
      <c r="G97" s="55">
        <v>-21.961998000000001</v>
      </c>
      <c r="H97" s="55">
        <v>-47.976990000000001</v>
      </c>
      <c r="I97" s="55">
        <v>-22.034254000000001</v>
      </c>
      <c r="J97" s="55">
        <v>-47.860798000000003</v>
      </c>
      <c r="L97" s="61" t="str">
        <f t="shared" si="2"/>
        <v>depósito B-Cliente38</v>
      </c>
      <c r="M97">
        <v>27.731244</v>
      </c>
    </row>
    <row r="98" spans="1:13" x14ac:dyDescent="0.25">
      <c r="A98" s="15" t="s">
        <v>4269</v>
      </c>
      <c r="B98" s="15" t="s">
        <v>4309</v>
      </c>
      <c r="C98" s="52">
        <v>232.036114</v>
      </c>
      <c r="D98" s="25">
        <v>0.19236111111111112</v>
      </c>
      <c r="E98" s="53">
        <v>-22.516029</v>
      </c>
      <c r="F98" s="53">
        <v>-47.394624999999998</v>
      </c>
      <c r="G98" s="53">
        <v>-22.955891999999999</v>
      </c>
      <c r="H98" s="53">
        <v>-46.856689000000003</v>
      </c>
      <c r="I98" s="53">
        <v>-23.171847</v>
      </c>
      <c r="J98" s="53">
        <v>-46.244919000000003</v>
      </c>
      <c r="L98" s="61" t="str">
        <f t="shared" si="2"/>
        <v>depósito B-Cliente39</v>
      </c>
      <c r="M98">
        <v>232.036114</v>
      </c>
    </row>
    <row r="99" spans="1:13" x14ac:dyDescent="0.25">
      <c r="A99" s="15" t="s">
        <v>4269</v>
      </c>
      <c r="B99" s="15" t="s">
        <v>4310</v>
      </c>
      <c r="C99" s="54">
        <v>233.597624</v>
      </c>
      <c r="D99" s="26">
        <v>0.19583333333333333</v>
      </c>
      <c r="E99" s="55">
        <v>-22.531219</v>
      </c>
      <c r="F99" s="55">
        <v>-47.385983000000003</v>
      </c>
      <c r="G99" s="55">
        <v>-22.974385999999999</v>
      </c>
      <c r="H99" s="55">
        <v>-46.835890999999997</v>
      </c>
      <c r="I99" s="55">
        <v>-23.164383999999998</v>
      </c>
      <c r="J99" s="55">
        <v>-46.226542000000002</v>
      </c>
      <c r="L99" s="61" t="str">
        <f t="shared" si="2"/>
        <v>depósito B-Cliente40</v>
      </c>
      <c r="M99">
        <v>233.597624</v>
      </c>
    </row>
    <row r="100" spans="1:13" x14ac:dyDescent="0.25">
      <c r="A100" s="15" t="s">
        <v>4269</v>
      </c>
      <c r="B100" s="15" t="s">
        <v>4311</v>
      </c>
      <c r="C100" s="52">
        <v>223.07467700000001</v>
      </c>
      <c r="D100" s="25">
        <v>0.18680555555555556</v>
      </c>
      <c r="E100" s="53">
        <v>-22.531219</v>
      </c>
      <c r="F100" s="53">
        <v>-47.385983000000003</v>
      </c>
      <c r="G100" s="53">
        <v>-22.974385999999999</v>
      </c>
      <c r="H100" s="53">
        <v>-46.835890999999997</v>
      </c>
      <c r="I100" s="53">
        <v>-23.164383999999998</v>
      </c>
      <c r="J100" s="53">
        <v>-46.226542000000002</v>
      </c>
      <c r="L100" s="61" t="str">
        <f t="shared" si="2"/>
        <v>depósito B-Cliente41</v>
      </c>
      <c r="M100">
        <v>223.07467700000001</v>
      </c>
    </row>
    <row r="101" spans="1:13" x14ac:dyDescent="0.25">
      <c r="A101" s="15" t="s">
        <v>4269</v>
      </c>
      <c r="B101" s="15" t="s">
        <v>4312</v>
      </c>
      <c r="C101" s="54">
        <v>219.60368800000001</v>
      </c>
      <c r="D101" s="26">
        <v>0.17916666666666667</v>
      </c>
      <c r="E101" s="55">
        <v>-22.501626000000002</v>
      </c>
      <c r="F101" s="55">
        <v>-47.402728000000003</v>
      </c>
      <c r="G101" s="55">
        <v>-22.928719000000001</v>
      </c>
      <c r="H101" s="55">
        <v>-46.913853000000003</v>
      </c>
      <c r="I101" s="55">
        <v>-23.178795999999998</v>
      </c>
      <c r="J101" s="55">
        <v>-46.313901999999999</v>
      </c>
      <c r="L101" s="61" t="str">
        <f t="shared" si="2"/>
        <v>depósito B-Cliente42</v>
      </c>
      <c r="M101">
        <v>219.60368800000001</v>
      </c>
    </row>
    <row r="102" spans="1:13" x14ac:dyDescent="0.25">
      <c r="A102" s="15" t="s">
        <v>4269</v>
      </c>
      <c r="B102" s="15" t="s">
        <v>4313</v>
      </c>
      <c r="C102" s="52">
        <v>242.25645299999999</v>
      </c>
      <c r="D102" s="25">
        <v>0.19999999999999998</v>
      </c>
      <c r="E102" s="53">
        <v>-22.550671000000001</v>
      </c>
      <c r="F102" s="53">
        <v>-47.372504999999997</v>
      </c>
      <c r="G102" s="53">
        <v>-22.9908</v>
      </c>
      <c r="H102" s="53">
        <v>-46.797552000000003</v>
      </c>
      <c r="I102" s="53">
        <v>-23.190617</v>
      </c>
      <c r="J102" s="53">
        <v>-46.188918000000001</v>
      </c>
      <c r="L102" s="61" t="str">
        <f t="shared" si="2"/>
        <v>depósito B-Cliente43</v>
      </c>
      <c r="M102">
        <v>242.25645299999999</v>
      </c>
    </row>
    <row r="103" spans="1:13" x14ac:dyDescent="0.25">
      <c r="A103" s="15" t="s">
        <v>4269</v>
      </c>
      <c r="B103" s="15" t="s">
        <v>4314</v>
      </c>
      <c r="C103" s="54">
        <v>159.57038299999999</v>
      </c>
      <c r="D103" s="26">
        <v>0.13958333333333334</v>
      </c>
      <c r="E103" s="55">
        <v>-22.278064000000001</v>
      </c>
      <c r="F103" s="55">
        <v>-47.688977000000001</v>
      </c>
      <c r="G103" s="55">
        <v>-22.702691999999999</v>
      </c>
      <c r="H103" s="55">
        <v>-47.610793000000001</v>
      </c>
      <c r="I103" s="55">
        <v>-23.261319</v>
      </c>
      <c r="J103" s="55">
        <v>-47.323726000000001</v>
      </c>
      <c r="L103" s="61" t="str">
        <f t="shared" si="2"/>
        <v>depósito B-Cliente44</v>
      </c>
      <c r="M103">
        <v>159.57038299999999</v>
      </c>
    </row>
    <row r="104" spans="1:13" x14ac:dyDescent="0.25">
      <c r="A104" s="15" t="s">
        <v>4269</v>
      </c>
      <c r="B104" s="15" t="s">
        <v>4315</v>
      </c>
      <c r="C104" s="52">
        <v>163.86344700000001</v>
      </c>
      <c r="D104" s="25">
        <v>0.14861111111111111</v>
      </c>
      <c r="E104" s="53">
        <v>-22.289674000000002</v>
      </c>
      <c r="F104" s="53">
        <v>-47.676628999999998</v>
      </c>
      <c r="G104" s="53">
        <v>-22.731725000000001</v>
      </c>
      <c r="H104" s="53">
        <v>-47.602803999999999</v>
      </c>
      <c r="I104" s="53">
        <v>-23.370795999999999</v>
      </c>
      <c r="J104" s="53">
        <v>-47.452146999999997</v>
      </c>
      <c r="L104" s="61" t="str">
        <f t="shared" si="2"/>
        <v>depósito B-Cliente45</v>
      </c>
      <c r="M104">
        <v>163.86344700000001</v>
      </c>
    </row>
    <row r="105" spans="1:13" x14ac:dyDescent="0.25">
      <c r="A105" s="15" t="s">
        <v>4269</v>
      </c>
      <c r="B105" s="15" t="s">
        <v>4316</v>
      </c>
      <c r="C105" s="54">
        <v>161.97074599999999</v>
      </c>
      <c r="D105" s="26">
        <v>0.1451388888888889</v>
      </c>
      <c r="E105" s="55">
        <v>-22.278013000000001</v>
      </c>
      <c r="F105" s="55">
        <v>-47.687629999999999</v>
      </c>
      <c r="G105" s="55">
        <v>-22.707668000000002</v>
      </c>
      <c r="H105" s="55">
        <v>-47.611758000000002</v>
      </c>
      <c r="I105" s="55">
        <v>-23.305422</v>
      </c>
      <c r="J105" s="55">
        <v>-47.331955000000001</v>
      </c>
      <c r="L105" s="61" t="str">
        <f t="shared" si="2"/>
        <v>depósito B-Cliente46</v>
      </c>
      <c r="M105">
        <v>161.97074599999999</v>
      </c>
    </row>
    <row r="106" spans="1:13" x14ac:dyDescent="0.25">
      <c r="A106" s="15" t="s">
        <v>4269</v>
      </c>
      <c r="B106" s="15" t="s">
        <v>4317</v>
      </c>
      <c r="C106" s="52">
        <v>53.272148999999999</v>
      </c>
      <c r="D106" s="25">
        <v>4.8611111111111112E-2</v>
      </c>
      <c r="E106" s="53">
        <v>-21.800695000000001</v>
      </c>
      <c r="F106" s="53">
        <v>-48.144286999999998</v>
      </c>
      <c r="G106" s="53">
        <v>-21.586950999999999</v>
      </c>
      <c r="H106" s="53">
        <v>-47.952229000000003</v>
      </c>
      <c r="I106" s="53">
        <v>-21.207128999999998</v>
      </c>
      <c r="J106" s="53">
        <v>-47.760458999999997</v>
      </c>
      <c r="L106" s="61" t="str">
        <f t="shared" si="2"/>
        <v>depósito B-Cliente47</v>
      </c>
      <c r="M106">
        <v>53.272148999999999</v>
      </c>
    </row>
    <row r="107" spans="1:13" x14ac:dyDescent="0.25">
      <c r="A107" s="15" t="s">
        <v>4269</v>
      </c>
      <c r="B107" s="15" t="s">
        <v>4318</v>
      </c>
      <c r="C107" s="54">
        <v>59.779786000000001</v>
      </c>
      <c r="D107" s="26">
        <v>5.6944444444444443E-2</v>
      </c>
      <c r="E107" s="55">
        <v>-21.716493</v>
      </c>
      <c r="F107" s="55">
        <v>-48.036991999999998</v>
      </c>
      <c r="G107" s="55">
        <v>-21.210294999999999</v>
      </c>
      <c r="H107" s="55">
        <v>-47.769025999999997</v>
      </c>
      <c r="I107" s="55">
        <v>-21.143761999999999</v>
      </c>
      <c r="J107" s="55">
        <v>-47.775692999999997</v>
      </c>
      <c r="L107" s="61" t="str">
        <f t="shared" si="2"/>
        <v>depósito B-Cliente48</v>
      </c>
      <c r="M107">
        <v>59.779786000000001</v>
      </c>
    </row>
    <row r="108" spans="1:13" x14ac:dyDescent="0.25">
      <c r="A108" s="15" t="s">
        <v>4269</v>
      </c>
      <c r="B108" s="15" t="s">
        <v>4319</v>
      </c>
      <c r="C108" s="52">
        <v>55.301552000000001</v>
      </c>
      <c r="D108" s="25">
        <v>5.2083333333333336E-2</v>
      </c>
      <c r="E108" s="53">
        <v>-21.792535000000001</v>
      </c>
      <c r="F108" s="53">
        <v>-48.130495000000003</v>
      </c>
      <c r="G108" s="53">
        <v>-21.565673</v>
      </c>
      <c r="H108" s="53">
        <v>-47.946415000000002</v>
      </c>
      <c r="I108" s="53">
        <v>-21.210722000000001</v>
      </c>
      <c r="J108" s="53">
        <v>-47.777459999999998</v>
      </c>
      <c r="L108" s="61" t="str">
        <f t="shared" si="2"/>
        <v>depósito B-Cliente49</v>
      </c>
      <c r="M108">
        <v>55.301552000000001</v>
      </c>
    </row>
    <row r="109" spans="1:13" x14ac:dyDescent="0.25">
      <c r="A109" s="15" t="s">
        <v>4269</v>
      </c>
      <c r="B109" s="15" t="s">
        <v>4320</v>
      </c>
      <c r="C109" s="54">
        <v>77.56223</v>
      </c>
      <c r="D109" s="26">
        <v>7.4305555555555555E-2</v>
      </c>
      <c r="E109" s="55">
        <v>-21.989296</v>
      </c>
      <c r="F109" s="55">
        <v>-48.375878</v>
      </c>
      <c r="G109" s="55">
        <v>-22.233573</v>
      </c>
      <c r="H109" s="55">
        <v>-48.534114000000002</v>
      </c>
      <c r="I109" s="55">
        <v>-22.336058999999999</v>
      </c>
      <c r="J109" s="55">
        <v>-48.788761000000001</v>
      </c>
      <c r="L109" s="61" t="str">
        <f t="shared" si="2"/>
        <v>depósito B-Cliente50</v>
      </c>
      <c r="M109">
        <v>77.56223</v>
      </c>
    </row>
    <row r="110" spans="1:13" x14ac:dyDescent="0.25">
      <c r="A110" s="15" t="s">
        <v>4269</v>
      </c>
      <c r="B110" s="15" t="s">
        <v>4321</v>
      </c>
      <c r="C110" s="52">
        <v>77.381411</v>
      </c>
      <c r="D110" s="25">
        <v>7.3611111111111113E-2</v>
      </c>
      <c r="E110" s="53">
        <v>-21.988858</v>
      </c>
      <c r="F110" s="53">
        <v>-48.375705000000004</v>
      </c>
      <c r="G110" s="53">
        <v>-22.196724</v>
      </c>
      <c r="H110" s="53">
        <v>-48.508268000000001</v>
      </c>
      <c r="I110" s="53">
        <v>-22.325087</v>
      </c>
      <c r="J110" s="53">
        <v>-48.735340999999998</v>
      </c>
      <c r="L110" s="61" t="str">
        <f t="shared" si="2"/>
        <v>depósito B-Cliente51</v>
      </c>
      <c r="M110">
        <v>77.381411</v>
      </c>
    </row>
    <row r="111" spans="1:13" x14ac:dyDescent="0.25">
      <c r="A111" s="15" t="s">
        <v>4270</v>
      </c>
      <c r="B111" s="15" t="s">
        <v>4268</v>
      </c>
      <c r="C111" s="54">
        <v>107.885841</v>
      </c>
      <c r="D111" s="26">
        <v>9.4444444444444442E-2</v>
      </c>
      <c r="E111" s="55">
        <v>-23.377419</v>
      </c>
      <c r="F111" s="55">
        <v>-46.253095000000002</v>
      </c>
      <c r="G111" s="55">
        <v>-23.507912000000001</v>
      </c>
      <c r="H111" s="55">
        <v>-46.711089999999999</v>
      </c>
      <c r="I111" s="55">
        <v>-23.436174999999999</v>
      </c>
      <c r="J111" s="55">
        <v>-47.077751999999997</v>
      </c>
      <c r="L111" s="61" t="str">
        <f t="shared" si="2"/>
        <v>depósito C-depósito A</v>
      </c>
      <c r="M111">
        <v>107.885841</v>
      </c>
    </row>
    <row r="112" spans="1:13" x14ac:dyDescent="0.25">
      <c r="A112" s="15" t="s">
        <v>4270</v>
      </c>
      <c r="B112" s="15" t="s">
        <v>4269</v>
      </c>
      <c r="C112" s="52">
        <v>197.973704</v>
      </c>
      <c r="D112" s="25">
        <v>0.15972222222222224</v>
      </c>
      <c r="E112" s="53">
        <v>-23.182342999999999</v>
      </c>
      <c r="F112" s="53">
        <v>-46.295254999999997</v>
      </c>
      <c r="G112" s="53">
        <v>-22.965062</v>
      </c>
      <c r="H112" s="53">
        <v>-46.843525999999997</v>
      </c>
      <c r="I112" s="53">
        <v>-22.557307999999999</v>
      </c>
      <c r="J112" s="53">
        <v>-47.367770999999998</v>
      </c>
      <c r="L112" s="61" t="str">
        <f t="shared" si="2"/>
        <v>depósito C-depósito B</v>
      </c>
      <c r="M112">
        <v>197.973704</v>
      </c>
    </row>
    <row r="113" spans="1:13" x14ac:dyDescent="0.25">
      <c r="A113" s="15" t="s">
        <v>4270</v>
      </c>
      <c r="B113" s="15" t="s">
        <v>4270</v>
      </c>
      <c r="C113" s="54">
        <v>0</v>
      </c>
      <c r="D113" s="26">
        <v>0</v>
      </c>
      <c r="E113" s="55">
        <f>'1. Locais'!D4</f>
        <v>-23.287135880000001</v>
      </c>
      <c r="F113" s="55">
        <f>'1. Locais'!E4</f>
        <v>-45.9849763</v>
      </c>
      <c r="G113" s="55">
        <f>'1. Locais'!D4</f>
        <v>-23.287135880000001</v>
      </c>
      <c r="H113" s="55">
        <f>'1. Locais'!E4</f>
        <v>-45.9849763</v>
      </c>
      <c r="I113" s="55">
        <f>'1. Locais'!D4</f>
        <v>-23.287135880000001</v>
      </c>
      <c r="J113" s="55">
        <f>'1. Locais'!E4</f>
        <v>-45.9849763</v>
      </c>
      <c r="L113" s="61" t="str">
        <f t="shared" si="2"/>
        <v>depósito C-depósito C</v>
      </c>
      <c r="M113">
        <v>0</v>
      </c>
    </row>
    <row r="114" spans="1:13" x14ac:dyDescent="0.25">
      <c r="A114" s="15" t="s">
        <v>4270</v>
      </c>
      <c r="B114" s="15" t="s">
        <v>4271</v>
      </c>
      <c r="C114" s="52">
        <v>89.214832999999999</v>
      </c>
      <c r="D114" s="25">
        <v>7.5694444444444439E-2</v>
      </c>
      <c r="E114" s="53">
        <v>-23.199497999999998</v>
      </c>
      <c r="F114" s="53">
        <v>-46.176720000000003</v>
      </c>
      <c r="G114" s="53">
        <v>-23.151866999999999</v>
      </c>
      <c r="H114" s="53">
        <v>-46.453313000000001</v>
      </c>
      <c r="I114" s="53">
        <v>-22.930534000000002</v>
      </c>
      <c r="J114" s="53">
        <v>-46.902737999999999</v>
      </c>
      <c r="L114" s="61" t="str">
        <f t="shared" si="2"/>
        <v>depósito C-Cliente1</v>
      </c>
      <c r="M114">
        <v>89.214832999999999</v>
      </c>
    </row>
    <row r="115" spans="1:13" x14ac:dyDescent="0.25">
      <c r="A115" s="15" t="s">
        <v>4270</v>
      </c>
      <c r="B115" s="15" t="s">
        <v>4272</v>
      </c>
      <c r="C115" s="54">
        <v>86.812606000000002</v>
      </c>
      <c r="D115" s="26">
        <v>7.5694444444444439E-2</v>
      </c>
      <c r="E115" s="55">
        <v>-23.210965000000002</v>
      </c>
      <c r="F115" s="55">
        <v>-46.155617999999997</v>
      </c>
      <c r="G115" s="55">
        <v>-23.165593999999999</v>
      </c>
      <c r="H115" s="55">
        <v>-46.405121999999999</v>
      </c>
      <c r="I115" s="55">
        <v>-22.963822</v>
      </c>
      <c r="J115" s="55">
        <v>-46.844692999999999</v>
      </c>
      <c r="L115" s="61" t="str">
        <f t="shared" si="2"/>
        <v>depósito C-Cliente2</v>
      </c>
      <c r="M115">
        <v>86.812606000000002</v>
      </c>
    </row>
    <row r="116" spans="1:13" x14ac:dyDescent="0.25">
      <c r="A116" s="15" t="s">
        <v>4270</v>
      </c>
      <c r="B116" s="15" t="s">
        <v>4273</v>
      </c>
      <c r="C116" s="52">
        <v>86.879092999999997</v>
      </c>
      <c r="D116" s="25">
        <v>7.6388888888888895E-2</v>
      </c>
      <c r="E116" s="53">
        <v>-23.20243</v>
      </c>
      <c r="F116" s="53">
        <v>-46.164664999999999</v>
      </c>
      <c r="G116" s="53">
        <v>-23.168133999999998</v>
      </c>
      <c r="H116" s="53">
        <v>-46.443272</v>
      </c>
      <c r="I116" s="53">
        <v>-22.934774000000001</v>
      </c>
      <c r="J116" s="53">
        <v>-46.897452000000001</v>
      </c>
      <c r="L116" s="61" t="str">
        <f t="shared" si="2"/>
        <v>depósito C-Cliente3</v>
      </c>
      <c r="M116">
        <v>86.879092999999997</v>
      </c>
    </row>
    <row r="117" spans="1:13" x14ac:dyDescent="0.25">
      <c r="A117" s="15" t="s">
        <v>4270</v>
      </c>
      <c r="B117" s="15" t="s">
        <v>4274</v>
      </c>
      <c r="C117" s="54">
        <v>90.728497000000004</v>
      </c>
      <c r="D117" s="26">
        <v>7.6388888888888895E-2</v>
      </c>
      <c r="E117" s="55">
        <v>-23.211431000000001</v>
      </c>
      <c r="F117" s="55">
        <v>-46.155064000000003</v>
      </c>
      <c r="G117" s="55">
        <v>-23.167487999999999</v>
      </c>
      <c r="H117" s="55">
        <v>-46.396408999999998</v>
      </c>
      <c r="I117" s="55">
        <v>-22.977176</v>
      </c>
      <c r="J117" s="55">
        <v>-46.830813999999997</v>
      </c>
      <c r="L117" s="61" t="str">
        <f t="shared" si="2"/>
        <v>depósito C-Cliente4</v>
      </c>
      <c r="M117">
        <v>90.728497000000004</v>
      </c>
    </row>
    <row r="118" spans="1:13" x14ac:dyDescent="0.25">
      <c r="A118" s="15" t="s">
        <v>4270</v>
      </c>
      <c r="B118" s="15" t="s">
        <v>4275</v>
      </c>
      <c r="C118" s="52">
        <v>90.821702999999999</v>
      </c>
      <c r="D118" s="25">
        <v>7.7083333333333337E-2</v>
      </c>
      <c r="E118" s="53">
        <v>-23.215240999999999</v>
      </c>
      <c r="F118" s="53">
        <v>-46.148916999999997</v>
      </c>
      <c r="G118" s="53">
        <v>-23.168427000000001</v>
      </c>
      <c r="H118" s="53">
        <v>-46.393779000000002</v>
      </c>
      <c r="I118" s="53">
        <v>-22.98621</v>
      </c>
      <c r="J118" s="53">
        <v>-46.813600999999998</v>
      </c>
      <c r="L118" s="61" t="str">
        <f t="shared" si="2"/>
        <v>depósito C-Cliente5</v>
      </c>
      <c r="M118">
        <v>90.821702999999999</v>
      </c>
    </row>
    <row r="119" spans="1:13" x14ac:dyDescent="0.25">
      <c r="A119" s="15" t="s">
        <v>4270</v>
      </c>
      <c r="B119" s="15" t="s">
        <v>4276</v>
      </c>
      <c r="C119" s="54">
        <v>85.224378000000002</v>
      </c>
      <c r="D119" s="26">
        <v>7.5694444444444439E-2</v>
      </c>
      <c r="E119" s="55">
        <v>-23.199497999999998</v>
      </c>
      <c r="F119" s="55">
        <v>-46.176720000000003</v>
      </c>
      <c r="G119" s="55">
        <v>-23.151866999999999</v>
      </c>
      <c r="H119" s="55">
        <v>-46.453313000000001</v>
      </c>
      <c r="I119" s="55">
        <v>-22.930872999999998</v>
      </c>
      <c r="J119" s="55">
        <v>-46.901926000000003</v>
      </c>
      <c r="L119" s="61" t="str">
        <f t="shared" si="2"/>
        <v>depósito C-Cliente6</v>
      </c>
      <c r="M119">
        <v>85.224378000000002</v>
      </c>
    </row>
    <row r="120" spans="1:13" x14ac:dyDescent="0.25">
      <c r="A120" s="15" t="s">
        <v>4270</v>
      </c>
      <c r="B120" s="15" t="s">
        <v>4277</v>
      </c>
      <c r="C120" s="52">
        <v>89.874730999999997</v>
      </c>
      <c r="D120" s="25">
        <v>7.9166666666666663E-2</v>
      </c>
      <c r="E120" s="53">
        <v>-23.198270000000001</v>
      </c>
      <c r="F120" s="53">
        <v>-46.181699000000002</v>
      </c>
      <c r="G120" s="53">
        <v>-23.129252000000001</v>
      </c>
      <c r="H120" s="53">
        <v>-46.464191</v>
      </c>
      <c r="I120" s="53">
        <v>-22.931850000000001</v>
      </c>
      <c r="J120" s="53">
        <v>-46.922294000000001</v>
      </c>
      <c r="L120" s="61" t="str">
        <f t="shared" si="2"/>
        <v>depósito C-Cliente7</v>
      </c>
      <c r="M120">
        <v>89.874730999999997</v>
      </c>
    </row>
    <row r="121" spans="1:13" x14ac:dyDescent="0.25">
      <c r="A121" s="15" t="s">
        <v>4270</v>
      </c>
      <c r="B121" s="15" t="s">
        <v>4278</v>
      </c>
      <c r="C121" s="54">
        <v>84.611082999999994</v>
      </c>
      <c r="D121" s="26">
        <v>7.1527777777777787E-2</v>
      </c>
      <c r="E121" s="55">
        <v>-23.221865000000001</v>
      </c>
      <c r="F121" s="55">
        <v>-46.139142999999997</v>
      </c>
      <c r="G121" s="55">
        <v>-23.175943</v>
      </c>
      <c r="H121" s="55">
        <v>-46.382437000000003</v>
      </c>
      <c r="I121" s="55">
        <v>-23.003177000000001</v>
      </c>
      <c r="J121" s="55">
        <v>-46.775430999999998</v>
      </c>
      <c r="L121" s="61" t="str">
        <f t="shared" si="2"/>
        <v>depósito C-Cliente8</v>
      </c>
      <c r="M121">
        <v>84.611082999999994</v>
      </c>
    </row>
    <row r="122" spans="1:13" x14ac:dyDescent="0.25">
      <c r="A122" s="15" t="s">
        <v>4270</v>
      </c>
      <c r="B122" s="15" t="s">
        <v>4279</v>
      </c>
      <c r="C122" s="52">
        <v>108.192178</v>
      </c>
      <c r="D122" s="25">
        <v>9.2361111111111116E-2</v>
      </c>
      <c r="E122" s="53">
        <v>-23.202031000000002</v>
      </c>
      <c r="F122" s="53">
        <v>-46.166092999999996</v>
      </c>
      <c r="G122" s="53">
        <v>-23.156666999999999</v>
      </c>
      <c r="H122" s="53">
        <v>-46.450750999999997</v>
      </c>
      <c r="I122" s="53">
        <v>-22.931467000000001</v>
      </c>
      <c r="J122" s="53">
        <v>-46.901024999999997</v>
      </c>
      <c r="L122" s="61" t="str">
        <f t="shared" si="2"/>
        <v>depósito C-Cliente9</v>
      </c>
      <c r="M122">
        <v>108.192178</v>
      </c>
    </row>
    <row r="123" spans="1:13" x14ac:dyDescent="0.25">
      <c r="A123" s="15" t="s">
        <v>4270</v>
      </c>
      <c r="B123" s="15" t="s">
        <v>4280</v>
      </c>
      <c r="C123" s="54">
        <v>55.465595</v>
      </c>
      <c r="D123" s="26">
        <v>5.7638888888888885E-2</v>
      </c>
      <c r="E123" s="55">
        <v>-23.322320000000001</v>
      </c>
      <c r="F123" s="55">
        <v>-46.117054000000003</v>
      </c>
      <c r="G123" s="55">
        <v>-23.409282999999999</v>
      </c>
      <c r="H123" s="55">
        <v>-46.341991</v>
      </c>
      <c r="I123" s="55">
        <v>-23.515277000000001</v>
      </c>
      <c r="J123" s="55">
        <v>-46.662446000000003</v>
      </c>
      <c r="L123" s="61" t="str">
        <f t="shared" si="2"/>
        <v>depósito C-Cliente10</v>
      </c>
      <c r="M123">
        <v>55.465595</v>
      </c>
    </row>
    <row r="124" spans="1:13" x14ac:dyDescent="0.25">
      <c r="A124" s="15" t="s">
        <v>4270</v>
      </c>
      <c r="B124" s="15" t="s">
        <v>4281</v>
      </c>
      <c r="C124" s="52">
        <v>128.74221700000001</v>
      </c>
      <c r="D124" s="25">
        <v>0.10625</v>
      </c>
      <c r="E124" s="53">
        <v>-23.186885</v>
      </c>
      <c r="F124" s="53">
        <v>-46.197246</v>
      </c>
      <c r="G124" s="53">
        <v>-23.107073</v>
      </c>
      <c r="H124" s="53">
        <v>-46.518599999999999</v>
      </c>
      <c r="I124" s="53">
        <v>-22.913277999999998</v>
      </c>
      <c r="J124" s="53">
        <v>-46.961455000000001</v>
      </c>
      <c r="L124" s="61" t="str">
        <f t="shared" si="2"/>
        <v>depósito C-Cliente11</v>
      </c>
      <c r="M124">
        <v>128.74221700000001</v>
      </c>
    </row>
    <row r="125" spans="1:13" x14ac:dyDescent="0.25">
      <c r="A125" s="15" t="s">
        <v>4270</v>
      </c>
      <c r="B125" s="15" t="s">
        <v>4282</v>
      </c>
      <c r="C125" s="54">
        <v>2.6190859999999998</v>
      </c>
      <c r="D125" s="26">
        <v>8.3333333333333332E-3</v>
      </c>
      <c r="E125" s="55">
        <v>-23.295507000000001</v>
      </c>
      <c r="F125" s="55">
        <v>-45.981594999999999</v>
      </c>
      <c r="G125" s="55">
        <v>-23.301369999999999</v>
      </c>
      <c r="H125" s="55">
        <v>-45.986942999999997</v>
      </c>
      <c r="I125" s="55">
        <v>-23.307645999999998</v>
      </c>
      <c r="J125" s="55">
        <v>-45.982674000000003</v>
      </c>
      <c r="L125" s="61" t="str">
        <f t="shared" si="2"/>
        <v>depósito C-Cliente12</v>
      </c>
      <c r="M125">
        <v>2.6190859999999998</v>
      </c>
    </row>
    <row r="126" spans="1:13" x14ac:dyDescent="0.25">
      <c r="A126" s="15" t="s">
        <v>4270</v>
      </c>
      <c r="B126" s="15" t="s">
        <v>4283</v>
      </c>
      <c r="C126" s="52">
        <v>8.9732439999999993</v>
      </c>
      <c r="D126" s="25">
        <v>1.2499999999999999E-2</v>
      </c>
      <c r="E126" s="53">
        <v>-23.280615999999998</v>
      </c>
      <c r="F126" s="53">
        <v>-45.982432000000003</v>
      </c>
      <c r="G126" s="53">
        <v>-23.220901999999999</v>
      </c>
      <c r="H126" s="53">
        <v>-45.900660999999999</v>
      </c>
      <c r="I126" s="53">
        <v>-23.219467000000002</v>
      </c>
      <c r="J126" s="53">
        <v>-45.900928999999998</v>
      </c>
      <c r="L126" s="61" t="str">
        <f t="shared" si="2"/>
        <v>depósito C-Cliente13</v>
      </c>
      <c r="M126">
        <v>8.9732439999999993</v>
      </c>
    </row>
    <row r="127" spans="1:13" x14ac:dyDescent="0.25">
      <c r="A127" s="15" t="s">
        <v>4270</v>
      </c>
      <c r="B127" s="15" t="s">
        <v>4284</v>
      </c>
      <c r="C127" s="54">
        <v>7.0358029999999996</v>
      </c>
      <c r="D127" s="26">
        <v>9.7222222222222224E-3</v>
      </c>
      <c r="E127" s="55">
        <v>-23.281528999999999</v>
      </c>
      <c r="F127" s="55">
        <v>-45.980006000000003</v>
      </c>
      <c r="G127" s="55">
        <v>-23.280197999999999</v>
      </c>
      <c r="H127" s="55">
        <v>-45.981765000000003</v>
      </c>
      <c r="I127" s="55">
        <v>-23.280184999999999</v>
      </c>
      <c r="J127" s="55">
        <v>-45.982190000000003</v>
      </c>
      <c r="L127" s="61" t="str">
        <f t="shared" si="2"/>
        <v>depósito C-Cliente14</v>
      </c>
      <c r="M127">
        <v>7.0358029999999996</v>
      </c>
    </row>
    <row r="128" spans="1:13" x14ac:dyDescent="0.25">
      <c r="A128" s="15" t="s">
        <v>4270</v>
      </c>
      <c r="B128" s="15" t="s">
        <v>4285</v>
      </c>
      <c r="C128" s="52">
        <v>9.4144179999999995</v>
      </c>
      <c r="D128" s="25">
        <v>1.5277777777777777E-2</v>
      </c>
      <c r="E128" s="53">
        <v>-23.280615999999998</v>
      </c>
      <c r="F128" s="53">
        <v>-45.982432000000003</v>
      </c>
      <c r="G128" s="53">
        <v>-23.223462999999999</v>
      </c>
      <c r="H128" s="53">
        <v>-45.903385</v>
      </c>
      <c r="I128" s="53">
        <v>-23.237880000000001</v>
      </c>
      <c r="J128" s="53">
        <v>-45.901124000000003</v>
      </c>
      <c r="L128" s="61" t="str">
        <f t="shared" si="2"/>
        <v>depósito C-Cliente15</v>
      </c>
      <c r="M128">
        <v>9.4144179999999995</v>
      </c>
    </row>
    <row r="129" spans="1:13" x14ac:dyDescent="0.25">
      <c r="A129" s="15" t="s">
        <v>4270</v>
      </c>
      <c r="B129" s="15" t="s">
        <v>4286</v>
      </c>
      <c r="C129" s="54">
        <v>8.3450360000000003</v>
      </c>
      <c r="D129" s="26">
        <v>1.3888888888888888E-2</v>
      </c>
      <c r="E129" s="55">
        <v>-23.280615999999998</v>
      </c>
      <c r="F129" s="55">
        <v>-45.982432000000003</v>
      </c>
      <c r="G129" s="55">
        <v>-23.23321</v>
      </c>
      <c r="H129" s="55">
        <v>-45.913556999999997</v>
      </c>
      <c r="I129" s="55">
        <v>-23.244669999999999</v>
      </c>
      <c r="J129" s="55">
        <v>-45.907263999999998</v>
      </c>
      <c r="L129" s="61" t="str">
        <f t="shared" si="2"/>
        <v>depósito C-Cliente16</v>
      </c>
      <c r="M129">
        <v>8.3450360000000003</v>
      </c>
    </row>
    <row r="130" spans="1:13" x14ac:dyDescent="0.25">
      <c r="A130" s="15" t="s">
        <v>4270</v>
      </c>
      <c r="B130" s="15" t="s">
        <v>4287</v>
      </c>
      <c r="C130" s="52">
        <v>9.4007480000000001</v>
      </c>
      <c r="D130" s="25">
        <v>1.2499999999999999E-2</v>
      </c>
      <c r="E130" s="53">
        <v>-23.280615999999998</v>
      </c>
      <c r="F130" s="53">
        <v>-45.982432000000003</v>
      </c>
      <c r="G130" s="53">
        <v>-23.220901999999999</v>
      </c>
      <c r="H130" s="53">
        <v>-45.900660999999999</v>
      </c>
      <c r="I130" s="53">
        <v>-23.219467000000002</v>
      </c>
      <c r="J130" s="53">
        <v>-45.900928999999998</v>
      </c>
      <c r="L130" s="61" t="str">
        <f t="shared" si="2"/>
        <v>depósito C-Cliente17</v>
      </c>
      <c r="M130">
        <v>9.4007480000000001</v>
      </c>
    </row>
    <row r="131" spans="1:13" x14ac:dyDescent="0.25">
      <c r="A131" s="15" t="s">
        <v>4270</v>
      </c>
      <c r="B131" s="15" t="s">
        <v>4288</v>
      </c>
      <c r="C131" s="54">
        <v>14.228814</v>
      </c>
      <c r="D131" s="26">
        <v>1.6666666666666666E-2</v>
      </c>
      <c r="E131" s="55">
        <v>-23.280156999999999</v>
      </c>
      <c r="F131" s="55">
        <v>-45.981656999999998</v>
      </c>
      <c r="G131" s="55">
        <v>-23.244802</v>
      </c>
      <c r="H131" s="55">
        <v>-45.927109000000002</v>
      </c>
      <c r="I131" s="55">
        <v>-23.178993999999999</v>
      </c>
      <c r="J131" s="55">
        <v>-45.838082999999997</v>
      </c>
      <c r="L131" s="61" t="str">
        <f t="shared" si="2"/>
        <v>depósito C-Cliente18</v>
      </c>
      <c r="M131">
        <v>14.228814</v>
      </c>
    </row>
    <row r="132" spans="1:13" x14ac:dyDescent="0.25">
      <c r="A132" s="15" t="s">
        <v>4270</v>
      </c>
      <c r="B132" s="15" t="s">
        <v>4289</v>
      </c>
      <c r="C132" s="52">
        <v>50.638150000000003</v>
      </c>
      <c r="D132" s="25">
        <v>4.7916666666666663E-2</v>
      </c>
      <c r="E132" s="53">
        <v>-23.317084999999999</v>
      </c>
      <c r="F132" s="53">
        <v>-46.082048</v>
      </c>
      <c r="G132" s="53">
        <v>-23.397807</v>
      </c>
      <c r="H132" s="53">
        <v>-46.294929000000003</v>
      </c>
      <c r="I132" s="53">
        <v>-23.525095</v>
      </c>
      <c r="J132" s="53">
        <v>-46.599069</v>
      </c>
      <c r="L132" s="61" t="str">
        <f t="shared" si="2"/>
        <v>depósito C-Cliente19</v>
      </c>
      <c r="M132">
        <v>50.638150000000003</v>
      </c>
    </row>
    <row r="133" spans="1:13" x14ac:dyDescent="0.25">
      <c r="A133" s="15" t="s">
        <v>4270</v>
      </c>
      <c r="B133" s="15" t="s">
        <v>4290</v>
      </c>
      <c r="C133" s="54">
        <v>58.190935000000003</v>
      </c>
      <c r="D133" s="26">
        <v>5.7638888888888885E-2</v>
      </c>
      <c r="E133" s="55">
        <v>-23.322320000000001</v>
      </c>
      <c r="F133" s="55">
        <v>-46.117054000000003</v>
      </c>
      <c r="G133" s="55">
        <v>-23.409282999999999</v>
      </c>
      <c r="H133" s="55">
        <v>-46.341991</v>
      </c>
      <c r="I133" s="55">
        <v>-23.515277000000001</v>
      </c>
      <c r="J133" s="55">
        <v>-46.662446000000003</v>
      </c>
      <c r="L133" s="61" t="str">
        <f t="shared" si="2"/>
        <v>depósito C-Cliente20</v>
      </c>
      <c r="M133">
        <v>58.190935000000003</v>
      </c>
    </row>
    <row r="134" spans="1:13" x14ac:dyDescent="0.25">
      <c r="A134" s="15" t="s">
        <v>4270</v>
      </c>
      <c r="B134" s="15" t="s">
        <v>4291</v>
      </c>
      <c r="C134" s="52">
        <v>57.797606000000002</v>
      </c>
      <c r="D134" s="25">
        <v>5.7638888888888885E-2</v>
      </c>
      <c r="E134" s="53">
        <v>-23.339831</v>
      </c>
      <c r="F134" s="53">
        <v>-46.152166999999999</v>
      </c>
      <c r="G134" s="53">
        <v>-23.423636999999999</v>
      </c>
      <c r="H134" s="53">
        <v>-46.398511999999997</v>
      </c>
      <c r="I134" s="53">
        <v>-23.507912000000001</v>
      </c>
      <c r="J134" s="53">
        <v>-46.711089999999999</v>
      </c>
      <c r="L134" s="61" t="str">
        <f t="shared" si="2"/>
        <v>depósito C-Cliente21</v>
      </c>
      <c r="M134">
        <v>57.797606000000002</v>
      </c>
    </row>
    <row r="135" spans="1:13" x14ac:dyDescent="0.25">
      <c r="A135" s="15" t="s">
        <v>4270</v>
      </c>
      <c r="B135" s="15" t="s">
        <v>4292</v>
      </c>
      <c r="C135" s="54">
        <v>54.508059000000003</v>
      </c>
      <c r="D135" s="26">
        <v>5.486111111111111E-2</v>
      </c>
      <c r="E135" s="55">
        <v>-23.322320000000001</v>
      </c>
      <c r="F135" s="55">
        <v>-46.117054000000003</v>
      </c>
      <c r="G135" s="55">
        <v>-23.409282999999999</v>
      </c>
      <c r="H135" s="55">
        <v>-46.341991</v>
      </c>
      <c r="I135" s="55">
        <v>-23.515277000000001</v>
      </c>
      <c r="J135" s="55">
        <v>-46.662446000000003</v>
      </c>
      <c r="L135" s="61" t="str">
        <f t="shared" si="2"/>
        <v>depósito C-Cliente22</v>
      </c>
      <c r="M135">
        <v>54.508059000000003</v>
      </c>
    </row>
    <row r="136" spans="1:13" x14ac:dyDescent="0.25">
      <c r="A136" s="15" t="s">
        <v>4270</v>
      </c>
      <c r="B136" s="15" t="s">
        <v>4293</v>
      </c>
      <c r="C136" s="52">
        <v>62.946922000000001</v>
      </c>
      <c r="D136" s="25">
        <v>6.3888888888888884E-2</v>
      </c>
      <c r="E136" s="53">
        <v>-23.352288999999999</v>
      </c>
      <c r="F136" s="53">
        <v>-46.181894</v>
      </c>
      <c r="G136" s="53">
        <v>-23.491692</v>
      </c>
      <c r="H136" s="53">
        <v>-46.550252999999998</v>
      </c>
      <c r="I136" s="53">
        <v>-23.517136000000001</v>
      </c>
      <c r="J136" s="53">
        <v>-46.742936999999998</v>
      </c>
      <c r="L136" s="61" t="str">
        <f t="shared" si="2"/>
        <v>depósito C-Cliente23</v>
      </c>
      <c r="M136">
        <v>62.946922000000001</v>
      </c>
    </row>
    <row r="137" spans="1:13" x14ac:dyDescent="0.25">
      <c r="A137" s="15" t="s">
        <v>4270</v>
      </c>
      <c r="B137" s="15" t="s">
        <v>4294</v>
      </c>
      <c r="C137" s="54">
        <v>57.791392999999999</v>
      </c>
      <c r="D137" s="26">
        <v>6.6666666666666666E-2</v>
      </c>
      <c r="E137" s="55">
        <v>-23.344650000000001</v>
      </c>
      <c r="F137" s="55">
        <v>-46.161610000000003</v>
      </c>
      <c r="G137" s="55">
        <v>-23.425128999999998</v>
      </c>
      <c r="H137" s="55">
        <v>-46.402628999999997</v>
      </c>
      <c r="I137" s="55">
        <v>-23.555136000000001</v>
      </c>
      <c r="J137" s="55">
        <v>-46.642752999999999</v>
      </c>
      <c r="L137" s="61" t="str">
        <f t="shared" si="2"/>
        <v>depósito C-Cliente24</v>
      </c>
      <c r="M137">
        <v>57.791392999999999</v>
      </c>
    </row>
    <row r="138" spans="1:13" x14ac:dyDescent="0.25">
      <c r="A138" s="15" t="s">
        <v>4270</v>
      </c>
      <c r="B138" s="15" t="s">
        <v>4295</v>
      </c>
      <c r="C138" s="52">
        <v>60.214745999999998</v>
      </c>
      <c r="D138" s="25">
        <v>7.2222222222222229E-2</v>
      </c>
      <c r="E138" s="53">
        <v>-23.355806000000001</v>
      </c>
      <c r="F138" s="53">
        <v>-46.205078</v>
      </c>
      <c r="G138" s="53">
        <v>-23.531210999999999</v>
      </c>
      <c r="H138" s="53">
        <v>-46.583947000000002</v>
      </c>
      <c r="I138" s="53">
        <v>-23.572364</v>
      </c>
      <c r="J138" s="53">
        <v>-46.708654000000003</v>
      </c>
      <c r="L138" s="61" t="str">
        <f t="shared" si="2"/>
        <v>depósito C-Cliente25</v>
      </c>
      <c r="M138">
        <v>60.214745999999998</v>
      </c>
    </row>
    <row r="139" spans="1:13" x14ac:dyDescent="0.25">
      <c r="A139" s="15" t="s">
        <v>4270</v>
      </c>
      <c r="B139" s="15" t="s">
        <v>4296</v>
      </c>
      <c r="C139" s="54">
        <v>66.903824</v>
      </c>
      <c r="D139" s="26">
        <v>6.5972222222222224E-2</v>
      </c>
      <c r="E139" s="55">
        <v>-23.358464000000001</v>
      </c>
      <c r="F139" s="55">
        <v>-46.214416</v>
      </c>
      <c r="G139" s="55">
        <v>-23.522652000000001</v>
      </c>
      <c r="H139" s="55">
        <v>-46.610137999999999</v>
      </c>
      <c r="I139" s="55">
        <v>-23.510062000000001</v>
      </c>
      <c r="J139" s="55">
        <v>-46.808076</v>
      </c>
      <c r="L139" s="61" t="str">
        <f t="shared" si="2"/>
        <v>depósito C-Cliente26</v>
      </c>
      <c r="M139">
        <v>66.903824</v>
      </c>
    </row>
    <row r="140" spans="1:13" x14ac:dyDescent="0.25">
      <c r="A140" s="15" t="s">
        <v>4270</v>
      </c>
      <c r="B140" s="15" t="s">
        <v>4297</v>
      </c>
      <c r="C140" s="52">
        <v>59.618228999999999</v>
      </c>
      <c r="D140" s="25">
        <v>6.8749999999999992E-2</v>
      </c>
      <c r="E140" s="53">
        <v>-23.352374999999999</v>
      </c>
      <c r="F140" s="53">
        <v>-46.183948999999998</v>
      </c>
      <c r="G140" s="53">
        <v>-23.509231</v>
      </c>
      <c r="H140" s="53">
        <v>-46.573048999999997</v>
      </c>
      <c r="I140" s="53">
        <v>-23.556456000000001</v>
      </c>
      <c r="J140" s="53">
        <v>-46.665312999999998</v>
      </c>
      <c r="L140" s="61" t="str">
        <f t="shared" si="2"/>
        <v>depósito C-Cliente27</v>
      </c>
      <c r="M140">
        <v>59.618228999999999</v>
      </c>
    </row>
    <row r="141" spans="1:13" x14ac:dyDescent="0.25">
      <c r="A141" s="15" t="s">
        <v>4270</v>
      </c>
      <c r="B141" s="15" t="s">
        <v>4298</v>
      </c>
      <c r="C141" s="54">
        <v>59.405718999999998</v>
      </c>
      <c r="D141" s="26">
        <v>6.458333333333334E-2</v>
      </c>
      <c r="E141" s="55">
        <v>-23.348134000000002</v>
      </c>
      <c r="F141" s="55">
        <v>-46.169055999999998</v>
      </c>
      <c r="G141" s="55">
        <v>-23.470599</v>
      </c>
      <c r="H141" s="55">
        <v>-46.516210999999998</v>
      </c>
      <c r="I141" s="55">
        <v>-23.561440999999999</v>
      </c>
      <c r="J141" s="55">
        <v>-46.640199000000003</v>
      </c>
      <c r="L141" s="61" t="str">
        <f t="shared" si="2"/>
        <v>depósito C-Cliente28</v>
      </c>
      <c r="M141">
        <v>59.405718999999998</v>
      </c>
    </row>
    <row r="142" spans="1:13" x14ac:dyDescent="0.25">
      <c r="A142" s="15" t="s">
        <v>4270</v>
      </c>
      <c r="B142" s="15" t="s">
        <v>4299</v>
      </c>
      <c r="C142" s="52">
        <v>56.990442999999999</v>
      </c>
      <c r="D142" s="25">
        <v>5.9722222222222225E-2</v>
      </c>
      <c r="E142" s="53">
        <v>-23.337675000000001</v>
      </c>
      <c r="F142" s="53">
        <v>-46.147956999999998</v>
      </c>
      <c r="G142" s="53">
        <v>-23.412772</v>
      </c>
      <c r="H142" s="53">
        <v>-46.361421999999997</v>
      </c>
      <c r="I142" s="53">
        <v>-23.584109000000002</v>
      </c>
      <c r="J142" s="53">
        <v>-46.576906000000001</v>
      </c>
      <c r="L142" s="61" t="str">
        <f t="shared" si="2"/>
        <v>depósito C-Cliente29</v>
      </c>
      <c r="M142">
        <v>56.990442999999999</v>
      </c>
    </row>
    <row r="143" spans="1:13" x14ac:dyDescent="0.25">
      <c r="A143" s="15" t="s">
        <v>4270</v>
      </c>
      <c r="B143" s="15" t="s">
        <v>4300</v>
      </c>
      <c r="C143" s="54">
        <v>58.052368999999999</v>
      </c>
      <c r="D143" s="26">
        <v>5.347222222222222E-2</v>
      </c>
      <c r="E143" s="55">
        <v>-23.341218999999999</v>
      </c>
      <c r="F143" s="55">
        <v>-46.127676999999998</v>
      </c>
      <c r="G143" s="55">
        <v>-23.470967999999999</v>
      </c>
      <c r="H143" s="55">
        <v>-46.332096</v>
      </c>
      <c r="I143" s="55">
        <v>-23.670494000000001</v>
      </c>
      <c r="J143" s="55">
        <v>-46.396743000000001</v>
      </c>
      <c r="L143" s="61" t="str">
        <f t="shared" si="2"/>
        <v>depósito C-Cliente30</v>
      </c>
      <c r="M143">
        <v>58.052368999999999</v>
      </c>
    </row>
    <row r="144" spans="1:13" x14ac:dyDescent="0.25">
      <c r="A144" s="15" t="s">
        <v>4270</v>
      </c>
      <c r="B144" s="15" t="s">
        <v>4301</v>
      </c>
      <c r="C144" s="52">
        <v>60.906334000000001</v>
      </c>
      <c r="D144" s="25">
        <v>6.25E-2</v>
      </c>
      <c r="E144" s="53">
        <v>-23.352387</v>
      </c>
      <c r="F144" s="53">
        <v>-46.183017999999997</v>
      </c>
      <c r="G144" s="53">
        <v>-23.500836</v>
      </c>
      <c r="H144" s="53">
        <v>-46.563349000000002</v>
      </c>
      <c r="I144" s="53">
        <v>-23.517655999999999</v>
      </c>
      <c r="J144" s="53">
        <v>-46.745254000000003</v>
      </c>
      <c r="L144" s="61" t="str">
        <f t="shared" si="2"/>
        <v>depósito C-Cliente31</v>
      </c>
      <c r="M144">
        <v>60.906334000000001</v>
      </c>
    </row>
    <row r="145" spans="1:13" x14ac:dyDescent="0.25">
      <c r="A145" s="15" t="s">
        <v>4270</v>
      </c>
      <c r="B145" s="15" t="s">
        <v>4302</v>
      </c>
      <c r="C145" s="54">
        <v>55.937215999999999</v>
      </c>
      <c r="D145" s="26">
        <v>5.5555555555555552E-2</v>
      </c>
      <c r="E145" s="55">
        <v>-23.321808000000001</v>
      </c>
      <c r="F145" s="55">
        <v>-46.112901000000001</v>
      </c>
      <c r="G145" s="55">
        <v>-23.404731999999999</v>
      </c>
      <c r="H145" s="55">
        <v>-46.333511000000001</v>
      </c>
      <c r="I145" s="55">
        <v>-23.518605000000001</v>
      </c>
      <c r="J145" s="55">
        <v>-46.631757</v>
      </c>
      <c r="L145" s="61" t="str">
        <f t="shared" si="2"/>
        <v>depósito C-Cliente32</v>
      </c>
      <c r="M145">
        <v>55.937215999999999</v>
      </c>
    </row>
    <row r="146" spans="1:13" x14ac:dyDescent="0.25">
      <c r="A146" s="15" t="s">
        <v>4270</v>
      </c>
      <c r="B146" s="15" t="s">
        <v>4303</v>
      </c>
      <c r="C146" s="52">
        <v>46.003331000000003</v>
      </c>
      <c r="D146" s="25">
        <v>4.5138888888888888E-2</v>
      </c>
      <c r="E146" s="53">
        <v>-23.312625000000001</v>
      </c>
      <c r="F146" s="53">
        <v>-46.064214999999997</v>
      </c>
      <c r="G146" s="53">
        <v>-23.371203000000001</v>
      </c>
      <c r="H146" s="53">
        <v>-46.242761000000002</v>
      </c>
      <c r="I146" s="53">
        <v>-23.467492</v>
      </c>
      <c r="J146" s="53">
        <v>-46.506751999999999</v>
      </c>
      <c r="L146" s="61" t="str">
        <f t="shared" ref="L146:L209" si="3">_xlfn.CONCAT(A146,"-",B146)</f>
        <v>depósito C-Cliente33</v>
      </c>
      <c r="M146">
        <v>46.003331000000003</v>
      </c>
    </row>
    <row r="147" spans="1:13" x14ac:dyDescent="0.25">
      <c r="A147" s="15" t="s">
        <v>4270</v>
      </c>
      <c r="B147" s="15" t="s">
        <v>4304</v>
      </c>
      <c r="C147" s="54">
        <v>65.613854000000003</v>
      </c>
      <c r="D147" s="26">
        <v>6.7361111111111108E-2</v>
      </c>
      <c r="E147" s="55">
        <v>-23.357271000000001</v>
      </c>
      <c r="F147" s="55">
        <v>-46.208392000000003</v>
      </c>
      <c r="G147" s="55">
        <v>-23.522214000000002</v>
      </c>
      <c r="H147" s="55">
        <v>-46.605992000000001</v>
      </c>
      <c r="I147" s="55">
        <v>-23.509923000000001</v>
      </c>
      <c r="J147" s="55">
        <v>-46.811323000000002</v>
      </c>
      <c r="L147" s="61" t="str">
        <f t="shared" si="3"/>
        <v>depósito C-Cliente34</v>
      </c>
      <c r="M147">
        <v>65.613854000000003</v>
      </c>
    </row>
    <row r="148" spans="1:13" x14ac:dyDescent="0.25">
      <c r="A148" s="15" t="s">
        <v>4270</v>
      </c>
      <c r="B148" s="15" t="s">
        <v>4305</v>
      </c>
      <c r="C148" s="52">
        <v>66.209750999999997</v>
      </c>
      <c r="D148" s="25">
        <v>6.6666666666666666E-2</v>
      </c>
      <c r="E148" s="53">
        <v>-23.35596</v>
      </c>
      <c r="F148" s="53">
        <v>-46.205297000000002</v>
      </c>
      <c r="G148" s="53">
        <v>-23.525928</v>
      </c>
      <c r="H148" s="53">
        <v>-46.598052000000003</v>
      </c>
      <c r="I148" s="53">
        <v>-23.518446999999998</v>
      </c>
      <c r="J148" s="53">
        <v>-46.785387</v>
      </c>
      <c r="L148" s="61" t="str">
        <f t="shared" si="3"/>
        <v>depósito C-Cliente35</v>
      </c>
      <c r="M148">
        <v>66.209750999999997</v>
      </c>
    </row>
    <row r="149" spans="1:13" x14ac:dyDescent="0.25">
      <c r="A149" s="15" t="s">
        <v>4270</v>
      </c>
      <c r="B149" s="15" t="s">
        <v>4306</v>
      </c>
      <c r="C149" s="54">
        <v>174.90959000000001</v>
      </c>
      <c r="D149" s="26">
        <v>0.14444444444444446</v>
      </c>
      <c r="E149" s="55">
        <v>-23.181999999999999</v>
      </c>
      <c r="F149" s="55">
        <v>-46.292698999999999</v>
      </c>
      <c r="G149" s="55">
        <v>-22.977176</v>
      </c>
      <c r="H149" s="55">
        <v>-46.830813999999997</v>
      </c>
      <c r="I149" s="55">
        <v>-22.564349</v>
      </c>
      <c r="J149" s="55">
        <v>-47.365664000000002</v>
      </c>
      <c r="L149" s="61" t="str">
        <f t="shared" si="3"/>
        <v>depósito C-Cliente36</v>
      </c>
      <c r="M149">
        <v>174.90959000000001</v>
      </c>
    </row>
    <row r="150" spans="1:13" x14ac:dyDescent="0.25">
      <c r="A150" s="15" t="s">
        <v>4270</v>
      </c>
      <c r="B150" s="15" t="s">
        <v>4307</v>
      </c>
      <c r="C150" s="52">
        <v>173.81286700000001</v>
      </c>
      <c r="D150" s="25">
        <v>0.14305555555555557</v>
      </c>
      <c r="E150" s="53">
        <v>-23.182342999999999</v>
      </c>
      <c r="F150" s="53">
        <v>-46.295254999999997</v>
      </c>
      <c r="G150" s="53">
        <v>-22.965062</v>
      </c>
      <c r="H150" s="53">
        <v>-46.843525999999997</v>
      </c>
      <c r="I150" s="53">
        <v>-22.557307999999999</v>
      </c>
      <c r="J150" s="53">
        <v>-47.367770999999998</v>
      </c>
      <c r="L150" s="61" t="str">
        <f t="shared" si="3"/>
        <v>depósito C-Cliente37</v>
      </c>
      <c r="M150">
        <v>173.81286700000001</v>
      </c>
    </row>
    <row r="151" spans="1:13" x14ac:dyDescent="0.25">
      <c r="A151" s="15" t="s">
        <v>4270</v>
      </c>
      <c r="B151" s="15" t="s">
        <v>4308</v>
      </c>
      <c r="C151" s="54">
        <v>172.03636299999999</v>
      </c>
      <c r="D151" s="26">
        <v>0.14097222222222222</v>
      </c>
      <c r="E151" s="55">
        <v>-23.174627000000001</v>
      </c>
      <c r="F151" s="55">
        <v>-46.281488000000003</v>
      </c>
      <c r="G151" s="55">
        <v>-22.986495999999999</v>
      </c>
      <c r="H151" s="55">
        <v>-46.810516999999997</v>
      </c>
      <c r="I151" s="55">
        <v>-22.607071999999999</v>
      </c>
      <c r="J151" s="55">
        <v>-47.361316000000002</v>
      </c>
      <c r="L151" s="61" t="str">
        <f t="shared" si="3"/>
        <v>depósito C-Cliente38</v>
      </c>
      <c r="M151">
        <v>172.03636299999999</v>
      </c>
    </row>
    <row r="152" spans="1:13" x14ac:dyDescent="0.25">
      <c r="A152" s="15" t="s">
        <v>4270</v>
      </c>
      <c r="B152" s="15" t="s">
        <v>4309</v>
      </c>
      <c r="C152" s="52">
        <v>35.234940999999999</v>
      </c>
      <c r="D152" s="25">
        <v>3.6111111111111115E-2</v>
      </c>
      <c r="E152" s="53">
        <v>-23.247695</v>
      </c>
      <c r="F152" s="53">
        <v>-45.931547999999999</v>
      </c>
      <c r="G152" s="53">
        <v>-23.037493999999999</v>
      </c>
      <c r="H152" s="53">
        <v>-45.558027000000003</v>
      </c>
      <c r="I152" s="53">
        <v>-23.030045999999999</v>
      </c>
      <c r="J152" s="53">
        <v>-45.554119999999998</v>
      </c>
      <c r="L152" s="61" t="str">
        <f t="shared" si="3"/>
        <v>depósito C-Cliente39</v>
      </c>
      <c r="M152">
        <v>35.234940999999999</v>
      </c>
    </row>
    <row r="153" spans="1:13" x14ac:dyDescent="0.25">
      <c r="A153" s="15" t="s">
        <v>4270</v>
      </c>
      <c r="B153" s="15" t="s">
        <v>4310</v>
      </c>
      <c r="C153" s="54">
        <v>36.796450999999998</v>
      </c>
      <c r="D153" s="26">
        <v>3.9583333333333331E-2</v>
      </c>
      <c r="E153" s="55">
        <v>-23.242025000000002</v>
      </c>
      <c r="F153" s="55">
        <v>-45.923810000000003</v>
      </c>
      <c r="G153" s="55">
        <v>-23.038639</v>
      </c>
      <c r="H153" s="55">
        <v>-45.558197999999997</v>
      </c>
      <c r="I153" s="55">
        <v>-23.020672000000001</v>
      </c>
      <c r="J153" s="55">
        <v>-45.553883999999996</v>
      </c>
      <c r="L153" s="61" t="str">
        <f t="shared" si="3"/>
        <v>depósito C-Cliente40</v>
      </c>
      <c r="M153">
        <v>36.796450999999998</v>
      </c>
    </row>
    <row r="154" spans="1:13" x14ac:dyDescent="0.25">
      <c r="A154" s="15" t="s">
        <v>4270</v>
      </c>
      <c r="B154" s="15" t="s">
        <v>4311</v>
      </c>
      <c r="C154" s="52">
        <v>26.090198000000001</v>
      </c>
      <c r="D154" s="25">
        <v>3.0555555555555555E-2</v>
      </c>
      <c r="E154" s="53">
        <v>-23.244430000000001</v>
      </c>
      <c r="F154" s="53">
        <v>-45.926609999999997</v>
      </c>
      <c r="G154" s="53">
        <v>-23.109776</v>
      </c>
      <c r="H154" s="53">
        <v>-45.703125</v>
      </c>
      <c r="I154" s="53">
        <v>-23.086359000000002</v>
      </c>
      <c r="J154" s="53">
        <v>-45.710070000000002</v>
      </c>
      <c r="L154" s="61" t="str">
        <f t="shared" si="3"/>
        <v>depósito C-Cliente41</v>
      </c>
      <c r="M154">
        <v>26.090198000000001</v>
      </c>
    </row>
    <row r="155" spans="1:13" x14ac:dyDescent="0.25">
      <c r="A155" s="15" t="s">
        <v>4270</v>
      </c>
      <c r="B155" s="15" t="s">
        <v>4312</v>
      </c>
      <c r="C155" s="54">
        <v>22.802515</v>
      </c>
      <c r="D155" s="26">
        <v>2.361111111111111E-2</v>
      </c>
      <c r="E155" s="55">
        <v>-23.280197999999999</v>
      </c>
      <c r="F155" s="55">
        <v>-45.981765000000003</v>
      </c>
      <c r="G155" s="55">
        <v>-23.242025000000002</v>
      </c>
      <c r="H155" s="55">
        <v>-45.923810000000003</v>
      </c>
      <c r="I155" s="55">
        <v>-23.115196999999998</v>
      </c>
      <c r="J155" s="55">
        <v>-45.708452000000001</v>
      </c>
      <c r="L155" s="61" t="str">
        <f t="shared" si="3"/>
        <v>depósito C-Cliente42</v>
      </c>
      <c r="M155">
        <v>22.802515</v>
      </c>
    </row>
    <row r="156" spans="1:13" x14ac:dyDescent="0.25">
      <c r="A156" s="15" t="s">
        <v>4270</v>
      </c>
      <c r="B156" s="15" t="s">
        <v>4313</v>
      </c>
      <c r="C156" s="52">
        <v>41.47663</v>
      </c>
      <c r="D156" s="25">
        <v>4.2361111111111106E-2</v>
      </c>
      <c r="E156" s="53">
        <v>-23.161244</v>
      </c>
      <c r="F156" s="53">
        <v>-45.803519000000001</v>
      </c>
      <c r="G156" s="53">
        <v>-23.011914999999998</v>
      </c>
      <c r="H156" s="53">
        <v>-45.520774000000003</v>
      </c>
      <c r="I156" s="53">
        <v>-22.984646000000001</v>
      </c>
      <c r="J156" s="53">
        <v>-45.518095000000002</v>
      </c>
      <c r="L156" s="61" t="str">
        <f t="shared" si="3"/>
        <v>depósito C-Cliente43</v>
      </c>
      <c r="M156">
        <v>41.47663</v>
      </c>
    </row>
    <row r="157" spans="1:13" x14ac:dyDescent="0.25">
      <c r="A157" s="15" t="s">
        <v>4270</v>
      </c>
      <c r="B157" s="15" t="s">
        <v>4314</v>
      </c>
      <c r="C157" s="54">
        <v>118.915829</v>
      </c>
      <c r="D157" s="26">
        <v>0.10625</v>
      </c>
      <c r="E157" s="55">
        <v>-23.398163</v>
      </c>
      <c r="F157" s="55">
        <v>-46.297789000000002</v>
      </c>
      <c r="G157" s="55">
        <v>-23.518307</v>
      </c>
      <c r="H157" s="55">
        <v>-46.746212</v>
      </c>
      <c r="I157" s="55">
        <v>-23.423176000000002</v>
      </c>
      <c r="J157" s="55">
        <v>-47.238835000000002</v>
      </c>
      <c r="L157" s="61" t="str">
        <f t="shared" si="3"/>
        <v>depósito C-Cliente44</v>
      </c>
      <c r="M157">
        <v>118.915829</v>
      </c>
    </row>
    <row r="158" spans="1:13" x14ac:dyDescent="0.25">
      <c r="A158" s="15" t="s">
        <v>4270</v>
      </c>
      <c r="B158" s="15" t="s">
        <v>4315</v>
      </c>
      <c r="C158" s="52">
        <v>123.208893</v>
      </c>
      <c r="D158" s="25">
        <v>0.11527777777777777</v>
      </c>
      <c r="E158" s="53">
        <v>-23.404731999999999</v>
      </c>
      <c r="F158" s="53">
        <v>-46.333511000000001</v>
      </c>
      <c r="G158" s="53">
        <v>-23.519100000000002</v>
      </c>
      <c r="H158" s="53">
        <v>-46.784126999999998</v>
      </c>
      <c r="I158" s="53">
        <v>-23.370747000000001</v>
      </c>
      <c r="J158" s="53">
        <v>-47.452421000000001</v>
      </c>
      <c r="L158" s="61" t="str">
        <f t="shared" si="3"/>
        <v>depósito C-Cliente45</v>
      </c>
      <c r="M158">
        <v>123.208893</v>
      </c>
    </row>
    <row r="159" spans="1:13" x14ac:dyDescent="0.25">
      <c r="A159" s="15" t="s">
        <v>4270</v>
      </c>
      <c r="B159" s="15" t="s">
        <v>4316</v>
      </c>
      <c r="C159" s="54">
        <v>107.63791399999999</v>
      </c>
      <c r="D159" s="26">
        <v>9.9999999999999992E-2</v>
      </c>
      <c r="E159" s="55">
        <v>-23.393184000000002</v>
      </c>
      <c r="F159" s="55">
        <v>-46.285952000000002</v>
      </c>
      <c r="G159" s="55">
        <v>-23.514548999999999</v>
      </c>
      <c r="H159" s="55">
        <v>-46.727156999999998</v>
      </c>
      <c r="I159" s="55">
        <v>-23.429178</v>
      </c>
      <c r="J159" s="55">
        <v>-47.130792</v>
      </c>
      <c r="L159" s="61" t="str">
        <f t="shared" si="3"/>
        <v>depósito C-Cliente46</v>
      </c>
      <c r="M159">
        <v>107.63791399999999</v>
      </c>
    </row>
    <row r="160" spans="1:13" x14ac:dyDescent="0.25">
      <c r="A160" s="15" t="s">
        <v>4270</v>
      </c>
      <c r="B160" s="15" t="s">
        <v>4317</v>
      </c>
      <c r="C160" s="52">
        <v>221.36590200000001</v>
      </c>
      <c r="D160" s="25">
        <v>0.17916666666666667</v>
      </c>
      <c r="E160" s="53">
        <v>-23.181415999999999</v>
      </c>
      <c r="F160" s="53">
        <v>-46.310113999999999</v>
      </c>
      <c r="G160" s="53">
        <v>-22.935095</v>
      </c>
      <c r="H160" s="53">
        <v>-46.885012000000003</v>
      </c>
      <c r="I160" s="53">
        <v>-22.445357000000001</v>
      </c>
      <c r="J160" s="53">
        <v>-47.398279000000002</v>
      </c>
      <c r="L160" s="61" t="str">
        <f t="shared" si="3"/>
        <v>depósito C-Cliente47</v>
      </c>
      <c r="M160">
        <v>221.36590200000001</v>
      </c>
    </row>
    <row r="161" spans="1:13" x14ac:dyDescent="0.25">
      <c r="A161" s="15" t="s">
        <v>4270</v>
      </c>
      <c r="B161" s="15" t="s">
        <v>4318</v>
      </c>
      <c r="C161" s="54">
        <v>230.47709</v>
      </c>
      <c r="D161" s="26">
        <v>0.18680555555555556</v>
      </c>
      <c r="E161" s="55">
        <v>-23.193156999999999</v>
      </c>
      <c r="F161" s="55">
        <v>-46.342463000000002</v>
      </c>
      <c r="G161" s="55">
        <v>-22.917263999999999</v>
      </c>
      <c r="H161" s="55">
        <v>-46.945977999999997</v>
      </c>
      <c r="I161" s="55">
        <v>-22.228370000000002</v>
      </c>
      <c r="J161" s="55">
        <v>-47.391316000000003</v>
      </c>
      <c r="L161" s="61" t="str">
        <f t="shared" si="3"/>
        <v>depósito C-Cliente48</v>
      </c>
      <c r="M161">
        <v>230.47709</v>
      </c>
    </row>
    <row r="162" spans="1:13" x14ac:dyDescent="0.25">
      <c r="A162" s="15" t="s">
        <v>4270</v>
      </c>
      <c r="B162" s="15" t="s">
        <v>4319</v>
      </c>
      <c r="C162" s="52">
        <v>224.11485500000001</v>
      </c>
      <c r="D162" s="25">
        <v>0.18263888888888891</v>
      </c>
      <c r="E162" s="53">
        <v>-23.180848999999998</v>
      </c>
      <c r="F162" s="53">
        <v>-46.323158999999997</v>
      </c>
      <c r="G162" s="53">
        <v>-22.932776</v>
      </c>
      <c r="H162" s="53">
        <v>-46.930773000000002</v>
      </c>
      <c r="I162" s="53">
        <v>-22.331306000000001</v>
      </c>
      <c r="J162" s="53">
        <v>-47.388916000000002</v>
      </c>
      <c r="L162" s="61" t="str">
        <f t="shared" si="3"/>
        <v>depósito C-Cliente49</v>
      </c>
      <c r="M162">
        <v>224.11485500000001</v>
      </c>
    </row>
    <row r="163" spans="1:13" x14ac:dyDescent="0.25">
      <c r="A163" s="15" t="s">
        <v>4270</v>
      </c>
      <c r="B163" s="15" t="s">
        <v>4320</v>
      </c>
      <c r="C163" s="54">
        <v>255.03684699999999</v>
      </c>
      <c r="D163" s="26">
        <v>0.20902777777777778</v>
      </c>
      <c r="E163" s="55">
        <v>-23.16572</v>
      </c>
      <c r="F163" s="55">
        <v>-46.406353000000003</v>
      </c>
      <c r="G163" s="55">
        <v>-22.742234</v>
      </c>
      <c r="H163" s="55">
        <v>-47.269838999999997</v>
      </c>
      <c r="I163" s="55">
        <v>-22.291467999999998</v>
      </c>
      <c r="J163" s="55">
        <v>-48.096243999999999</v>
      </c>
      <c r="L163" s="61" t="str">
        <f t="shared" si="3"/>
        <v>depósito C-Cliente50</v>
      </c>
      <c r="M163">
        <v>255.03684699999999</v>
      </c>
    </row>
    <row r="164" spans="1:13" x14ac:dyDescent="0.25">
      <c r="A164" s="15" t="s">
        <v>4270</v>
      </c>
      <c r="B164" s="15" t="s">
        <v>4321</v>
      </c>
      <c r="C164" s="52">
        <v>248.69201000000001</v>
      </c>
      <c r="D164" s="25">
        <v>0.20486111111111113</v>
      </c>
      <c r="E164" s="53">
        <v>-23.173535000000001</v>
      </c>
      <c r="F164" s="53">
        <v>-46.384925000000003</v>
      </c>
      <c r="G164" s="53">
        <v>-22.846948000000001</v>
      </c>
      <c r="H164" s="53">
        <v>-47.163558999999999</v>
      </c>
      <c r="I164" s="53">
        <v>-22.255071000000001</v>
      </c>
      <c r="J164" s="53">
        <v>-47.843907999999999</v>
      </c>
      <c r="L164" s="61" t="str">
        <f t="shared" si="3"/>
        <v>depósito C-Cliente51</v>
      </c>
      <c r="M164">
        <v>248.69201000000001</v>
      </c>
    </row>
    <row r="165" spans="1:13" x14ac:dyDescent="0.25">
      <c r="A165" s="15" t="s">
        <v>4271</v>
      </c>
      <c r="B165" s="15" t="s">
        <v>4268</v>
      </c>
      <c r="C165" s="54">
        <v>35.424460000000003</v>
      </c>
      <c r="D165" s="26">
        <v>3.1944444444444449E-2</v>
      </c>
      <c r="E165" s="55">
        <v>-22.993047000000001</v>
      </c>
      <c r="F165" s="55">
        <v>-47.071345999999998</v>
      </c>
      <c r="G165" s="55">
        <v>-23.003609000000001</v>
      </c>
      <c r="H165" s="55">
        <v>-47.112318999999999</v>
      </c>
      <c r="I165" s="55">
        <v>-23.179175000000001</v>
      </c>
      <c r="J165" s="55">
        <v>-47.295886000000003</v>
      </c>
      <c r="L165" s="61" t="str">
        <f t="shared" si="3"/>
        <v>Cliente1-depósito A</v>
      </c>
      <c r="M165">
        <v>35.424460000000003</v>
      </c>
    </row>
    <row r="166" spans="1:13" x14ac:dyDescent="0.25">
      <c r="A166" s="15" t="s">
        <v>4271</v>
      </c>
      <c r="B166" s="15" t="s">
        <v>4269</v>
      </c>
      <c r="C166" s="52">
        <v>118.564753</v>
      </c>
      <c r="D166" s="25">
        <v>9.7916666666666666E-2</v>
      </c>
      <c r="E166" s="53">
        <v>-22.827233</v>
      </c>
      <c r="F166" s="53">
        <v>-47.184015000000002</v>
      </c>
      <c r="G166" s="53">
        <v>-22.500671000000001</v>
      </c>
      <c r="H166" s="53">
        <v>-47.399256000000001</v>
      </c>
      <c r="I166" s="53">
        <v>-22.278445999999999</v>
      </c>
      <c r="J166" s="53">
        <v>-47.685183000000002</v>
      </c>
      <c r="L166" s="61" t="str">
        <f t="shared" si="3"/>
        <v>Cliente1-depósito B</v>
      </c>
      <c r="M166">
        <v>118.564753</v>
      </c>
    </row>
    <row r="167" spans="1:13" x14ac:dyDescent="0.25">
      <c r="A167" s="15" t="s">
        <v>4271</v>
      </c>
      <c r="B167" s="15" t="s">
        <v>4270</v>
      </c>
      <c r="C167" s="54">
        <v>87.406017000000006</v>
      </c>
      <c r="D167" s="26">
        <v>7.4305555555555555E-2</v>
      </c>
      <c r="E167" s="55">
        <v>-22.947379000000002</v>
      </c>
      <c r="F167" s="55">
        <v>-46.870196999999997</v>
      </c>
      <c r="G167" s="55">
        <v>-23.171296000000002</v>
      </c>
      <c r="H167" s="55">
        <v>-46.425024999999998</v>
      </c>
      <c r="I167" s="55">
        <v>-23.202511000000001</v>
      </c>
      <c r="J167" s="55">
        <v>-46.165004000000003</v>
      </c>
      <c r="L167" s="61" t="str">
        <f t="shared" si="3"/>
        <v>Cliente1-depósito C</v>
      </c>
      <c r="M167">
        <v>87.406017000000006</v>
      </c>
    </row>
    <row r="168" spans="1:13" x14ac:dyDescent="0.25">
      <c r="A168" s="15" t="s">
        <v>4271</v>
      </c>
      <c r="B168" s="15" t="s">
        <v>4271</v>
      </c>
      <c r="C168" s="52">
        <v>0</v>
      </c>
      <c r="D168" s="25">
        <v>0</v>
      </c>
      <c r="E168" s="53">
        <f>'1. Locais'!D5</f>
        <v>-22.951879999999999</v>
      </c>
      <c r="F168" s="53">
        <f>'1. Locais'!E5</f>
        <v>-47.027790000000003</v>
      </c>
      <c r="G168" s="53">
        <f>'1. Locais'!D5</f>
        <v>-22.951879999999999</v>
      </c>
      <c r="H168" s="53">
        <f>'1. Locais'!E5</f>
        <v>-47.027790000000003</v>
      </c>
      <c r="I168" s="53">
        <f>'1. Locais'!D5</f>
        <v>-22.951879999999999</v>
      </c>
      <c r="J168" s="53">
        <f>'1. Locais'!E5</f>
        <v>-47.027790000000003</v>
      </c>
      <c r="L168" s="61" t="str">
        <f t="shared" si="3"/>
        <v>Cliente1-Cliente1</v>
      </c>
      <c r="M168">
        <v>0</v>
      </c>
    </row>
    <row r="169" spans="1:13" x14ac:dyDescent="0.25">
      <c r="A169" s="15" t="s">
        <v>4271</v>
      </c>
      <c r="B169" s="15" t="s">
        <v>4272</v>
      </c>
      <c r="C169" s="54">
        <v>5.3692820000000001</v>
      </c>
      <c r="D169" s="26">
        <v>1.3194444444444444E-2</v>
      </c>
      <c r="E169" s="55">
        <v>-22.943930999999999</v>
      </c>
      <c r="F169" s="55">
        <v>-47.031407999999999</v>
      </c>
      <c r="G169" s="55">
        <v>-22.913732</v>
      </c>
      <c r="H169" s="55">
        <v>-47.055138999999997</v>
      </c>
      <c r="I169" s="55">
        <v>-22.904243999999998</v>
      </c>
      <c r="J169" s="55">
        <v>-47.056421</v>
      </c>
      <c r="L169" s="61" t="str">
        <f t="shared" si="3"/>
        <v>Cliente1-Cliente2</v>
      </c>
      <c r="M169">
        <v>5.3692820000000001</v>
      </c>
    </row>
    <row r="170" spans="1:13" x14ac:dyDescent="0.25">
      <c r="A170" s="15" t="s">
        <v>4271</v>
      </c>
      <c r="B170" s="15" t="s">
        <v>4273</v>
      </c>
      <c r="C170" s="52">
        <v>2.3152349999999999</v>
      </c>
      <c r="D170" s="25">
        <v>7.6388888888888886E-3</v>
      </c>
      <c r="E170" s="53">
        <v>-22.94922</v>
      </c>
      <c r="F170" s="53">
        <v>-47.027093999999998</v>
      </c>
      <c r="G170" s="53">
        <v>-22.942070000000001</v>
      </c>
      <c r="H170" s="53">
        <v>-47.032822000000003</v>
      </c>
      <c r="I170" s="53">
        <v>-22.930986000000001</v>
      </c>
      <c r="J170" s="53">
        <v>-47.037666000000002</v>
      </c>
      <c r="L170" s="61" t="str">
        <f t="shared" si="3"/>
        <v>Cliente1-Cliente3</v>
      </c>
      <c r="M170">
        <v>2.3152349999999999</v>
      </c>
    </row>
    <row r="171" spans="1:13" x14ac:dyDescent="0.25">
      <c r="A171" s="15" t="s">
        <v>4271</v>
      </c>
      <c r="B171" s="15" t="s">
        <v>4274</v>
      </c>
      <c r="C171" s="54">
        <v>14.091491</v>
      </c>
      <c r="D171" s="26">
        <v>1.6666666666666666E-2</v>
      </c>
      <c r="E171" s="55">
        <v>-22.955282</v>
      </c>
      <c r="F171" s="55">
        <v>-47.021245999999998</v>
      </c>
      <c r="G171" s="55">
        <v>-22.901216999999999</v>
      </c>
      <c r="H171" s="55">
        <v>-47.006746999999997</v>
      </c>
      <c r="I171" s="55">
        <v>-22.843631999999999</v>
      </c>
      <c r="J171" s="55">
        <v>-47.068990999999997</v>
      </c>
      <c r="L171" s="61" t="str">
        <f t="shared" si="3"/>
        <v>Cliente1-Cliente4</v>
      </c>
      <c r="M171">
        <v>14.091491</v>
      </c>
    </row>
    <row r="172" spans="1:13" x14ac:dyDescent="0.25">
      <c r="A172" s="15" t="s">
        <v>4271</v>
      </c>
      <c r="B172" s="15" t="s">
        <v>4275</v>
      </c>
      <c r="C172" s="52">
        <v>14.184697</v>
      </c>
      <c r="D172" s="25">
        <v>1.7361111111111112E-2</v>
      </c>
      <c r="E172" s="53">
        <v>-22.956334999999999</v>
      </c>
      <c r="F172" s="53">
        <v>-47.020682000000001</v>
      </c>
      <c r="G172" s="53">
        <v>-22.904159</v>
      </c>
      <c r="H172" s="53">
        <v>-47.008622000000003</v>
      </c>
      <c r="I172" s="53">
        <v>-22.842189000000001</v>
      </c>
      <c r="J172" s="53">
        <v>-47.056717999999996</v>
      </c>
      <c r="L172" s="61" t="str">
        <f t="shared" si="3"/>
        <v>Cliente1-Cliente5</v>
      </c>
      <c r="M172">
        <v>14.184697</v>
      </c>
    </row>
    <row r="173" spans="1:13" x14ac:dyDescent="0.25">
      <c r="A173" s="15" t="s">
        <v>4271</v>
      </c>
      <c r="B173" s="15" t="s">
        <v>4276</v>
      </c>
      <c r="C173" s="54">
        <v>2.7675939999999999</v>
      </c>
      <c r="D173" s="26">
        <v>6.2499999999999995E-3</v>
      </c>
      <c r="E173" s="55">
        <v>-22.949069999999999</v>
      </c>
      <c r="F173" s="55">
        <v>-47.026927999999998</v>
      </c>
      <c r="G173" s="55">
        <v>-22.95703</v>
      </c>
      <c r="H173" s="55">
        <v>-47.021428999999998</v>
      </c>
      <c r="I173" s="55">
        <v>-22.964634</v>
      </c>
      <c r="J173" s="55">
        <v>-47.008552999999999</v>
      </c>
      <c r="L173" s="61" t="str">
        <f t="shared" si="3"/>
        <v>Cliente1-Cliente6</v>
      </c>
      <c r="M173">
        <v>2.7675939999999999</v>
      </c>
    </row>
    <row r="174" spans="1:13" x14ac:dyDescent="0.25">
      <c r="A174" s="15" t="s">
        <v>4271</v>
      </c>
      <c r="B174" s="15" t="s">
        <v>4277</v>
      </c>
      <c r="C174" s="52">
        <v>9.0534009999999991</v>
      </c>
      <c r="D174" s="25">
        <v>1.3194444444444444E-2</v>
      </c>
      <c r="E174" s="53">
        <v>-22.954450999999999</v>
      </c>
      <c r="F174" s="53">
        <v>-47.023192000000002</v>
      </c>
      <c r="G174" s="53">
        <v>-22.976497999999999</v>
      </c>
      <c r="H174" s="53">
        <v>-47.047153999999999</v>
      </c>
      <c r="I174" s="53">
        <v>-22.933181999999999</v>
      </c>
      <c r="J174" s="53">
        <v>-47.074733000000002</v>
      </c>
      <c r="L174" s="61" t="str">
        <f t="shared" si="3"/>
        <v>Cliente1-Cliente7</v>
      </c>
      <c r="M174">
        <v>9.0534009999999991</v>
      </c>
    </row>
    <row r="175" spans="1:13" x14ac:dyDescent="0.25">
      <c r="A175" s="15" t="s">
        <v>4271</v>
      </c>
      <c r="B175" s="15" t="s">
        <v>4278</v>
      </c>
      <c r="C175" s="54">
        <v>10.307952</v>
      </c>
      <c r="D175" s="26">
        <v>1.3888888888888888E-2</v>
      </c>
      <c r="E175" s="55">
        <v>-22.954847000000001</v>
      </c>
      <c r="F175" s="55">
        <v>-47.021265</v>
      </c>
      <c r="G175" s="55">
        <v>-22.901281999999998</v>
      </c>
      <c r="H175" s="55">
        <v>-47.006630000000001</v>
      </c>
      <c r="I175" s="55">
        <v>-22.897857999999999</v>
      </c>
      <c r="J175" s="55">
        <v>-47.003847</v>
      </c>
      <c r="L175" s="61" t="str">
        <f t="shared" si="3"/>
        <v>Cliente1-Cliente8</v>
      </c>
      <c r="M175">
        <v>10.307952</v>
      </c>
    </row>
    <row r="176" spans="1:13" x14ac:dyDescent="0.25">
      <c r="A176" s="15" t="s">
        <v>4271</v>
      </c>
      <c r="B176" s="15" t="s">
        <v>4279</v>
      </c>
      <c r="C176" s="52">
        <v>28.783228000000001</v>
      </c>
      <c r="D176" s="25">
        <v>3.0555555555555555E-2</v>
      </c>
      <c r="E176" s="53">
        <v>-22.970417000000001</v>
      </c>
      <c r="F176" s="53">
        <v>-47.029637999999998</v>
      </c>
      <c r="G176" s="53">
        <v>-22.886164000000001</v>
      </c>
      <c r="H176" s="53">
        <v>-47.113779000000001</v>
      </c>
      <c r="I176" s="53">
        <v>-22.772186000000001</v>
      </c>
      <c r="J176" s="53">
        <v>-47.237149000000002</v>
      </c>
      <c r="L176" s="61" t="str">
        <f t="shared" si="3"/>
        <v>Cliente1-Cliente9</v>
      </c>
      <c r="M176">
        <v>28.783228000000001</v>
      </c>
    </row>
    <row r="177" spans="1:13" x14ac:dyDescent="0.25">
      <c r="A177" s="15" t="s">
        <v>4271</v>
      </c>
      <c r="B177" s="15" t="s">
        <v>4280</v>
      </c>
      <c r="C177" s="54">
        <v>57.003492000000001</v>
      </c>
      <c r="D177" s="26">
        <v>5.5555555555555552E-2</v>
      </c>
      <c r="E177" s="55">
        <v>-23.051794000000001</v>
      </c>
      <c r="F177" s="55">
        <v>-47.050874999999998</v>
      </c>
      <c r="G177" s="55">
        <v>-23.293565999999998</v>
      </c>
      <c r="H177" s="55">
        <v>-46.843116999999999</v>
      </c>
      <c r="I177" s="55">
        <v>-23.474169</v>
      </c>
      <c r="J177" s="55">
        <v>-46.746786</v>
      </c>
      <c r="L177" s="61" t="str">
        <f t="shared" si="3"/>
        <v>Cliente1-Cliente10</v>
      </c>
      <c r="M177">
        <v>57.003492000000001</v>
      </c>
    </row>
    <row r="178" spans="1:13" x14ac:dyDescent="0.25">
      <c r="A178" s="15" t="s">
        <v>4271</v>
      </c>
      <c r="B178" s="15" t="s">
        <v>4281</v>
      </c>
      <c r="C178" s="52">
        <v>51.135869</v>
      </c>
      <c r="D178" s="25">
        <v>4.3055555555555562E-2</v>
      </c>
      <c r="E178" s="53">
        <v>-23.012422999999998</v>
      </c>
      <c r="F178" s="53">
        <v>-47.084874999999997</v>
      </c>
      <c r="G178" s="53">
        <v>-22.912109999999998</v>
      </c>
      <c r="H178" s="53">
        <v>-47.189996999999998</v>
      </c>
      <c r="I178" s="53">
        <v>-22.788481000000001</v>
      </c>
      <c r="J178" s="53">
        <v>-47.422204999999998</v>
      </c>
      <c r="L178" s="61" t="str">
        <f t="shared" si="3"/>
        <v>Cliente1-Cliente11</v>
      </c>
      <c r="M178">
        <v>51.135869</v>
      </c>
    </row>
    <row r="179" spans="1:13" x14ac:dyDescent="0.25">
      <c r="A179" s="15" t="s">
        <v>4271</v>
      </c>
      <c r="B179" s="15" t="s">
        <v>4282</v>
      </c>
      <c r="C179" s="54">
        <v>86.447238999999996</v>
      </c>
      <c r="D179" s="26">
        <v>7.4305555555555555E-2</v>
      </c>
      <c r="E179" s="55">
        <v>-22.948504</v>
      </c>
      <c r="F179" s="55">
        <v>-46.868555999999998</v>
      </c>
      <c r="G179" s="55">
        <v>-23.170741</v>
      </c>
      <c r="H179" s="55">
        <v>-46.421501999999997</v>
      </c>
      <c r="I179" s="55">
        <v>-23.204423999999999</v>
      </c>
      <c r="J179" s="55">
        <v>-46.161239999999999</v>
      </c>
      <c r="L179" s="61" t="str">
        <f t="shared" si="3"/>
        <v>Cliente1-Cliente12</v>
      </c>
      <c r="M179">
        <v>86.447238999999996</v>
      </c>
    </row>
    <row r="180" spans="1:13" x14ac:dyDescent="0.25">
      <c r="A180" s="15" t="s">
        <v>4271</v>
      </c>
      <c r="B180" s="15" t="s">
        <v>4283</v>
      </c>
      <c r="C180" s="52">
        <v>94.331216999999995</v>
      </c>
      <c r="D180" s="25">
        <v>7.9166666666666663E-2</v>
      </c>
      <c r="E180" s="53">
        <v>-22.963591999999998</v>
      </c>
      <c r="F180" s="53">
        <v>-46.845143999999998</v>
      </c>
      <c r="G180" s="53">
        <v>-23.172415000000001</v>
      </c>
      <c r="H180" s="53">
        <v>-46.387013000000003</v>
      </c>
      <c r="I180" s="53">
        <v>-23.236111000000001</v>
      </c>
      <c r="J180" s="53">
        <v>-46.125599000000001</v>
      </c>
      <c r="L180" s="61" t="str">
        <f t="shared" si="3"/>
        <v>Cliente1-Cliente13</v>
      </c>
      <c r="M180">
        <v>94.331216999999995</v>
      </c>
    </row>
    <row r="181" spans="1:13" x14ac:dyDescent="0.25">
      <c r="A181" s="15" t="s">
        <v>4271</v>
      </c>
      <c r="B181" s="15" t="s">
        <v>4284</v>
      </c>
      <c r="C181" s="54">
        <v>92.393776000000003</v>
      </c>
      <c r="D181" s="26">
        <v>7.6388888888888895E-2</v>
      </c>
      <c r="E181" s="55">
        <v>-22.936585999999998</v>
      </c>
      <c r="F181" s="55">
        <v>-46.882278999999997</v>
      </c>
      <c r="G181" s="55">
        <v>-23.169471000000001</v>
      </c>
      <c r="H181" s="55">
        <v>-46.441606</v>
      </c>
      <c r="I181" s="55">
        <v>-23.196577999999999</v>
      </c>
      <c r="J181" s="55">
        <v>-46.184575000000002</v>
      </c>
      <c r="L181" s="61" t="str">
        <f t="shared" si="3"/>
        <v>Cliente1-Cliente14</v>
      </c>
      <c r="M181">
        <v>92.393776000000003</v>
      </c>
    </row>
    <row r="182" spans="1:13" x14ac:dyDescent="0.25">
      <c r="A182" s="15" t="s">
        <v>4271</v>
      </c>
      <c r="B182" s="15" t="s">
        <v>4285</v>
      </c>
      <c r="C182" s="52">
        <v>94.772390999999999</v>
      </c>
      <c r="D182" s="25">
        <v>8.2638888888888887E-2</v>
      </c>
      <c r="E182" s="53">
        <v>-22.963591999999998</v>
      </c>
      <c r="F182" s="53">
        <v>-46.845143999999998</v>
      </c>
      <c r="G182" s="53">
        <v>-23.172415000000001</v>
      </c>
      <c r="H182" s="53">
        <v>-46.387013000000003</v>
      </c>
      <c r="I182" s="53">
        <v>-23.236111000000001</v>
      </c>
      <c r="J182" s="53">
        <v>-46.125599000000001</v>
      </c>
      <c r="L182" s="61" t="str">
        <f t="shared" si="3"/>
        <v>Cliente1-Cliente15</v>
      </c>
      <c r="M182">
        <v>94.772390999999999</v>
      </c>
    </row>
    <row r="183" spans="1:13" x14ac:dyDescent="0.25">
      <c r="A183" s="15" t="s">
        <v>4271</v>
      </c>
      <c r="B183" s="15" t="s">
        <v>4286</v>
      </c>
      <c r="C183" s="54">
        <v>93.703008999999994</v>
      </c>
      <c r="D183" s="26">
        <v>8.0555555555555561E-2</v>
      </c>
      <c r="E183" s="55">
        <v>-22.962316000000001</v>
      </c>
      <c r="F183" s="55">
        <v>-46.846612999999998</v>
      </c>
      <c r="G183" s="55">
        <v>-23.170774000000002</v>
      </c>
      <c r="H183" s="55">
        <v>-46.390999000000001</v>
      </c>
      <c r="I183" s="55" t="s">
        <v>7297</v>
      </c>
      <c r="J183" s="55">
        <v>-46.129123999999997</v>
      </c>
      <c r="L183" s="61" t="str">
        <f t="shared" si="3"/>
        <v>Cliente1-Cliente16</v>
      </c>
      <c r="M183">
        <v>93.703008999999994</v>
      </c>
    </row>
    <row r="184" spans="1:13" x14ac:dyDescent="0.25">
      <c r="A184" s="15" t="s">
        <v>4271</v>
      </c>
      <c r="B184" s="15" t="s">
        <v>4287</v>
      </c>
      <c r="C184" s="52">
        <v>94.758720999999994</v>
      </c>
      <c r="D184" s="25">
        <v>7.9166666666666663E-2</v>
      </c>
      <c r="E184" s="53">
        <v>-22.963591999999998</v>
      </c>
      <c r="F184" s="53">
        <v>-46.845143999999998</v>
      </c>
      <c r="G184" s="53">
        <v>-23.172415000000001</v>
      </c>
      <c r="H184" s="53">
        <v>-46.387013000000003</v>
      </c>
      <c r="I184" s="53">
        <v>-23.236111000000001</v>
      </c>
      <c r="J184" s="53">
        <v>-46.125599000000001</v>
      </c>
      <c r="L184" s="61" t="str">
        <f t="shared" si="3"/>
        <v>Cliente1-Cliente17</v>
      </c>
      <c r="M184">
        <v>94.758720999999994</v>
      </c>
    </row>
    <row r="185" spans="1:13" x14ac:dyDescent="0.25">
      <c r="A185" s="15" t="s">
        <v>4271</v>
      </c>
      <c r="B185" s="15" t="s">
        <v>4288</v>
      </c>
      <c r="C185" s="54">
        <v>99.586787000000001</v>
      </c>
      <c r="D185" s="26">
        <v>8.4027777777777771E-2</v>
      </c>
      <c r="E185" s="55">
        <v>-22.954253999999999</v>
      </c>
      <c r="F185" s="55">
        <v>-46.859864000000002</v>
      </c>
      <c r="G185" s="55">
        <v>-23.165773999999999</v>
      </c>
      <c r="H185" s="55">
        <v>-46.404429999999998</v>
      </c>
      <c r="I185" s="55">
        <v>-23.211559000000001</v>
      </c>
      <c r="J185" s="55">
        <v>-46.155158999999998</v>
      </c>
      <c r="L185" s="61" t="str">
        <f t="shared" si="3"/>
        <v>Cliente1-Cliente18</v>
      </c>
      <c r="M185">
        <v>99.586787000000001</v>
      </c>
    </row>
    <row r="186" spans="1:13" x14ac:dyDescent="0.25">
      <c r="A186" s="15" t="s">
        <v>4271</v>
      </c>
      <c r="B186" s="15" t="s">
        <v>4289</v>
      </c>
      <c r="C186" s="52">
        <v>53.783538999999998</v>
      </c>
      <c r="D186" s="25">
        <v>4.7222222222222221E-2</v>
      </c>
      <c r="E186" s="53">
        <v>-23.024996000000002</v>
      </c>
      <c r="F186" s="53">
        <v>-47.075758999999998</v>
      </c>
      <c r="G186" s="53">
        <v>-23.255313000000001</v>
      </c>
      <c r="H186" s="53">
        <v>-46.870173000000001</v>
      </c>
      <c r="I186" s="53">
        <v>-23.378087000000001</v>
      </c>
      <c r="J186" s="53">
        <v>-46.772838</v>
      </c>
      <c r="L186" s="61" t="str">
        <f t="shared" si="3"/>
        <v>Cliente1-Cliente19</v>
      </c>
      <c r="M186">
        <v>53.783538999999998</v>
      </c>
    </row>
    <row r="187" spans="1:13" x14ac:dyDescent="0.25">
      <c r="A187" s="15" t="s">
        <v>4271</v>
      </c>
      <c r="B187" s="15" t="s">
        <v>4290</v>
      </c>
      <c r="C187" s="54">
        <v>55.355612000000001</v>
      </c>
      <c r="D187" s="26">
        <v>4.9999999999999996E-2</v>
      </c>
      <c r="E187" s="55">
        <v>-23.040220999999999</v>
      </c>
      <c r="F187" s="55">
        <v>-47.066774000000002</v>
      </c>
      <c r="G187" s="55">
        <v>-23.275825000000001</v>
      </c>
      <c r="H187" s="55">
        <v>-46.850839000000001</v>
      </c>
      <c r="I187" s="55">
        <v>-23.433834999999998</v>
      </c>
      <c r="J187" s="55">
        <v>-46.760385999999997</v>
      </c>
      <c r="L187" s="61" t="str">
        <f t="shared" si="3"/>
        <v>Cliente1-Cliente20</v>
      </c>
      <c r="M187">
        <v>55.355612000000001</v>
      </c>
    </row>
    <row r="188" spans="1:13" x14ac:dyDescent="0.25">
      <c r="A188" s="15" t="s">
        <v>4271</v>
      </c>
      <c r="B188" s="15" t="s">
        <v>4291</v>
      </c>
      <c r="C188" s="52">
        <v>54.957312000000002</v>
      </c>
      <c r="D188" s="25">
        <v>5.0694444444444452E-2</v>
      </c>
      <c r="E188" s="53">
        <v>-23.051794000000001</v>
      </c>
      <c r="F188" s="53">
        <v>-47.050874999999998</v>
      </c>
      <c r="G188" s="53">
        <v>-23.293565999999998</v>
      </c>
      <c r="H188" s="53">
        <v>-46.843116999999999</v>
      </c>
      <c r="I188" s="53">
        <v>-23.474169</v>
      </c>
      <c r="J188" s="53">
        <v>-46.746786</v>
      </c>
      <c r="L188" s="61" t="str">
        <f t="shared" si="3"/>
        <v>Cliente1-Cliente21</v>
      </c>
      <c r="M188">
        <v>54.957312000000002</v>
      </c>
    </row>
    <row r="189" spans="1:13" x14ac:dyDescent="0.25">
      <c r="A189" s="15" t="s">
        <v>4271</v>
      </c>
      <c r="B189" s="15" t="s">
        <v>4292</v>
      </c>
      <c r="C189" s="54">
        <v>54.080554999999997</v>
      </c>
      <c r="D189" s="26">
        <v>4.9305555555555554E-2</v>
      </c>
      <c r="E189" s="55">
        <v>-23.042501999999999</v>
      </c>
      <c r="F189" s="55">
        <v>-47.062494000000001</v>
      </c>
      <c r="G189" s="55">
        <v>-23.277909000000001</v>
      </c>
      <c r="H189" s="55">
        <v>-46.849068000000003</v>
      </c>
      <c r="I189" s="55">
        <v>-23.441125</v>
      </c>
      <c r="J189" s="55">
        <v>-46.757052999999999</v>
      </c>
      <c r="L189" s="61" t="str">
        <f t="shared" si="3"/>
        <v>Cliente1-Cliente22</v>
      </c>
      <c r="M189">
        <v>54.080554999999997</v>
      </c>
    </row>
    <row r="190" spans="1:13" x14ac:dyDescent="0.25">
      <c r="A190" s="15" t="s">
        <v>4271</v>
      </c>
      <c r="B190" s="15" t="s">
        <v>4293</v>
      </c>
      <c r="C190" s="52">
        <v>63.230890000000002</v>
      </c>
      <c r="D190" s="25">
        <v>5.6944444444444443E-2</v>
      </c>
      <c r="E190" s="53">
        <v>-23.088802000000001</v>
      </c>
      <c r="F190" s="53">
        <v>-47.018971000000001</v>
      </c>
      <c r="G190" s="53">
        <v>-23.333697000000001</v>
      </c>
      <c r="H190" s="53">
        <v>-46.823217</v>
      </c>
      <c r="I190" s="53">
        <v>-23.5184</v>
      </c>
      <c r="J190" s="53">
        <v>-46.815736000000001</v>
      </c>
      <c r="L190" s="61" t="str">
        <f t="shared" si="3"/>
        <v>Cliente1-Cliente23</v>
      </c>
      <c r="M190">
        <v>63.230890000000002</v>
      </c>
    </row>
    <row r="191" spans="1:13" x14ac:dyDescent="0.25">
      <c r="A191" s="15" t="s">
        <v>4271</v>
      </c>
      <c r="B191" s="15" t="s">
        <v>4294</v>
      </c>
      <c r="C191" s="54">
        <v>64.210172999999998</v>
      </c>
      <c r="D191" s="26">
        <v>5.9027777777777783E-2</v>
      </c>
      <c r="E191" s="55">
        <v>-23.089700000000001</v>
      </c>
      <c r="F191" s="55">
        <v>-47.018489000000002</v>
      </c>
      <c r="G191" s="55">
        <v>-23.336756000000001</v>
      </c>
      <c r="H191" s="55">
        <v>-46.822387999999997</v>
      </c>
      <c r="I191" s="55">
        <v>-23.533183000000001</v>
      </c>
      <c r="J191" s="55">
        <v>-46.818139000000002</v>
      </c>
      <c r="L191" s="61" t="str">
        <f t="shared" si="3"/>
        <v>Cliente1-Cliente24</v>
      </c>
      <c r="M191">
        <v>64.210172999999998</v>
      </c>
    </row>
    <row r="192" spans="1:13" x14ac:dyDescent="0.25">
      <c r="A192" s="15" t="s">
        <v>4271</v>
      </c>
      <c r="B192" s="15" t="s">
        <v>4295</v>
      </c>
      <c r="C192" s="52">
        <v>67.030584000000005</v>
      </c>
      <c r="D192" s="25">
        <v>6.1805555555555558E-2</v>
      </c>
      <c r="E192" s="53">
        <v>-23.094819999999999</v>
      </c>
      <c r="F192" s="53">
        <v>-47.016826999999999</v>
      </c>
      <c r="G192" s="53">
        <v>-23.345116000000001</v>
      </c>
      <c r="H192" s="53">
        <v>-46.815179000000001</v>
      </c>
      <c r="I192" s="53">
        <v>-23.547757000000001</v>
      </c>
      <c r="J192" s="53">
        <v>-46.820459</v>
      </c>
      <c r="L192" s="61" t="str">
        <f t="shared" si="3"/>
        <v>Cliente1-Cliente25</v>
      </c>
      <c r="M192">
        <v>67.030584000000005</v>
      </c>
    </row>
    <row r="193" spans="1:13" x14ac:dyDescent="0.25">
      <c r="A193" s="15" t="s">
        <v>4271</v>
      </c>
      <c r="B193" s="15" t="s">
        <v>4296</v>
      </c>
      <c r="C193" s="54">
        <v>58.693004999999999</v>
      </c>
      <c r="D193" s="26">
        <v>5.2083333333333336E-2</v>
      </c>
      <c r="E193" s="55">
        <v>-23.078078999999999</v>
      </c>
      <c r="F193" s="55">
        <v>-47.026595</v>
      </c>
      <c r="G193" s="55">
        <v>-23.312515999999999</v>
      </c>
      <c r="H193" s="55">
        <v>-46.826540999999999</v>
      </c>
      <c r="I193" s="55">
        <v>-23.499991000000001</v>
      </c>
      <c r="J193" s="55">
        <v>-46.820312999999999</v>
      </c>
      <c r="L193" s="61" t="str">
        <f t="shared" si="3"/>
        <v>Cliente1-Cliente26</v>
      </c>
      <c r="M193">
        <v>58.693004999999999</v>
      </c>
    </row>
    <row r="194" spans="1:13" x14ac:dyDescent="0.25">
      <c r="A194" s="15" t="s">
        <v>4271</v>
      </c>
      <c r="B194" s="15" t="s">
        <v>4297</v>
      </c>
      <c r="C194" s="52">
        <v>65.009879999999995</v>
      </c>
      <c r="D194" s="25">
        <v>5.9722222222222225E-2</v>
      </c>
      <c r="E194" s="53">
        <v>-23.090647000000001</v>
      </c>
      <c r="F194" s="53">
        <v>-47.018110999999998</v>
      </c>
      <c r="G194" s="53">
        <v>-23.339262000000002</v>
      </c>
      <c r="H194" s="53">
        <v>-46.820999999999998</v>
      </c>
      <c r="I194" s="53">
        <v>-23.541467999999998</v>
      </c>
      <c r="J194" s="53">
        <v>-46.818336000000002</v>
      </c>
      <c r="L194" s="61" t="str">
        <f t="shared" si="3"/>
        <v>Cliente1-Cliente27</v>
      </c>
      <c r="M194">
        <v>65.009879999999995</v>
      </c>
    </row>
    <row r="195" spans="1:13" x14ac:dyDescent="0.25">
      <c r="A195" s="15" t="s">
        <v>4271</v>
      </c>
      <c r="B195" s="15" t="s">
        <v>4298</v>
      </c>
      <c r="C195" s="54">
        <v>66.341481999999999</v>
      </c>
      <c r="D195" s="26">
        <v>6.5972222222222224E-2</v>
      </c>
      <c r="E195" s="55">
        <v>-23.090647000000001</v>
      </c>
      <c r="F195" s="55">
        <v>-47.018110999999998</v>
      </c>
      <c r="G195" s="55">
        <v>-23.340226000000001</v>
      </c>
      <c r="H195" s="55">
        <v>-46.820233000000002</v>
      </c>
      <c r="I195" s="55">
        <v>-23.519048999999999</v>
      </c>
      <c r="J195" s="55">
        <v>-46.746738000000001</v>
      </c>
      <c r="L195" s="61" t="str">
        <f t="shared" si="3"/>
        <v>Cliente1-Cliente28</v>
      </c>
      <c r="M195">
        <v>66.341481999999999</v>
      </c>
    </row>
    <row r="196" spans="1:13" x14ac:dyDescent="0.25">
      <c r="A196" s="15" t="s">
        <v>4271</v>
      </c>
      <c r="B196" s="15" t="s">
        <v>4299</v>
      </c>
      <c r="C196" s="52">
        <v>68.603899999999996</v>
      </c>
      <c r="D196" s="25">
        <v>7.013888888888889E-2</v>
      </c>
      <c r="E196" s="53">
        <v>-23.096958000000001</v>
      </c>
      <c r="F196" s="53">
        <v>-47.015706999999999</v>
      </c>
      <c r="G196" s="53">
        <v>-23.350389</v>
      </c>
      <c r="H196" s="53">
        <v>-46.808081999999999</v>
      </c>
      <c r="I196" s="53">
        <v>-23.520427000000002</v>
      </c>
      <c r="J196" s="53">
        <v>-46.644193000000001</v>
      </c>
      <c r="L196" s="61" t="str">
        <f t="shared" si="3"/>
        <v>Cliente1-Cliente29</v>
      </c>
      <c r="M196">
        <v>68.603899999999996</v>
      </c>
    </row>
    <row r="197" spans="1:13" x14ac:dyDescent="0.25">
      <c r="A197" s="15" t="s">
        <v>4271</v>
      </c>
      <c r="B197" s="15" t="s">
        <v>4300</v>
      </c>
      <c r="C197" s="54">
        <v>72.663328000000007</v>
      </c>
      <c r="D197" s="26">
        <v>7.9166666666666663E-2</v>
      </c>
      <c r="E197" s="55">
        <v>-23.138408999999999</v>
      </c>
      <c r="F197" s="55">
        <v>-46.977473000000003</v>
      </c>
      <c r="G197" s="55">
        <v>-23.383099999999999</v>
      </c>
      <c r="H197" s="55">
        <v>-46.769551999999997</v>
      </c>
      <c r="I197" s="55">
        <v>-23.570692000000001</v>
      </c>
      <c r="J197" s="55">
        <v>-46.605029999999999</v>
      </c>
      <c r="L197" s="61" t="str">
        <f t="shared" si="3"/>
        <v>Cliente1-Cliente30</v>
      </c>
      <c r="M197">
        <v>72.663328000000007</v>
      </c>
    </row>
    <row r="198" spans="1:13" x14ac:dyDescent="0.25">
      <c r="A198" s="15" t="s">
        <v>4271</v>
      </c>
      <c r="B198" s="15" t="s">
        <v>4301</v>
      </c>
      <c r="C198" s="52">
        <v>58.066039000000004</v>
      </c>
      <c r="D198" s="25">
        <v>5.5555555555555552E-2</v>
      </c>
      <c r="E198" s="53">
        <v>-23.078078999999999</v>
      </c>
      <c r="F198" s="53">
        <v>-47.026595</v>
      </c>
      <c r="G198" s="53">
        <v>-23.312515999999999</v>
      </c>
      <c r="H198" s="53">
        <v>-46.826540999999999</v>
      </c>
      <c r="I198" s="53">
        <v>-23.509024</v>
      </c>
      <c r="J198" s="53">
        <v>-46.721471999999999</v>
      </c>
      <c r="L198" s="61" t="str">
        <f t="shared" si="3"/>
        <v>Cliente1-Cliente31</v>
      </c>
      <c r="M198">
        <v>58.066039000000004</v>
      </c>
    </row>
    <row r="199" spans="1:13" x14ac:dyDescent="0.25">
      <c r="A199" s="15" t="s">
        <v>4271</v>
      </c>
      <c r="B199" s="15" t="s">
        <v>4302</v>
      </c>
      <c r="C199" s="54">
        <v>53.529397000000003</v>
      </c>
      <c r="D199" s="26">
        <v>5.1388888888888894E-2</v>
      </c>
      <c r="E199" s="55">
        <v>-23.071809999999999</v>
      </c>
      <c r="F199" s="55">
        <v>-47.030079999999998</v>
      </c>
      <c r="G199" s="55">
        <v>-23.310400999999999</v>
      </c>
      <c r="H199" s="55">
        <v>-46.832205000000002</v>
      </c>
      <c r="I199" s="55">
        <v>-23.464932000000001</v>
      </c>
      <c r="J199" s="55">
        <v>-46.778157999999998</v>
      </c>
      <c r="L199" s="61" t="str">
        <f t="shared" si="3"/>
        <v>Cliente1-Cliente32</v>
      </c>
      <c r="M199">
        <v>53.529397000000003</v>
      </c>
    </row>
    <row r="200" spans="1:13" x14ac:dyDescent="0.25">
      <c r="A200" s="15" t="s">
        <v>4271</v>
      </c>
      <c r="B200" s="15" t="s">
        <v>4303</v>
      </c>
      <c r="C200" s="52">
        <v>66.686965000000001</v>
      </c>
      <c r="D200" s="25">
        <v>6.3194444444444442E-2</v>
      </c>
      <c r="E200" s="53">
        <v>-23.089700000000001</v>
      </c>
      <c r="F200" s="53">
        <v>-47.018489000000002</v>
      </c>
      <c r="G200" s="53">
        <v>-23.336756000000001</v>
      </c>
      <c r="H200" s="53">
        <v>-46.822387999999997</v>
      </c>
      <c r="I200" s="53">
        <v>-23.513106000000001</v>
      </c>
      <c r="J200" s="53">
        <v>-46.680301999999998</v>
      </c>
      <c r="L200" s="61" t="str">
        <f t="shared" si="3"/>
        <v>Cliente1-Cliente33</v>
      </c>
      <c r="M200">
        <v>66.686965000000001</v>
      </c>
    </row>
    <row r="201" spans="1:13" x14ac:dyDescent="0.25">
      <c r="A201" s="15" t="s">
        <v>4271</v>
      </c>
      <c r="B201" s="15" t="s">
        <v>4304</v>
      </c>
      <c r="C201" s="54">
        <v>46.164887</v>
      </c>
      <c r="D201" s="26">
        <v>5.0694444444444452E-2</v>
      </c>
      <c r="E201" s="55">
        <v>-23.204439000000001</v>
      </c>
      <c r="F201" s="55">
        <v>-46.900588999999997</v>
      </c>
      <c r="G201" s="55">
        <v>-23.341526999999999</v>
      </c>
      <c r="H201" s="55">
        <v>-46.837955000000001</v>
      </c>
      <c r="I201" s="55">
        <v>-23.426551</v>
      </c>
      <c r="J201" s="55">
        <v>-46.829059000000001</v>
      </c>
      <c r="L201" s="61" t="str">
        <f t="shared" si="3"/>
        <v>Cliente1-Cliente34</v>
      </c>
      <c r="M201">
        <v>46.164887</v>
      </c>
    </row>
    <row r="202" spans="1:13" x14ac:dyDescent="0.25">
      <c r="A202" s="15" t="s">
        <v>4271</v>
      </c>
      <c r="B202" s="15" t="s">
        <v>4305</v>
      </c>
      <c r="C202" s="52">
        <v>46.696783000000003</v>
      </c>
      <c r="D202" s="25">
        <v>5.2083333333333336E-2</v>
      </c>
      <c r="E202" s="53">
        <v>-23.205558</v>
      </c>
      <c r="F202" s="53">
        <v>-46.899679999999996</v>
      </c>
      <c r="G202" s="53">
        <v>-23.343927999999998</v>
      </c>
      <c r="H202" s="53">
        <v>-46.839401000000002</v>
      </c>
      <c r="I202" s="53">
        <v>-23.428875000000001</v>
      </c>
      <c r="J202" s="53">
        <v>-46.829732</v>
      </c>
      <c r="L202" s="61" t="str">
        <f t="shared" si="3"/>
        <v>Cliente1-Cliente35</v>
      </c>
      <c r="M202">
        <v>46.696783000000003</v>
      </c>
    </row>
    <row r="203" spans="1:13" x14ac:dyDescent="0.25">
      <c r="A203" s="15" t="s">
        <v>4271</v>
      </c>
      <c r="B203" s="15" t="s">
        <v>4306</v>
      </c>
      <c r="C203" s="54">
        <v>95.500640000000004</v>
      </c>
      <c r="D203" s="26">
        <v>8.2638888888888887E-2</v>
      </c>
      <c r="E203" s="55">
        <v>-22.832039999999999</v>
      </c>
      <c r="F203" s="55">
        <v>-47.177745999999999</v>
      </c>
      <c r="G203" s="55">
        <v>-22.508818999999999</v>
      </c>
      <c r="H203" s="55">
        <v>-47.397441999999998</v>
      </c>
      <c r="I203" s="55">
        <v>-22.302685</v>
      </c>
      <c r="J203" s="55">
        <v>-47.669840999999998</v>
      </c>
      <c r="L203" s="61" t="str">
        <f t="shared" si="3"/>
        <v>Cliente1-Cliente36</v>
      </c>
      <c r="M203">
        <v>95.500640000000004</v>
      </c>
    </row>
    <row r="204" spans="1:13" x14ac:dyDescent="0.25">
      <c r="A204" s="15" t="s">
        <v>4271</v>
      </c>
      <c r="B204" s="15" t="s">
        <v>4307</v>
      </c>
      <c r="C204" s="52">
        <v>94.403917000000007</v>
      </c>
      <c r="D204" s="25">
        <v>8.1250000000000003E-2</v>
      </c>
      <c r="E204" s="53">
        <v>-22.827233</v>
      </c>
      <c r="F204" s="53">
        <v>-47.184015000000002</v>
      </c>
      <c r="G204" s="53">
        <v>-22.500671000000001</v>
      </c>
      <c r="H204" s="53">
        <v>-47.399256000000001</v>
      </c>
      <c r="I204" s="53">
        <v>-22.278638000000001</v>
      </c>
      <c r="J204" s="53">
        <v>-47.684648000000003</v>
      </c>
      <c r="L204" s="61" t="str">
        <f t="shared" si="3"/>
        <v>Cliente1-Cliente37</v>
      </c>
      <c r="M204">
        <v>94.403917000000007</v>
      </c>
    </row>
    <row r="205" spans="1:13" x14ac:dyDescent="0.25">
      <c r="A205" s="15" t="s">
        <v>4271</v>
      </c>
      <c r="B205" s="15" t="s">
        <v>4308</v>
      </c>
      <c r="C205" s="54">
        <v>92.627412000000007</v>
      </c>
      <c r="D205" s="26">
        <v>7.9166666666666663E-2</v>
      </c>
      <c r="E205" s="55">
        <v>-22.846948000000001</v>
      </c>
      <c r="F205" s="55">
        <v>-47.163558999999999</v>
      </c>
      <c r="G205" s="55">
        <v>-22.525133</v>
      </c>
      <c r="H205" s="55">
        <v>-47.389913999999997</v>
      </c>
      <c r="I205" s="55">
        <v>-22.312868999999999</v>
      </c>
      <c r="J205" s="55">
        <v>-47.664707999999997</v>
      </c>
      <c r="L205" s="61" t="str">
        <f t="shared" si="3"/>
        <v>Cliente1-Cliente38</v>
      </c>
      <c r="M205">
        <v>92.627412000000007</v>
      </c>
    </row>
    <row r="206" spans="1:13" x14ac:dyDescent="0.25">
      <c r="A206" s="15" t="s">
        <v>4271</v>
      </c>
      <c r="B206" s="15" t="s">
        <v>4309</v>
      </c>
      <c r="C206" s="52">
        <v>120.59291399999999</v>
      </c>
      <c r="D206" s="25">
        <v>0.10347222222222223</v>
      </c>
      <c r="E206" s="53">
        <v>-22.986369</v>
      </c>
      <c r="F206" s="53">
        <v>-46.813611999999999</v>
      </c>
      <c r="G206" s="53">
        <v>-23.185244999999998</v>
      </c>
      <c r="H206" s="53">
        <v>-46.363543999999997</v>
      </c>
      <c r="I206" s="53">
        <v>-23.256999</v>
      </c>
      <c r="J206" s="53">
        <v>-46.089643000000002</v>
      </c>
      <c r="L206" s="61" t="str">
        <f t="shared" si="3"/>
        <v>Cliente1-Cliente39</v>
      </c>
      <c r="M206">
        <v>120.59291399999999</v>
      </c>
    </row>
    <row r="207" spans="1:13" x14ac:dyDescent="0.25">
      <c r="A207" s="15" t="s">
        <v>4271</v>
      </c>
      <c r="B207" s="15" t="s">
        <v>4310</v>
      </c>
      <c r="C207" s="54">
        <v>122.15442400000001</v>
      </c>
      <c r="D207" s="26">
        <v>0.10694444444444444</v>
      </c>
      <c r="E207" s="55">
        <v>-22.986961000000001</v>
      </c>
      <c r="F207" s="55">
        <v>-46.808838000000002</v>
      </c>
      <c r="G207" s="55">
        <v>-23.188707999999998</v>
      </c>
      <c r="H207" s="55">
        <v>-46.358916999999998</v>
      </c>
      <c r="I207" s="55">
        <v>-23.247465999999999</v>
      </c>
      <c r="J207" s="55">
        <v>-46.081451000000001</v>
      </c>
      <c r="L207" s="61" t="str">
        <f t="shared" si="3"/>
        <v>Cliente1-Cliente40</v>
      </c>
      <c r="M207">
        <v>122.15442400000001</v>
      </c>
    </row>
    <row r="208" spans="1:13" x14ac:dyDescent="0.25">
      <c r="A208" s="15" t="s">
        <v>4271</v>
      </c>
      <c r="B208" s="15" t="s">
        <v>4311</v>
      </c>
      <c r="C208" s="52">
        <v>111.448171</v>
      </c>
      <c r="D208" s="25">
        <v>9.7916666666666666E-2</v>
      </c>
      <c r="E208" s="53">
        <v>-22.986733999999998</v>
      </c>
      <c r="F208" s="53">
        <v>-46.810080999999997</v>
      </c>
      <c r="G208" s="53">
        <v>-23.186458999999999</v>
      </c>
      <c r="H208" s="53">
        <v>-46.360492000000001</v>
      </c>
      <c r="I208" s="53">
        <v>-23.248401000000001</v>
      </c>
      <c r="J208" s="53">
        <v>-46.084232</v>
      </c>
      <c r="L208" s="61" t="str">
        <f t="shared" si="3"/>
        <v>Cliente1-Cliente41</v>
      </c>
      <c r="M208">
        <v>111.448171</v>
      </c>
    </row>
    <row r="209" spans="1:13" x14ac:dyDescent="0.25">
      <c r="A209" s="15" t="s">
        <v>4271</v>
      </c>
      <c r="B209" s="15" t="s">
        <v>4312</v>
      </c>
      <c r="C209" s="54">
        <v>108.160488</v>
      </c>
      <c r="D209" s="26">
        <v>9.0277777777777776E-2</v>
      </c>
      <c r="E209" s="55">
        <v>-22.954253999999999</v>
      </c>
      <c r="F209" s="55">
        <v>-46.859864000000002</v>
      </c>
      <c r="G209" s="55">
        <v>-23.165773999999999</v>
      </c>
      <c r="H209" s="55">
        <v>-46.404429999999998</v>
      </c>
      <c r="I209" s="55">
        <v>-23.211559000000001</v>
      </c>
      <c r="J209" s="55">
        <v>-46.155158999999998</v>
      </c>
      <c r="L209" s="61" t="str">
        <f t="shared" si="3"/>
        <v>Cliente1-Cliente42</v>
      </c>
      <c r="M209">
        <v>108.160488</v>
      </c>
    </row>
    <row r="210" spans="1:13" x14ac:dyDescent="0.25">
      <c r="A210" s="15" t="s">
        <v>4271</v>
      </c>
      <c r="B210" s="15" t="s">
        <v>4313</v>
      </c>
      <c r="C210" s="52">
        <v>126.834603</v>
      </c>
      <c r="D210" s="25">
        <v>0.10902777777777778</v>
      </c>
      <c r="E210" s="53">
        <v>-23.003291999999998</v>
      </c>
      <c r="F210" s="53">
        <v>-46.775557999999997</v>
      </c>
      <c r="G210" s="53">
        <v>-23.186128</v>
      </c>
      <c r="H210" s="53">
        <v>-46.328819000000003</v>
      </c>
      <c r="I210" s="53">
        <v>-23.281479000000001</v>
      </c>
      <c r="J210" s="53">
        <v>-46.049410000000002</v>
      </c>
      <c r="L210" s="61" t="str">
        <f t="shared" ref="L210:L273" si="4">_xlfn.CONCAT(A210,"-",B210)</f>
        <v>Cliente1-Cliente43</v>
      </c>
      <c r="M210">
        <v>126.834603</v>
      </c>
    </row>
    <row r="211" spans="1:13" x14ac:dyDescent="0.25">
      <c r="A211" s="15" t="s">
        <v>4271</v>
      </c>
      <c r="B211" s="15" t="s">
        <v>4314</v>
      </c>
      <c r="C211" s="54">
        <v>57.810654999999997</v>
      </c>
      <c r="D211" s="26">
        <v>5.6250000000000001E-2</v>
      </c>
      <c r="E211" s="55">
        <v>-23.012488999999999</v>
      </c>
      <c r="F211" s="55">
        <v>-47.087000000000003</v>
      </c>
      <c r="G211" s="55">
        <v>-23.141967000000001</v>
      </c>
      <c r="H211" s="55">
        <v>-47.248094999999999</v>
      </c>
      <c r="I211" s="55">
        <v>-23.403189999999999</v>
      </c>
      <c r="J211" s="55">
        <v>-47.337040999999999</v>
      </c>
      <c r="L211" s="61" t="str">
        <f t="shared" si="4"/>
        <v>Cliente1-Cliente44</v>
      </c>
      <c r="M211">
        <v>57.810654999999997</v>
      </c>
    </row>
    <row r="212" spans="1:13" x14ac:dyDescent="0.25">
      <c r="A212" s="15" t="s">
        <v>4271</v>
      </c>
      <c r="B212" s="15" t="s">
        <v>4315</v>
      </c>
      <c r="C212" s="52">
        <v>58.588614</v>
      </c>
      <c r="D212" s="25">
        <v>5.9027777777777783E-2</v>
      </c>
      <c r="E212" s="53">
        <v>-22.991585000000001</v>
      </c>
      <c r="F212" s="53">
        <v>-47.110472000000001</v>
      </c>
      <c r="G212" s="53">
        <v>-23.186396999999999</v>
      </c>
      <c r="H212" s="53">
        <v>-47.311833999999998</v>
      </c>
      <c r="I212" s="53">
        <v>-23.481231000000001</v>
      </c>
      <c r="J212" s="53">
        <v>-47.457830000000001</v>
      </c>
      <c r="L212" s="61" t="str">
        <f t="shared" si="4"/>
        <v>Cliente1-Cliente45</v>
      </c>
      <c r="M212">
        <v>58.588614</v>
      </c>
    </row>
    <row r="213" spans="1:13" x14ac:dyDescent="0.25">
      <c r="A213" s="15" t="s">
        <v>4271</v>
      </c>
      <c r="B213" s="15" t="s">
        <v>4316</v>
      </c>
      <c r="C213" s="54">
        <v>55.883156999999997</v>
      </c>
      <c r="D213" s="26">
        <v>5.347222222222222E-2</v>
      </c>
      <c r="E213" s="55">
        <v>-23.012882000000001</v>
      </c>
      <c r="F213" s="55">
        <v>-47.086032000000003</v>
      </c>
      <c r="G213" s="55">
        <v>-23.120062000000001</v>
      </c>
      <c r="H213" s="55">
        <v>-47.220748999999998</v>
      </c>
      <c r="I213" s="55">
        <v>-23.383884999999999</v>
      </c>
      <c r="J213" s="55">
        <v>-47.328280999999997</v>
      </c>
      <c r="L213" s="61" t="str">
        <f t="shared" si="4"/>
        <v>Cliente1-Cliente46</v>
      </c>
      <c r="M213">
        <v>55.883156999999997</v>
      </c>
    </row>
    <row r="214" spans="1:13" x14ac:dyDescent="0.25">
      <c r="A214" s="15" t="s">
        <v>4271</v>
      </c>
      <c r="B214" s="15" t="s">
        <v>4317</v>
      </c>
      <c r="C214" s="52">
        <v>141.956951</v>
      </c>
      <c r="D214" s="25">
        <v>0.1173611111111111</v>
      </c>
      <c r="E214" s="53">
        <v>-22.802451000000001</v>
      </c>
      <c r="F214" s="53">
        <v>-47.220654000000003</v>
      </c>
      <c r="G214" s="53">
        <v>-22.412257</v>
      </c>
      <c r="H214" s="53">
        <v>-47.389712000000003</v>
      </c>
      <c r="I214" s="53">
        <v>-21.667413</v>
      </c>
      <c r="J214" s="53">
        <v>-47.607441000000001</v>
      </c>
      <c r="L214" s="61" t="str">
        <f t="shared" si="4"/>
        <v>Cliente1-Cliente47</v>
      </c>
      <c r="M214">
        <v>141.956951</v>
      </c>
    </row>
    <row r="215" spans="1:13" x14ac:dyDescent="0.25">
      <c r="A215" s="15" t="s">
        <v>4271</v>
      </c>
      <c r="B215" s="15" t="s">
        <v>4318</v>
      </c>
      <c r="C215" s="54">
        <v>151.06814</v>
      </c>
      <c r="D215" s="26">
        <v>0.12569444444444444</v>
      </c>
      <c r="E215" s="55">
        <v>-22.731221000000001</v>
      </c>
      <c r="F215" s="55">
        <v>-47.290097000000003</v>
      </c>
      <c r="G215" s="55">
        <v>-22.255925999999999</v>
      </c>
      <c r="H215" s="55">
        <v>-47.389705999999997</v>
      </c>
      <c r="I215" s="55">
        <v>-21.351312</v>
      </c>
      <c r="J215" s="55">
        <v>-47.724139999999998</v>
      </c>
      <c r="L215" s="61" t="str">
        <f t="shared" si="4"/>
        <v>Cliente1-Cliente48</v>
      </c>
      <c r="M215">
        <v>151.06814</v>
      </c>
    </row>
    <row r="216" spans="1:13" x14ac:dyDescent="0.25">
      <c r="A216" s="15" t="s">
        <v>4271</v>
      </c>
      <c r="B216" s="15" t="s">
        <v>4319</v>
      </c>
      <c r="C216" s="52">
        <v>144.705904</v>
      </c>
      <c r="D216" s="25">
        <v>0.12152777777777778</v>
      </c>
      <c r="E216" s="53">
        <v>-22.749704000000001</v>
      </c>
      <c r="F216" s="53">
        <v>-47.261933999999997</v>
      </c>
      <c r="G216" s="53">
        <v>-22.342217999999999</v>
      </c>
      <c r="H216" s="53">
        <v>-47.392465000000001</v>
      </c>
      <c r="I216" s="53">
        <v>-21.416058</v>
      </c>
      <c r="J216" s="53">
        <v>-47.662751</v>
      </c>
      <c r="L216" s="61" t="str">
        <f t="shared" si="4"/>
        <v>Cliente1-Cliente49</v>
      </c>
      <c r="M216">
        <v>144.705904</v>
      </c>
    </row>
    <row r="217" spans="1:13" x14ac:dyDescent="0.25">
      <c r="A217" s="15" t="s">
        <v>4271</v>
      </c>
      <c r="B217" s="15" t="s">
        <v>4320</v>
      </c>
      <c r="C217" s="54">
        <v>169.46387999999999</v>
      </c>
      <c r="D217" s="26">
        <v>0.14375000000000002</v>
      </c>
      <c r="E217" s="55">
        <v>-22.642052</v>
      </c>
      <c r="F217" s="55">
        <v>-47.327779</v>
      </c>
      <c r="G217" s="55">
        <v>-22.255240000000001</v>
      </c>
      <c r="H217" s="55">
        <v>-47.702919000000001</v>
      </c>
      <c r="I217" s="55">
        <v>-22.246945</v>
      </c>
      <c r="J217" s="55">
        <v>-48.351593000000001</v>
      </c>
      <c r="L217" s="61" t="str">
        <f t="shared" si="4"/>
        <v>Cliente1-Cliente50</v>
      </c>
      <c r="M217">
        <v>169.46387999999999</v>
      </c>
    </row>
    <row r="218" spans="1:13" x14ac:dyDescent="0.25">
      <c r="A218" s="15" t="s">
        <v>4271</v>
      </c>
      <c r="B218" s="15" t="s">
        <v>4321</v>
      </c>
      <c r="C218" s="52">
        <v>169.28306000000001</v>
      </c>
      <c r="D218" s="25">
        <v>0.14305555555555557</v>
      </c>
      <c r="E218" s="53">
        <v>-22.648876000000001</v>
      </c>
      <c r="F218" s="53">
        <v>-47.325572999999999</v>
      </c>
      <c r="G218" s="53">
        <v>-22.270284</v>
      </c>
      <c r="H218" s="53">
        <v>-47.703347999999998</v>
      </c>
      <c r="I218" s="53">
        <v>-22.248633999999999</v>
      </c>
      <c r="J218" s="53">
        <v>-48.346558999999999</v>
      </c>
      <c r="L218" s="61" t="str">
        <f t="shared" si="4"/>
        <v>Cliente1-Cliente51</v>
      </c>
      <c r="M218">
        <v>169.28306000000001</v>
      </c>
    </row>
    <row r="219" spans="1:13" x14ac:dyDescent="0.25">
      <c r="A219" s="15" t="s">
        <v>4272</v>
      </c>
      <c r="B219" s="15" t="s">
        <v>4268</v>
      </c>
      <c r="C219" s="54">
        <v>34.328980000000001</v>
      </c>
      <c r="D219" s="26">
        <v>3.2638888888888891E-2</v>
      </c>
      <c r="E219" s="55">
        <v>-22.931381999999999</v>
      </c>
      <c r="F219" s="55">
        <v>-47.07132</v>
      </c>
      <c r="G219" s="55">
        <v>-23.014156</v>
      </c>
      <c r="H219" s="55">
        <v>-47.117769000000003</v>
      </c>
      <c r="I219" s="55">
        <v>-23.179438999999999</v>
      </c>
      <c r="J219" s="55">
        <v>-47.298434999999998</v>
      </c>
      <c r="L219" s="61" t="str">
        <f t="shared" si="4"/>
        <v>Cliente2-depósito A</v>
      </c>
      <c r="M219">
        <v>34.328980000000001</v>
      </c>
    </row>
    <row r="220" spans="1:13" x14ac:dyDescent="0.25">
      <c r="A220" s="15" t="s">
        <v>4272</v>
      </c>
      <c r="B220" s="15" t="s">
        <v>4269</v>
      </c>
      <c r="C220" s="52">
        <v>111.576795</v>
      </c>
      <c r="D220" s="25">
        <v>9.375E-2</v>
      </c>
      <c r="E220" s="53">
        <v>-22.765263000000001</v>
      </c>
      <c r="F220" s="53">
        <v>-47.245572000000003</v>
      </c>
      <c r="G220" s="53">
        <v>-22.502528999999999</v>
      </c>
      <c r="H220" s="53">
        <v>-47.398642000000002</v>
      </c>
      <c r="I220" s="53">
        <v>-22.278634</v>
      </c>
      <c r="J220" s="53">
        <v>-47.691977999999999</v>
      </c>
      <c r="L220" s="61" t="str">
        <f t="shared" si="4"/>
        <v>Cliente2-depósito B</v>
      </c>
      <c r="M220">
        <v>111.576795</v>
      </c>
    </row>
    <row r="221" spans="1:13" x14ac:dyDescent="0.25">
      <c r="A221" s="15" t="s">
        <v>4272</v>
      </c>
      <c r="B221" s="15" t="s">
        <v>4270</v>
      </c>
      <c r="C221" s="54">
        <v>86.203660999999997</v>
      </c>
      <c r="D221" s="26">
        <v>7.4999999999999997E-2</v>
      </c>
      <c r="E221" s="55">
        <v>-23.003291999999998</v>
      </c>
      <c r="F221" s="55">
        <v>-46.775557999999997</v>
      </c>
      <c r="G221" s="55">
        <v>-23.173099000000001</v>
      </c>
      <c r="H221" s="55">
        <v>-46.385699000000002</v>
      </c>
      <c r="I221" s="55">
        <v>-23.207065</v>
      </c>
      <c r="J221" s="55">
        <v>-46.158696999999997</v>
      </c>
      <c r="L221" s="61" t="str">
        <f t="shared" si="4"/>
        <v>Cliente2-depósito C</v>
      </c>
      <c r="M221">
        <v>86.203660999999997</v>
      </c>
    </row>
    <row r="222" spans="1:13" x14ac:dyDescent="0.25">
      <c r="A222" s="15" t="s">
        <v>4272</v>
      </c>
      <c r="B222" s="15" t="s">
        <v>4271</v>
      </c>
      <c r="C222" s="52">
        <v>5.2313369999999999</v>
      </c>
      <c r="D222" s="25">
        <v>1.1805555555555555E-2</v>
      </c>
      <c r="E222" s="53">
        <v>-22.898826</v>
      </c>
      <c r="F222" s="53">
        <v>-47.062764000000001</v>
      </c>
      <c r="G222" s="53">
        <v>-22.915854</v>
      </c>
      <c r="H222" s="53">
        <v>-47.055909</v>
      </c>
      <c r="I222" s="53">
        <v>-22.941296000000001</v>
      </c>
      <c r="J222" s="53">
        <v>-47.033386999999998</v>
      </c>
      <c r="L222" s="61" t="str">
        <f t="shared" si="4"/>
        <v>Cliente2-Cliente1</v>
      </c>
      <c r="M222">
        <v>5.2313369999999999</v>
      </c>
    </row>
    <row r="223" spans="1:13" x14ac:dyDescent="0.25">
      <c r="A223" s="15" t="s">
        <v>4272</v>
      </c>
      <c r="B223" s="15" t="s">
        <v>4272</v>
      </c>
      <c r="C223" s="54">
        <v>0</v>
      </c>
      <c r="D223" s="26">
        <v>0</v>
      </c>
      <c r="E223" s="55">
        <f>'1. Locais'!D6</f>
        <v>-22.894290000000002</v>
      </c>
      <c r="F223" s="55">
        <f>'1. Locais'!E6</f>
        <v>-47.058219999999999</v>
      </c>
      <c r="G223" s="55">
        <f>'1. Locais'!D6</f>
        <v>-22.894290000000002</v>
      </c>
      <c r="H223" s="55">
        <f>'1. Locais'!E6</f>
        <v>-47.058219999999999</v>
      </c>
      <c r="I223" s="55">
        <f>'1. Locais'!D6</f>
        <v>-22.894290000000002</v>
      </c>
      <c r="J223" s="55">
        <f>'1. Locais'!E6</f>
        <v>-47.058219999999999</v>
      </c>
      <c r="L223" s="61" t="str">
        <f t="shared" si="4"/>
        <v>Cliente2-Cliente2</v>
      </c>
      <c r="M223">
        <v>0</v>
      </c>
    </row>
    <row r="224" spans="1:13" x14ac:dyDescent="0.25">
      <c r="A224" s="15" t="s">
        <v>4272</v>
      </c>
      <c r="B224" s="15" t="s">
        <v>4273</v>
      </c>
      <c r="C224" s="52">
        <v>3.5418249999999998</v>
      </c>
      <c r="D224" s="25">
        <v>9.0277777777777787E-3</v>
      </c>
      <c r="E224" s="53">
        <v>-22.894411000000002</v>
      </c>
      <c r="F224" s="53">
        <v>-47.047960000000003</v>
      </c>
      <c r="G224" s="53">
        <v>-22.912376999999999</v>
      </c>
      <c r="H224" s="53">
        <v>-47.045223999999997</v>
      </c>
      <c r="I224" s="53">
        <v>-22.922727999999999</v>
      </c>
      <c r="J224" s="53">
        <v>-47.042672000000003</v>
      </c>
      <c r="L224" s="61" t="str">
        <f t="shared" si="4"/>
        <v>Cliente2-Cliente3</v>
      </c>
      <c r="M224">
        <v>3.5418249999999998</v>
      </c>
    </row>
    <row r="225" spans="1:13" x14ac:dyDescent="0.25">
      <c r="A225" s="15" t="s">
        <v>4272</v>
      </c>
      <c r="B225" s="15" t="s">
        <v>4274</v>
      </c>
      <c r="C225" s="54">
        <v>5.8757010000000003</v>
      </c>
      <c r="D225" s="26">
        <v>1.0416666666666666E-2</v>
      </c>
      <c r="E225" s="55">
        <v>-22.884073999999998</v>
      </c>
      <c r="F225" s="55">
        <v>-47.064118000000001</v>
      </c>
      <c r="G225" s="55">
        <v>-22.860824000000001</v>
      </c>
      <c r="H225" s="55">
        <v>-47.071641</v>
      </c>
      <c r="I225" s="55">
        <v>-22.834233999999999</v>
      </c>
      <c r="J225" s="55">
        <v>-47.078780999999999</v>
      </c>
      <c r="L225" s="61" t="str">
        <f t="shared" si="4"/>
        <v>Cliente2-Cliente4</v>
      </c>
      <c r="M225">
        <v>5.8757010000000003</v>
      </c>
    </row>
    <row r="226" spans="1:13" x14ac:dyDescent="0.25">
      <c r="A226" s="15" t="s">
        <v>4272</v>
      </c>
      <c r="B226" s="15" t="s">
        <v>4275</v>
      </c>
      <c r="C226" s="52">
        <v>5.9689069999999997</v>
      </c>
      <c r="D226" s="25">
        <v>1.0416666666666666E-2</v>
      </c>
      <c r="E226" s="53">
        <v>-22.884304</v>
      </c>
      <c r="F226" s="53">
        <v>-47.063704999999999</v>
      </c>
      <c r="G226" s="53">
        <v>-22.866799</v>
      </c>
      <c r="H226" s="53">
        <v>-47.070920999999998</v>
      </c>
      <c r="I226" s="53">
        <v>-22.837882</v>
      </c>
      <c r="J226" s="53">
        <v>-47.079569999999997</v>
      </c>
      <c r="L226" s="61" t="str">
        <f t="shared" si="4"/>
        <v>Cliente2-Cliente5</v>
      </c>
      <c r="M226">
        <v>5.9689069999999997</v>
      </c>
    </row>
    <row r="227" spans="1:13" x14ac:dyDescent="0.25">
      <c r="A227" s="15" t="s">
        <v>4272</v>
      </c>
      <c r="B227" s="15" t="s">
        <v>4276</v>
      </c>
      <c r="C227" s="54">
        <v>7.4222970000000004</v>
      </c>
      <c r="D227" s="26">
        <v>1.3888888888888888E-2</v>
      </c>
      <c r="E227" s="55">
        <v>-22.913218000000001</v>
      </c>
      <c r="F227" s="55">
        <v>-47.055464999999998</v>
      </c>
      <c r="G227" s="55">
        <v>-22.941296000000001</v>
      </c>
      <c r="H227" s="55">
        <v>-47.033386999999998</v>
      </c>
      <c r="I227" s="55">
        <v>-22.962192000000002</v>
      </c>
      <c r="J227" s="55">
        <v>-47.011408000000003</v>
      </c>
      <c r="L227" s="61" t="str">
        <f t="shared" si="4"/>
        <v>Cliente2-Cliente6</v>
      </c>
      <c r="M227">
        <v>7.4222970000000004</v>
      </c>
    </row>
    <row r="228" spans="1:13" x14ac:dyDescent="0.25">
      <c r="A228" s="15" t="s">
        <v>4272</v>
      </c>
      <c r="B228" s="15" t="s">
        <v>4277</v>
      </c>
      <c r="C228" s="52">
        <v>5.201511</v>
      </c>
      <c r="D228" s="25">
        <v>1.0416666666666666E-2</v>
      </c>
      <c r="E228" s="53">
        <v>-22.903786</v>
      </c>
      <c r="F228" s="53">
        <v>-47.065295999999996</v>
      </c>
      <c r="G228" s="53">
        <v>-22.915240000000001</v>
      </c>
      <c r="H228" s="53">
        <v>-47.064408999999998</v>
      </c>
      <c r="I228" s="53">
        <v>-22.934911</v>
      </c>
      <c r="J228" s="53">
        <v>-47.082002000000003</v>
      </c>
      <c r="L228" s="61" t="str">
        <f t="shared" si="4"/>
        <v>Cliente2-Cliente7</v>
      </c>
      <c r="M228">
        <v>5.201511</v>
      </c>
    </row>
    <row r="229" spans="1:13" x14ac:dyDescent="0.25">
      <c r="A229" s="15" t="s">
        <v>4272</v>
      </c>
      <c r="B229" s="15" t="s">
        <v>4278</v>
      </c>
      <c r="C229" s="54">
        <v>6.8512560000000002</v>
      </c>
      <c r="D229" s="26">
        <v>1.1805555555555555E-2</v>
      </c>
      <c r="E229" s="55">
        <v>-22.899339000000001</v>
      </c>
      <c r="F229" s="55">
        <v>-47.054321999999999</v>
      </c>
      <c r="G229" s="55">
        <v>-22.902591000000001</v>
      </c>
      <c r="H229" s="55">
        <v>-47.028733000000003</v>
      </c>
      <c r="I229" s="55">
        <v>-22.888449000000001</v>
      </c>
      <c r="J229" s="55">
        <v>-46.980615</v>
      </c>
      <c r="L229" s="61" t="str">
        <f t="shared" si="4"/>
        <v>Cliente2-Cliente8</v>
      </c>
      <c r="M229">
        <v>6.8512560000000002</v>
      </c>
    </row>
    <row r="230" spans="1:13" x14ac:dyDescent="0.25">
      <c r="A230" s="15" t="s">
        <v>4272</v>
      </c>
      <c r="B230" s="15" t="s">
        <v>4279</v>
      </c>
      <c r="C230" s="52">
        <v>21.795269999999999</v>
      </c>
      <c r="D230" s="25">
        <v>2.5694444444444447E-2</v>
      </c>
      <c r="E230" s="53">
        <v>-22.866149</v>
      </c>
      <c r="F230" s="53">
        <v>-47.099930999999998</v>
      </c>
      <c r="G230" s="53">
        <v>-22.857793000000001</v>
      </c>
      <c r="H230" s="53">
        <v>-47.146293999999997</v>
      </c>
      <c r="I230" s="53">
        <v>-22.741872999999998</v>
      </c>
      <c r="J230" s="53">
        <v>-47.270297999999997</v>
      </c>
      <c r="L230" s="61" t="str">
        <f t="shared" si="4"/>
        <v>Cliente2-Cliente9</v>
      </c>
      <c r="M230">
        <v>21.795269999999999</v>
      </c>
    </row>
    <row r="231" spans="1:13" x14ac:dyDescent="0.25">
      <c r="A231" s="15" t="s">
        <v>4272</v>
      </c>
      <c r="B231" s="15" t="s">
        <v>4280</v>
      </c>
      <c r="C231" s="54">
        <v>60.443412000000002</v>
      </c>
      <c r="D231" s="26">
        <v>5.9722222222222225E-2</v>
      </c>
      <c r="E231" s="55">
        <v>-23.005932000000001</v>
      </c>
      <c r="F231" s="55">
        <v>-47.096372000000002</v>
      </c>
      <c r="G231" s="55">
        <v>-23.267633</v>
      </c>
      <c r="H231" s="55">
        <v>-46.858860999999997</v>
      </c>
      <c r="I231" s="55">
        <v>-23.442567</v>
      </c>
      <c r="J231" s="55">
        <v>-46.756507999999997</v>
      </c>
      <c r="L231" s="61" t="str">
        <f t="shared" si="4"/>
        <v>Cliente2-Cliente10</v>
      </c>
      <c r="M231">
        <v>60.443412000000002</v>
      </c>
    </row>
    <row r="232" spans="1:13" x14ac:dyDescent="0.25">
      <c r="A232" s="15" t="s">
        <v>4272</v>
      </c>
      <c r="B232" s="15" t="s">
        <v>4281</v>
      </c>
      <c r="C232" s="52">
        <v>42.345309</v>
      </c>
      <c r="D232" s="25">
        <v>4.027777777777778E-2</v>
      </c>
      <c r="E232" s="53">
        <v>-22.851469000000002</v>
      </c>
      <c r="F232" s="53">
        <v>-47.114375000000003</v>
      </c>
      <c r="G232" s="53">
        <v>-22.774830999999999</v>
      </c>
      <c r="H232" s="53">
        <v>-47.234921999999997</v>
      </c>
      <c r="I232" s="53">
        <v>-22.767554000000001</v>
      </c>
      <c r="J232" s="53">
        <v>-47.437286999999998</v>
      </c>
      <c r="L232" s="61" t="str">
        <f t="shared" si="4"/>
        <v>Cliente2-Cliente11</v>
      </c>
      <c r="M232">
        <v>42.345309</v>
      </c>
    </row>
    <row r="233" spans="1:13" x14ac:dyDescent="0.25">
      <c r="A233" s="15" t="s">
        <v>4272</v>
      </c>
      <c r="B233" s="15" t="s">
        <v>4282</v>
      </c>
      <c r="C233" s="54">
        <v>85.244883000000002</v>
      </c>
      <c r="D233" s="26">
        <v>7.4999999999999997E-2</v>
      </c>
      <c r="E233" s="55">
        <v>-23.005049</v>
      </c>
      <c r="F233" s="55">
        <v>-46.768810000000002</v>
      </c>
      <c r="G233" s="55">
        <v>-23.176805000000002</v>
      </c>
      <c r="H233" s="55">
        <v>-46.381324999999997</v>
      </c>
      <c r="I233" s="55">
        <v>-23.220222</v>
      </c>
      <c r="J233" s="55">
        <v>-46.143115999999999</v>
      </c>
      <c r="L233" s="61" t="str">
        <f t="shared" si="4"/>
        <v>Cliente2-Cliente12</v>
      </c>
      <c r="M233">
        <v>85.244883000000002</v>
      </c>
    </row>
    <row r="234" spans="1:13" x14ac:dyDescent="0.25">
      <c r="A234" s="15" t="s">
        <v>4272</v>
      </c>
      <c r="B234" s="15" t="s">
        <v>4283</v>
      </c>
      <c r="C234" s="52">
        <v>93.128860000000003</v>
      </c>
      <c r="D234" s="25">
        <v>8.0555555555555561E-2</v>
      </c>
      <c r="E234" s="53">
        <v>-23.012208000000001</v>
      </c>
      <c r="F234" s="53">
        <v>-46.764187999999997</v>
      </c>
      <c r="G234" s="53">
        <v>-23.185298</v>
      </c>
      <c r="H234" s="53">
        <v>-46.362856000000001</v>
      </c>
      <c r="I234" s="53">
        <v>-23.249233</v>
      </c>
      <c r="J234" s="53">
        <v>-46.107550000000003</v>
      </c>
      <c r="L234" s="61" t="str">
        <f t="shared" si="4"/>
        <v>Cliente2-Cliente13</v>
      </c>
      <c r="M234">
        <v>93.128860000000003</v>
      </c>
    </row>
    <row r="235" spans="1:13" x14ac:dyDescent="0.25">
      <c r="A235" s="15" t="s">
        <v>4272</v>
      </c>
      <c r="B235" s="15" t="s">
        <v>4284</v>
      </c>
      <c r="C235" s="54">
        <v>91.191419999999994</v>
      </c>
      <c r="D235" s="26">
        <v>7.7777777777777779E-2</v>
      </c>
      <c r="E235" s="55">
        <v>-23.002642000000002</v>
      </c>
      <c r="F235" s="55">
        <v>-46.777391000000001</v>
      </c>
      <c r="G235" s="55">
        <v>-23.171236</v>
      </c>
      <c r="H235" s="55">
        <v>-46.390194999999999</v>
      </c>
      <c r="I235" s="55">
        <v>-23.204423999999999</v>
      </c>
      <c r="J235" s="55">
        <v>-46.161239999999999</v>
      </c>
      <c r="L235" s="61" t="str">
        <f t="shared" si="4"/>
        <v>Cliente2-Cliente14</v>
      </c>
      <c r="M235">
        <v>91.191419999999994</v>
      </c>
    </row>
    <row r="236" spans="1:13" x14ac:dyDescent="0.25">
      <c r="A236" s="15" t="s">
        <v>4272</v>
      </c>
      <c r="B236" s="15" t="s">
        <v>4285</v>
      </c>
      <c r="C236" s="52">
        <v>93.570035000000004</v>
      </c>
      <c r="D236" s="25">
        <v>8.3333333333333329E-2</v>
      </c>
      <c r="E236" s="53">
        <v>-23.012858000000001</v>
      </c>
      <c r="F236" s="53">
        <v>-46.763688999999999</v>
      </c>
      <c r="G236" s="53">
        <v>-23.185866000000001</v>
      </c>
      <c r="H236" s="53">
        <v>-46.361266999999998</v>
      </c>
      <c r="I236" s="53">
        <v>-23.252901999999999</v>
      </c>
      <c r="J236" s="53">
        <v>-46.103651999999997</v>
      </c>
      <c r="L236" s="61" t="str">
        <f t="shared" si="4"/>
        <v>Cliente2-Cliente15</v>
      </c>
      <c r="M236">
        <v>93.570035000000004</v>
      </c>
    </row>
    <row r="237" spans="1:13" x14ac:dyDescent="0.25">
      <c r="A237" s="15" t="s">
        <v>4272</v>
      </c>
      <c r="B237" s="15" t="s">
        <v>4286</v>
      </c>
      <c r="C237" s="54">
        <v>92.500652000000002</v>
      </c>
      <c r="D237" s="26">
        <v>8.1944444444444445E-2</v>
      </c>
      <c r="E237" s="55">
        <v>-23.012208000000001</v>
      </c>
      <c r="F237" s="55">
        <v>-46.764187999999997</v>
      </c>
      <c r="G237" s="55">
        <v>-23.185298</v>
      </c>
      <c r="H237" s="55">
        <v>-46.362856000000001</v>
      </c>
      <c r="I237" s="55">
        <v>-23.249233</v>
      </c>
      <c r="J237" s="55">
        <v>-46.107550000000003</v>
      </c>
      <c r="L237" s="61" t="str">
        <f t="shared" si="4"/>
        <v>Cliente2-Cliente16</v>
      </c>
      <c r="M237">
        <v>92.500652000000002</v>
      </c>
    </row>
    <row r="238" spans="1:13" x14ac:dyDescent="0.25">
      <c r="A238" s="15" t="s">
        <v>4272</v>
      </c>
      <c r="B238" s="15" t="s">
        <v>4287</v>
      </c>
      <c r="C238" s="52">
        <v>93.556365</v>
      </c>
      <c r="D238" s="25">
        <v>8.0555555555555561E-2</v>
      </c>
      <c r="E238" s="53">
        <v>-23.012208000000001</v>
      </c>
      <c r="F238" s="53">
        <v>-46.764187999999997</v>
      </c>
      <c r="G238" s="53">
        <v>-23.185298</v>
      </c>
      <c r="H238" s="53">
        <v>-46.362856000000001</v>
      </c>
      <c r="I238" s="53">
        <v>-23.249233</v>
      </c>
      <c r="J238" s="53">
        <v>-46.107550000000003</v>
      </c>
      <c r="L238" s="61" t="str">
        <f t="shared" si="4"/>
        <v>Cliente2-Cliente17</v>
      </c>
      <c r="M238">
        <v>93.556365</v>
      </c>
    </row>
    <row r="239" spans="1:13" x14ac:dyDescent="0.25">
      <c r="A239" s="15" t="s">
        <v>4272</v>
      </c>
      <c r="B239" s="15" t="s">
        <v>4288</v>
      </c>
      <c r="C239" s="54">
        <v>98.384431000000006</v>
      </c>
      <c r="D239" s="26">
        <v>8.4722222222222213E-2</v>
      </c>
      <c r="E239" s="55">
        <v>-23.006118000000001</v>
      </c>
      <c r="F239" s="55">
        <v>-46.767358999999999</v>
      </c>
      <c r="G239" s="55">
        <v>-23.184774999999998</v>
      </c>
      <c r="H239" s="55">
        <v>-46.371668999999997</v>
      </c>
      <c r="I239" s="55" t="s">
        <v>7297</v>
      </c>
      <c r="J239" s="55">
        <v>-46.129123999999997</v>
      </c>
      <c r="L239" s="61" t="str">
        <f t="shared" si="4"/>
        <v>Cliente2-Cliente18</v>
      </c>
      <c r="M239">
        <v>98.384431000000006</v>
      </c>
    </row>
    <row r="240" spans="1:13" x14ac:dyDescent="0.25">
      <c r="A240" s="15" t="s">
        <v>4272</v>
      </c>
      <c r="B240" s="15" t="s">
        <v>4289</v>
      </c>
      <c r="C240" s="52">
        <v>57.223458000000001</v>
      </c>
      <c r="D240" s="25">
        <v>5.1388888888888894E-2</v>
      </c>
      <c r="E240" s="53">
        <v>-22.994624000000002</v>
      </c>
      <c r="F240" s="53">
        <v>-47.110036999999998</v>
      </c>
      <c r="G240" s="53">
        <v>-23.214355000000001</v>
      </c>
      <c r="H240" s="53">
        <v>-46.919446000000001</v>
      </c>
      <c r="I240" s="53">
        <v>-23.363346</v>
      </c>
      <c r="J240" s="53">
        <v>-46.783973000000003</v>
      </c>
      <c r="L240" s="61" t="str">
        <f t="shared" si="4"/>
        <v>Cliente2-Cliente19</v>
      </c>
      <c r="M240">
        <v>57.223458000000001</v>
      </c>
    </row>
    <row r="241" spans="1:13" x14ac:dyDescent="0.25">
      <c r="A241" s="15" t="s">
        <v>4272</v>
      </c>
      <c r="B241" s="15" t="s">
        <v>4290</v>
      </c>
      <c r="C241" s="54">
        <v>58.795530999999997</v>
      </c>
      <c r="D241" s="26">
        <v>5.4166666666666669E-2</v>
      </c>
      <c r="E241" s="55">
        <v>-22.996803</v>
      </c>
      <c r="F241" s="55">
        <v>-47.104776000000001</v>
      </c>
      <c r="G241" s="55">
        <v>-23.254384999999999</v>
      </c>
      <c r="H241" s="55">
        <v>-46.870885000000001</v>
      </c>
      <c r="I241" s="55">
        <v>-23.409303999999999</v>
      </c>
      <c r="J241" s="55">
        <v>-46.767651999999998</v>
      </c>
      <c r="L241" s="61" t="str">
        <f t="shared" si="4"/>
        <v>Cliente2-Cliente20</v>
      </c>
      <c r="M241">
        <v>58.795530999999997</v>
      </c>
    </row>
    <row r="242" spans="1:13" x14ac:dyDescent="0.25">
      <c r="A242" s="15" t="s">
        <v>4272</v>
      </c>
      <c r="B242" s="15" t="s">
        <v>4291</v>
      </c>
      <c r="C242" s="52">
        <v>58.395367</v>
      </c>
      <c r="D242" s="25">
        <v>5.4166666666666669E-2</v>
      </c>
      <c r="E242" s="53">
        <v>-23.005932000000001</v>
      </c>
      <c r="F242" s="53">
        <v>-47.096372000000002</v>
      </c>
      <c r="G242" s="53">
        <v>-23.267633</v>
      </c>
      <c r="H242" s="53">
        <v>-46.858860999999997</v>
      </c>
      <c r="I242" s="53">
        <v>-23.442567</v>
      </c>
      <c r="J242" s="53">
        <v>-46.756507999999997</v>
      </c>
      <c r="L242" s="61" t="str">
        <f t="shared" si="4"/>
        <v>Cliente2-Cliente21</v>
      </c>
      <c r="M242">
        <v>58.395367</v>
      </c>
    </row>
    <row r="243" spans="1:13" x14ac:dyDescent="0.25">
      <c r="A243" s="15" t="s">
        <v>4272</v>
      </c>
      <c r="B243" s="15" t="s">
        <v>4292</v>
      </c>
      <c r="C243" s="54">
        <v>57.520474</v>
      </c>
      <c r="D243" s="26">
        <v>5.347222222222222E-2</v>
      </c>
      <c r="E243" s="55">
        <v>-22.998093000000001</v>
      </c>
      <c r="F243" s="55">
        <v>-47.103113</v>
      </c>
      <c r="G243" s="55">
        <v>-23.26153</v>
      </c>
      <c r="H243" s="55">
        <v>-46.867288000000002</v>
      </c>
      <c r="I243" s="55">
        <v>-23.423141999999999</v>
      </c>
      <c r="J243" s="55">
        <v>-46.761167999999998</v>
      </c>
      <c r="L243" s="61" t="str">
        <f t="shared" si="4"/>
        <v>Cliente2-Cliente22</v>
      </c>
      <c r="M243">
        <v>57.520474</v>
      </c>
    </row>
    <row r="244" spans="1:13" x14ac:dyDescent="0.25">
      <c r="A244" s="15" t="s">
        <v>4272</v>
      </c>
      <c r="B244" s="15" t="s">
        <v>4293</v>
      </c>
      <c r="C244" s="52">
        <v>66.670809000000006</v>
      </c>
      <c r="D244" s="25">
        <v>6.1111111111111116E-2</v>
      </c>
      <c r="E244" s="53">
        <v>-23.038792999999998</v>
      </c>
      <c r="F244" s="53">
        <v>-47.068593999999997</v>
      </c>
      <c r="G244" s="53">
        <v>-23.309555</v>
      </c>
      <c r="H244" s="53">
        <v>-46.833823000000002</v>
      </c>
      <c r="I244" s="53">
        <v>-23.510380999999999</v>
      </c>
      <c r="J244" s="53">
        <v>-46.820886999999999</v>
      </c>
      <c r="L244" s="61" t="str">
        <f t="shared" si="4"/>
        <v>Cliente2-Cliente23</v>
      </c>
      <c r="M244">
        <v>66.670809000000006</v>
      </c>
    </row>
    <row r="245" spans="1:13" x14ac:dyDescent="0.25">
      <c r="A245" s="15" t="s">
        <v>4272</v>
      </c>
      <c r="B245" s="15" t="s">
        <v>4294</v>
      </c>
      <c r="C245" s="54">
        <v>67.650092999999998</v>
      </c>
      <c r="D245" s="26">
        <v>6.3194444444444442E-2</v>
      </c>
      <c r="E245" s="55">
        <v>-23.039603</v>
      </c>
      <c r="F245" s="55">
        <v>-47.067677000000003</v>
      </c>
      <c r="G245" s="55">
        <v>-23.312118999999999</v>
      </c>
      <c r="H245" s="55">
        <v>-46.827396999999998</v>
      </c>
      <c r="I245" s="55">
        <v>-23.516383000000001</v>
      </c>
      <c r="J245" s="55">
        <v>-46.815750000000001</v>
      </c>
      <c r="L245" s="61" t="str">
        <f t="shared" si="4"/>
        <v>Cliente2-Cliente24</v>
      </c>
      <c r="M245">
        <v>67.650092999999998</v>
      </c>
    </row>
    <row r="246" spans="1:13" x14ac:dyDescent="0.25">
      <c r="A246" s="15" t="s">
        <v>4272</v>
      </c>
      <c r="B246" s="15" t="s">
        <v>4295</v>
      </c>
      <c r="C246" s="52">
        <v>70.470502999999994</v>
      </c>
      <c r="D246" s="25">
        <v>6.5972222222222224E-2</v>
      </c>
      <c r="E246" s="53">
        <v>-23.040220999999999</v>
      </c>
      <c r="F246" s="53">
        <v>-47.066774000000002</v>
      </c>
      <c r="G246" s="53">
        <v>-23.312888999999998</v>
      </c>
      <c r="H246" s="53">
        <v>-46.825960000000002</v>
      </c>
      <c r="I246" s="53">
        <v>-23.521470000000001</v>
      </c>
      <c r="J246" s="53">
        <v>-46.816243999999998</v>
      </c>
      <c r="L246" s="61" t="str">
        <f t="shared" si="4"/>
        <v>Cliente2-Cliente25</v>
      </c>
      <c r="M246">
        <v>70.470502999999994</v>
      </c>
    </row>
    <row r="247" spans="1:13" x14ac:dyDescent="0.25">
      <c r="A247" s="15" t="s">
        <v>4272</v>
      </c>
      <c r="B247" s="15" t="s">
        <v>4296</v>
      </c>
      <c r="C247" s="54">
        <v>62.132924000000003</v>
      </c>
      <c r="D247" s="26">
        <v>5.6250000000000001E-2</v>
      </c>
      <c r="E247" s="55">
        <v>-23.023565000000001</v>
      </c>
      <c r="F247" s="55">
        <v>-47.076582999999999</v>
      </c>
      <c r="G247" s="55">
        <v>-23.295711000000001</v>
      </c>
      <c r="H247" s="55">
        <v>-46.841707999999997</v>
      </c>
      <c r="I247" s="55">
        <v>-23.488206000000002</v>
      </c>
      <c r="J247" s="55">
        <v>-46.806232000000001</v>
      </c>
      <c r="L247" s="61" t="str">
        <f t="shared" si="4"/>
        <v>Cliente2-Cliente26</v>
      </c>
      <c r="M247">
        <v>62.132924000000003</v>
      </c>
    </row>
    <row r="248" spans="1:13" x14ac:dyDescent="0.25">
      <c r="A248" s="15" t="s">
        <v>4272</v>
      </c>
      <c r="B248" s="15" t="s">
        <v>4297</v>
      </c>
      <c r="C248" s="52">
        <v>68.449798999999999</v>
      </c>
      <c r="D248" s="25">
        <v>6.3888888888888884E-2</v>
      </c>
      <c r="E248" s="53">
        <v>-23.040220999999999</v>
      </c>
      <c r="F248" s="53">
        <v>-47.066774000000002</v>
      </c>
      <c r="G248" s="53">
        <v>-23.312888999999998</v>
      </c>
      <c r="H248" s="53">
        <v>-46.825960000000002</v>
      </c>
      <c r="I248" s="53">
        <v>-23.521470000000001</v>
      </c>
      <c r="J248" s="53">
        <v>-46.816243999999998</v>
      </c>
      <c r="L248" s="61" t="str">
        <f t="shared" si="4"/>
        <v>Cliente2-Cliente27</v>
      </c>
      <c r="M248">
        <v>68.449798999999999</v>
      </c>
    </row>
    <row r="249" spans="1:13" x14ac:dyDescent="0.25">
      <c r="A249" s="15" t="s">
        <v>4272</v>
      </c>
      <c r="B249" s="15" t="s">
        <v>4298</v>
      </c>
      <c r="C249" s="54">
        <v>69.781401000000002</v>
      </c>
      <c r="D249" s="26">
        <v>7.013888888888889E-2</v>
      </c>
      <c r="E249" s="55">
        <v>-23.040220999999999</v>
      </c>
      <c r="F249" s="55">
        <v>-47.066774000000002</v>
      </c>
      <c r="G249" s="55">
        <v>-23.312888999999998</v>
      </c>
      <c r="H249" s="55">
        <v>-46.825960000000002</v>
      </c>
      <c r="I249" s="55">
        <v>-23.517049</v>
      </c>
      <c r="J249" s="55">
        <v>-46.741998000000002</v>
      </c>
      <c r="L249" s="61" t="str">
        <f t="shared" si="4"/>
        <v>Cliente2-Cliente28</v>
      </c>
      <c r="M249">
        <v>69.781401000000002</v>
      </c>
    </row>
    <row r="250" spans="1:13" x14ac:dyDescent="0.25">
      <c r="A250" s="15" t="s">
        <v>4272</v>
      </c>
      <c r="B250" s="15" t="s">
        <v>4299</v>
      </c>
      <c r="C250" s="52">
        <v>72.043818999999999</v>
      </c>
      <c r="D250" s="25">
        <v>7.4305555555555555E-2</v>
      </c>
      <c r="E250" s="53">
        <v>-23.050087999999999</v>
      </c>
      <c r="F250" s="53">
        <v>-47.052835999999999</v>
      </c>
      <c r="G250" s="53">
        <v>-23.326060999999999</v>
      </c>
      <c r="H250" s="53">
        <v>-46.82349</v>
      </c>
      <c r="I250" s="53">
        <v>-23.51857</v>
      </c>
      <c r="J250" s="53">
        <v>-46.647053</v>
      </c>
      <c r="L250" s="61" t="str">
        <f t="shared" si="4"/>
        <v>Cliente2-Cliente29</v>
      </c>
      <c r="M250">
        <v>72.043818999999999</v>
      </c>
    </row>
    <row r="251" spans="1:13" x14ac:dyDescent="0.25">
      <c r="A251" s="15" t="s">
        <v>4272</v>
      </c>
      <c r="B251" s="15" t="s">
        <v>4300</v>
      </c>
      <c r="C251" s="54">
        <v>76.103246999999996</v>
      </c>
      <c r="D251" s="26">
        <v>8.3333333333333329E-2</v>
      </c>
      <c r="E251" s="55">
        <v>-23.089700000000001</v>
      </c>
      <c r="F251" s="55">
        <v>-47.018489000000002</v>
      </c>
      <c r="G251" s="55">
        <v>-23.359839000000001</v>
      </c>
      <c r="H251" s="55">
        <v>-46.784889999999997</v>
      </c>
      <c r="I251" s="55">
        <v>-23.563699</v>
      </c>
      <c r="J251" s="55">
        <v>-46.611722999999998</v>
      </c>
      <c r="L251" s="61" t="str">
        <f t="shared" si="4"/>
        <v>Cliente2-Cliente30</v>
      </c>
      <c r="M251">
        <v>76.103246999999996</v>
      </c>
    </row>
    <row r="252" spans="1:13" x14ac:dyDescent="0.25">
      <c r="A252" s="15" t="s">
        <v>4272</v>
      </c>
      <c r="B252" s="15" t="s">
        <v>4301</v>
      </c>
      <c r="C252" s="52">
        <v>61.505958999999997</v>
      </c>
      <c r="D252" s="25">
        <v>5.9027777777777783E-2</v>
      </c>
      <c r="E252" s="53">
        <v>-23.023565000000001</v>
      </c>
      <c r="F252" s="53">
        <v>-47.076582999999999</v>
      </c>
      <c r="G252" s="53">
        <v>-23.295711000000001</v>
      </c>
      <c r="H252" s="53">
        <v>-46.841707999999997</v>
      </c>
      <c r="I252" s="53">
        <v>-23.504757000000001</v>
      </c>
      <c r="J252" s="53">
        <v>-46.723725000000002</v>
      </c>
      <c r="L252" s="61" t="str">
        <f t="shared" si="4"/>
        <v>Cliente2-Cliente31</v>
      </c>
      <c r="M252">
        <v>61.505958999999997</v>
      </c>
    </row>
    <row r="253" spans="1:13" x14ac:dyDescent="0.25">
      <c r="A253" s="15" t="s">
        <v>4272</v>
      </c>
      <c r="B253" s="15" t="s">
        <v>4302</v>
      </c>
      <c r="C253" s="54">
        <v>56.969316999999997</v>
      </c>
      <c r="D253" s="26">
        <v>5.486111111111111E-2</v>
      </c>
      <c r="E253" s="55">
        <v>-23.021971000000001</v>
      </c>
      <c r="F253" s="55">
        <v>-47.077787000000001</v>
      </c>
      <c r="G253" s="55">
        <v>-23.294074999999999</v>
      </c>
      <c r="H253" s="55">
        <v>-46.842619999999997</v>
      </c>
      <c r="I253" s="55">
        <v>-23.454758000000002</v>
      </c>
      <c r="J253" s="55">
        <v>-46.786118999999999</v>
      </c>
      <c r="L253" s="61" t="str">
        <f t="shared" si="4"/>
        <v>Cliente2-Cliente32</v>
      </c>
      <c r="M253">
        <v>56.969316999999997</v>
      </c>
    </row>
    <row r="254" spans="1:13" x14ac:dyDescent="0.25">
      <c r="A254" s="15" t="s">
        <v>4272</v>
      </c>
      <c r="B254" s="15" t="s">
        <v>4303</v>
      </c>
      <c r="C254" s="52">
        <v>70.126884000000004</v>
      </c>
      <c r="D254" s="25">
        <v>6.7361111111111108E-2</v>
      </c>
      <c r="E254" s="53">
        <v>-23.039603</v>
      </c>
      <c r="F254" s="53">
        <v>-47.067677000000003</v>
      </c>
      <c r="G254" s="53">
        <v>-23.312118999999999</v>
      </c>
      <c r="H254" s="53">
        <v>-46.827396999999998</v>
      </c>
      <c r="I254" s="53">
        <v>-23.508492</v>
      </c>
      <c r="J254" s="53">
        <v>-46.695624000000002</v>
      </c>
      <c r="L254" s="61" t="str">
        <f t="shared" si="4"/>
        <v>Cliente2-Cliente33</v>
      </c>
      <c r="M254">
        <v>70.126884000000004</v>
      </c>
    </row>
    <row r="255" spans="1:13" x14ac:dyDescent="0.25">
      <c r="A255" s="15" t="s">
        <v>4272</v>
      </c>
      <c r="B255" s="15" t="s">
        <v>4304</v>
      </c>
      <c r="C255" s="54">
        <v>52.842779999999998</v>
      </c>
      <c r="D255" s="26">
        <v>5.486111111111111E-2</v>
      </c>
      <c r="E255" s="55">
        <v>-23.057896</v>
      </c>
      <c r="F255" s="55">
        <v>-47.044542</v>
      </c>
      <c r="G255" s="55">
        <v>-23.309635</v>
      </c>
      <c r="H255" s="55">
        <v>-46.856695999999999</v>
      </c>
      <c r="I255" s="55">
        <v>-23.420694000000001</v>
      </c>
      <c r="J255" s="55">
        <v>-46.821458999999997</v>
      </c>
      <c r="L255" s="61" t="str">
        <f t="shared" si="4"/>
        <v>Cliente2-Cliente34</v>
      </c>
      <c r="M255">
        <v>52.842779999999998</v>
      </c>
    </row>
    <row r="256" spans="1:13" x14ac:dyDescent="0.25">
      <c r="A256" s="15" t="s">
        <v>4272</v>
      </c>
      <c r="B256" s="15" t="s">
        <v>4305</v>
      </c>
      <c r="C256" s="52">
        <v>53.374675000000003</v>
      </c>
      <c r="D256" s="25">
        <v>5.6250000000000001E-2</v>
      </c>
      <c r="E256" s="53">
        <v>-23.069886</v>
      </c>
      <c r="F256" s="53">
        <v>-47.031554999999997</v>
      </c>
      <c r="G256" s="53">
        <v>-23.314059</v>
      </c>
      <c r="H256" s="53">
        <v>-46.857719000000003</v>
      </c>
      <c r="I256" s="53">
        <v>-23.422339999999998</v>
      </c>
      <c r="J256" s="53">
        <v>-46.824202</v>
      </c>
      <c r="L256" s="61" t="str">
        <f t="shared" si="4"/>
        <v>Cliente2-Cliente35</v>
      </c>
      <c r="M256">
        <v>53.374675000000003</v>
      </c>
    </row>
    <row r="257" spans="1:13" x14ac:dyDescent="0.25">
      <c r="A257" s="15" t="s">
        <v>4272</v>
      </c>
      <c r="B257" s="15" t="s">
        <v>4306</v>
      </c>
      <c r="C257" s="54">
        <v>88.512681999999998</v>
      </c>
      <c r="D257" s="26">
        <v>7.8472222222222221E-2</v>
      </c>
      <c r="E257" s="55">
        <v>-22.773023999999999</v>
      </c>
      <c r="F257" s="55">
        <v>-47.236238</v>
      </c>
      <c r="G257" s="55">
        <v>-22.501315000000002</v>
      </c>
      <c r="H257" s="55">
        <v>-47.397235000000002</v>
      </c>
      <c r="I257" s="55">
        <v>-22.279893999999999</v>
      </c>
      <c r="J257" s="55">
        <v>-47.683107</v>
      </c>
      <c r="L257" s="61" t="str">
        <f t="shared" si="4"/>
        <v>Cliente2-Cliente36</v>
      </c>
      <c r="M257">
        <v>88.512681999999998</v>
      </c>
    </row>
    <row r="258" spans="1:13" x14ac:dyDescent="0.25">
      <c r="A258" s="15" t="s">
        <v>4272</v>
      </c>
      <c r="B258" s="15" t="s">
        <v>4307</v>
      </c>
      <c r="C258" s="52">
        <v>87.415959000000001</v>
      </c>
      <c r="D258" s="25">
        <v>7.7083333333333337E-2</v>
      </c>
      <c r="E258" s="53">
        <v>-22.765263000000001</v>
      </c>
      <c r="F258" s="53">
        <v>-47.245572000000003</v>
      </c>
      <c r="G258" s="53">
        <v>-22.502528999999999</v>
      </c>
      <c r="H258" s="53">
        <v>-47.398642000000002</v>
      </c>
      <c r="I258" s="53">
        <v>-22.278566999999999</v>
      </c>
      <c r="J258" s="53">
        <v>-47.690787</v>
      </c>
      <c r="L258" s="61" t="str">
        <f t="shared" si="4"/>
        <v>Cliente2-Cliente37</v>
      </c>
      <c r="M258">
        <v>87.415959000000001</v>
      </c>
    </row>
    <row r="259" spans="1:13" x14ac:dyDescent="0.25">
      <c r="A259" s="15" t="s">
        <v>4272</v>
      </c>
      <c r="B259" s="15" t="s">
        <v>4308</v>
      </c>
      <c r="C259" s="54">
        <v>85.639454999999998</v>
      </c>
      <c r="D259" s="26">
        <v>7.4999999999999997E-2</v>
      </c>
      <c r="E259" s="55">
        <v>-22.799621999999999</v>
      </c>
      <c r="F259" s="55">
        <v>-47.222423999999997</v>
      </c>
      <c r="G259" s="55">
        <v>-22.501201999999999</v>
      </c>
      <c r="H259" s="55">
        <v>-47.399346999999999</v>
      </c>
      <c r="I259" s="55">
        <v>-22.309577000000001</v>
      </c>
      <c r="J259" s="55">
        <v>-47.667712000000002</v>
      </c>
      <c r="L259" s="61" t="str">
        <f t="shared" si="4"/>
        <v>Cliente2-Cliente38</v>
      </c>
      <c r="M259">
        <v>85.639454999999998</v>
      </c>
    </row>
    <row r="260" spans="1:13" x14ac:dyDescent="0.25">
      <c r="A260" s="15" t="s">
        <v>4272</v>
      </c>
      <c r="B260" s="15" t="s">
        <v>4309</v>
      </c>
      <c r="C260" s="52">
        <v>119.390558</v>
      </c>
      <c r="D260" s="25">
        <v>0.10416666666666667</v>
      </c>
      <c r="E260" s="53">
        <v>-23.026358999999999</v>
      </c>
      <c r="F260" s="53">
        <v>-46.751027999999998</v>
      </c>
      <c r="G260" s="53">
        <v>-23.188037000000001</v>
      </c>
      <c r="H260" s="53">
        <v>-46.333573999999999</v>
      </c>
      <c r="I260" s="53">
        <v>-23.247465999999999</v>
      </c>
      <c r="J260" s="53">
        <v>-46.081451000000001</v>
      </c>
      <c r="L260" s="61" t="str">
        <f t="shared" si="4"/>
        <v>Cliente2-Cliente39</v>
      </c>
      <c r="M260">
        <v>119.390558</v>
      </c>
    </row>
    <row r="261" spans="1:13" x14ac:dyDescent="0.25">
      <c r="A261" s="15" t="s">
        <v>4272</v>
      </c>
      <c r="B261" s="15" t="s">
        <v>4310</v>
      </c>
      <c r="C261" s="54">
        <v>120.952067</v>
      </c>
      <c r="D261" s="26">
        <v>0.1076388888888889</v>
      </c>
      <c r="E261" s="55">
        <v>-23.028652999999998</v>
      </c>
      <c r="F261" s="55">
        <v>-46.748218000000001</v>
      </c>
      <c r="G261" s="55">
        <v>-23.179977999999998</v>
      </c>
      <c r="H261" s="55">
        <v>-46.321463999999999</v>
      </c>
      <c r="I261" s="55">
        <v>-23.259564000000001</v>
      </c>
      <c r="J261" s="55">
        <v>-46.067621000000003</v>
      </c>
      <c r="L261" s="61" t="str">
        <f t="shared" si="4"/>
        <v>Cliente2-Cliente40</v>
      </c>
      <c r="M261">
        <v>120.952067</v>
      </c>
    </row>
    <row r="262" spans="1:13" x14ac:dyDescent="0.25">
      <c r="A262" s="15" t="s">
        <v>4272</v>
      </c>
      <c r="B262" s="15" t="s">
        <v>4311</v>
      </c>
      <c r="C262" s="52">
        <v>110.24581499999999</v>
      </c>
      <c r="D262" s="25">
        <v>9.8611111111111108E-2</v>
      </c>
      <c r="E262" s="53">
        <v>-23.027180999999999</v>
      </c>
      <c r="F262" s="53">
        <v>-46.750345000000003</v>
      </c>
      <c r="G262" s="53">
        <v>-23.186575000000001</v>
      </c>
      <c r="H262" s="53">
        <v>-46.329782999999999</v>
      </c>
      <c r="I262" s="53">
        <v>-23.248518000000001</v>
      </c>
      <c r="J262" s="53">
        <v>-46.078502999999998</v>
      </c>
      <c r="L262" s="61" t="str">
        <f t="shared" si="4"/>
        <v>Cliente2-Cliente41</v>
      </c>
      <c r="M262">
        <v>110.24581499999999</v>
      </c>
    </row>
    <row r="263" spans="1:13" x14ac:dyDescent="0.25">
      <c r="A263" s="15" t="s">
        <v>4272</v>
      </c>
      <c r="B263" s="15" t="s">
        <v>4312</v>
      </c>
      <c r="C263" s="54">
        <v>106.95813200000001</v>
      </c>
      <c r="D263" s="26">
        <v>9.1666666666666674E-2</v>
      </c>
      <c r="E263" s="55">
        <v>-23.006118000000001</v>
      </c>
      <c r="F263" s="55">
        <v>-46.767358999999999</v>
      </c>
      <c r="G263" s="55">
        <v>-23.184774999999998</v>
      </c>
      <c r="H263" s="55">
        <v>-46.371668999999997</v>
      </c>
      <c r="I263" s="55" t="s">
        <v>7297</v>
      </c>
      <c r="J263" s="55">
        <v>-46.129123999999997</v>
      </c>
      <c r="L263" s="61" t="str">
        <f t="shared" si="4"/>
        <v>Cliente2-Cliente42</v>
      </c>
      <c r="M263">
        <v>106.95813200000001</v>
      </c>
    </row>
    <row r="264" spans="1:13" x14ac:dyDescent="0.25">
      <c r="A264" s="15" t="s">
        <v>4272</v>
      </c>
      <c r="B264" s="15" t="s">
        <v>4313</v>
      </c>
      <c r="C264" s="52">
        <v>125.63224700000001</v>
      </c>
      <c r="D264" s="25">
        <v>0.11041666666666666</v>
      </c>
      <c r="E264" s="53">
        <v>-23.035312000000001</v>
      </c>
      <c r="F264" s="53">
        <v>-46.727373999999998</v>
      </c>
      <c r="G264" s="53">
        <v>-23.182220999999998</v>
      </c>
      <c r="H264" s="53">
        <v>-46.306804999999997</v>
      </c>
      <c r="I264" s="53">
        <v>-23.308059</v>
      </c>
      <c r="J264" s="53">
        <v>-46.044896999999999</v>
      </c>
      <c r="L264" s="61" t="str">
        <f t="shared" si="4"/>
        <v>Cliente2-Cliente43</v>
      </c>
      <c r="M264">
        <v>125.63224700000001</v>
      </c>
    </row>
    <row r="265" spans="1:13" x14ac:dyDescent="0.25">
      <c r="A265" s="15" t="s">
        <v>4272</v>
      </c>
      <c r="B265" s="15" t="s">
        <v>4314</v>
      </c>
      <c r="C265" s="54">
        <v>66.005319</v>
      </c>
      <c r="D265" s="26">
        <v>6.1111111111111116E-2</v>
      </c>
      <c r="E265" s="55">
        <v>-22.980606999999999</v>
      </c>
      <c r="F265" s="55">
        <v>-47.104757999999997</v>
      </c>
      <c r="G265" s="55">
        <v>-23.188510000000001</v>
      </c>
      <c r="H265" s="55">
        <v>-47.314928000000002</v>
      </c>
      <c r="I265" s="55">
        <v>-23.353051000000001</v>
      </c>
      <c r="J265" s="55">
        <v>-47.530259000000001</v>
      </c>
      <c r="L265" s="61" t="str">
        <f t="shared" si="4"/>
        <v>Cliente2-Cliente44</v>
      </c>
      <c r="M265">
        <v>66.005319</v>
      </c>
    </row>
    <row r="266" spans="1:13" x14ac:dyDescent="0.25">
      <c r="A266" s="15" t="s">
        <v>4272</v>
      </c>
      <c r="B266" s="15" t="s">
        <v>4315</v>
      </c>
      <c r="C266" s="52">
        <v>57.484434999999998</v>
      </c>
      <c r="D266" s="25">
        <v>5.9722222222222225E-2</v>
      </c>
      <c r="E266" s="53">
        <v>-22.982644000000001</v>
      </c>
      <c r="F266" s="53">
        <v>-47.105488999999999</v>
      </c>
      <c r="G266" s="53">
        <v>-23.192772000000001</v>
      </c>
      <c r="H266" s="53">
        <v>-47.320543999999998</v>
      </c>
      <c r="I266" s="53">
        <v>-23.481231000000001</v>
      </c>
      <c r="J266" s="53">
        <v>-47.457830000000001</v>
      </c>
      <c r="L266" s="61" t="str">
        <f t="shared" si="4"/>
        <v>Cliente2-Cliente45</v>
      </c>
      <c r="M266">
        <v>57.484434999999998</v>
      </c>
    </row>
    <row r="267" spans="1:13" x14ac:dyDescent="0.25">
      <c r="A267" s="15" t="s">
        <v>4272</v>
      </c>
      <c r="B267" s="15" t="s">
        <v>4316</v>
      </c>
      <c r="C267" s="54">
        <v>54.787677000000002</v>
      </c>
      <c r="D267" s="26">
        <v>5.4166666666666669E-2</v>
      </c>
      <c r="E267" s="55">
        <v>-22.938714000000001</v>
      </c>
      <c r="F267" s="55">
        <v>-47.086007000000002</v>
      </c>
      <c r="G267" s="55">
        <v>-23.143122000000002</v>
      </c>
      <c r="H267" s="55">
        <v>-47.249118000000003</v>
      </c>
      <c r="I267" s="55">
        <v>-23.385514000000001</v>
      </c>
      <c r="J267" s="55">
        <v>-47.328873999999999</v>
      </c>
      <c r="L267" s="61" t="str">
        <f t="shared" si="4"/>
        <v>Cliente2-Cliente46</v>
      </c>
      <c r="M267">
        <v>54.787677000000002</v>
      </c>
    </row>
    <row r="268" spans="1:13" x14ac:dyDescent="0.25">
      <c r="A268" s="15" t="s">
        <v>4272</v>
      </c>
      <c r="B268" s="15" t="s">
        <v>4317</v>
      </c>
      <c r="C268" s="52">
        <v>134.96899400000001</v>
      </c>
      <c r="D268" s="25">
        <v>0.1125</v>
      </c>
      <c r="E268" s="53">
        <v>-22.732436</v>
      </c>
      <c r="F268" s="53">
        <v>-47.288780000000003</v>
      </c>
      <c r="G268" s="53">
        <v>-22.370360999999999</v>
      </c>
      <c r="H268" s="53">
        <v>-47.394544000000003</v>
      </c>
      <c r="I268" s="53">
        <v>-21.614515000000001</v>
      </c>
      <c r="J268" s="53">
        <v>-47.616148000000003</v>
      </c>
      <c r="L268" s="61" t="str">
        <f t="shared" si="4"/>
        <v>Cliente2-Cliente47</v>
      </c>
      <c r="M268">
        <v>134.96899400000001</v>
      </c>
    </row>
    <row r="269" spans="1:13" x14ac:dyDescent="0.25">
      <c r="A269" s="15" t="s">
        <v>4272</v>
      </c>
      <c r="B269" s="15" t="s">
        <v>4318</v>
      </c>
      <c r="C269" s="54">
        <v>144.08018200000001</v>
      </c>
      <c r="D269" s="26">
        <v>0.12083333333333333</v>
      </c>
      <c r="E269" s="55">
        <v>-22.697127999999999</v>
      </c>
      <c r="F269" s="55">
        <v>-47.309123999999997</v>
      </c>
      <c r="G269" s="55">
        <v>-22.245982000000001</v>
      </c>
      <c r="H269" s="55">
        <v>-47.390183</v>
      </c>
      <c r="I269" s="55">
        <v>-21.339245999999999</v>
      </c>
      <c r="J269" s="55">
        <v>-47.724367999999998</v>
      </c>
      <c r="L269" s="61" t="str">
        <f t="shared" si="4"/>
        <v>Cliente2-Cliente48</v>
      </c>
      <c r="M269">
        <v>144.08018200000001</v>
      </c>
    </row>
    <row r="270" spans="1:13" x14ac:dyDescent="0.25">
      <c r="A270" s="15" t="s">
        <v>4272</v>
      </c>
      <c r="B270" s="15" t="s">
        <v>4319</v>
      </c>
      <c r="C270" s="52">
        <v>137.71794600000001</v>
      </c>
      <c r="D270" s="25">
        <v>0.11666666666666665</v>
      </c>
      <c r="E270" s="53">
        <v>-22.716018999999999</v>
      </c>
      <c r="F270" s="53">
        <v>-47.295720000000003</v>
      </c>
      <c r="G270" s="53">
        <v>-22.271709999999999</v>
      </c>
      <c r="H270" s="53">
        <v>-47.391724000000004</v>
      </c>
      <c r="I270" s="53">
        <v>-21.401729</v>
      </c>
      <c r="J270" s="53">
        <v>-47.674432000000003</v>
      </c>
      <c r="L270" s="61" t="str">
        <f t="shared" si="4"/>
        <v>Cliente2-Cliente49</v>
      </c>
      <c r="M270">
        <v>137.71794600000001</v>
      </c>
    </row>
    <row r="271" spans="1:13" x14ac:dyDescent="0.25">
      <c r="A271" s="15" t="s">
        <v>4272</v>
      </c>
      <c r="B271" s="15" t="s">
        <v>4320</v>
      </c>
      <c r="C271" s="54">
        <v>162.475922</v>
      </c>
      <c r="D271" s="26">
        <v>0.13958333333333334</v>
      </c>
      <c r="E271" s="55">
        <v>-22.5883</v>
      </c>
      <c r="F271" s="55">
        <v>-47.367502000000002</v>
      </c>
      <c r="G271" s="55">
        <v>-22.220979</v>
      </c>
      <c r="H271" s="55">
        <v>-47.762090999999998</v>
      </c>
      <c r="I271" s="55">
        <v>-22.248830999999999</v>
      </c>
      <c r="J271" s="55">
        <v>-48.354304999999997</v>
      </c>
      <c r="L271" s="61" t="str">
        <f t="shared" si="4"/>
        <v>Cliente2-Cliente50</v>
      </c>
      <c r="M271">
        <v>162.475922</v>
      </c>
    </row>
    <row r="272" spans="1:13" x14ac:dyDescent="0.25">
      <c r="A272" s="15" t="s">
        <v>4272</v>
      </c>
      <c r="B272" s="15" t="s">
        <v>4321</v>
      </c>
      <c r="C272" s="52">
        <v>162.29510200000001</v>
      </c>
      <c r="D272" s="25">
        <v>0.1388888888888889</v>
      </c>
      <c r="E272" s="53">
        <v>-22.589946999999999</v>
      </c>
      <c r="F272" s="53">
        <v>-47.367457999999999</v>
      </c>
      <c r="G272" s="53">
        <v>-22.245407</v>
      </c>
      <c r="H272" s="53">
        <v>-47.708100000000002</v>
      </c>
      <c r="I272" s="53">
        <v>-22.247001999999998</v>
      </c>
      <c r="J272" s="53">
        <v>-48.351973999999998</v>
      </c>
      <c r="L272" s="61" t="str">
        <f t="shared" si="4"/>
        <v>Cliente2-Cliente51</v>
      </c>
      <c r="M272">
        <v>162.29510200000001</v>
      </c>
    </row>
    <row r="273" spans="1:13" x14ac:dyDescent="0.25">
      <c r="A273" s="15" t="s">
        <v>4273</v>
      </c>
      <c r="B273" s="15" t="s">
        <v>4268</v>
      </c>
      <c r="C273" s="54">
        <v>37.228304999999999</v>
      </c>
      <c r="D273" s="26">
        <v>3.4722222222222224E-2</v>
      </c>
      <c r="E273" s="55">
        <v>-22.969629000000001</v>
      </c>
      <c r="F273" s="55">
        <v>-47.028855</v>
      </c>
      <c r="G273" s="55">
        <v>-22.991496000000001</v>
      </c>
      <c r="H273" s="55">
        <v>-47.110083000000003</v>
      </c>
      <c r="I273" s="55">
        <v>-23.178982999999999</v>
      </c>
      <c r="J273" s="55">
        <v>-47.275697000000001</v>
      </c>
      <c r="L273" s="61" t="str">
        <f t="shared" si="4"/>
        <v>Cliente3-depósito A</v>
      </c>
      <c r="M273">
        <v>37.228304999999999</v>
      </c>
    </row>
    <row r="274" spans="1:13" x14ac:dyDescent="0.25">
      <c r="A274" s="15" t="s">
        <v>4273</v>
      </c>
      <c r="B274" s="15" t="s">
        <v>4269</v>
      </c>
      <c r="C274" s="52">
        <v>116.44587199999999</v>
      </c>
      <c r="D274" s="25">
        <v>9.8611111111111108E-2</v>
      </c>
      <c r="E274" s="53">
        <v>-22.859562</v>
      </c>
      <c r="F274" s="53">
        <v>-47.143931000000002</v>
      </c>
      <c r="G274" s="53">
        <v>-22.519418999999999</v>
      </c>
      <c r="H274" s="53">
        <v>-47.393290999999998</v>
      </c>
      <c r="I274" s="53">
        <v>-22.288208000000001</v>
      </c>
      <c r="J274" s="53">
        <v>-47.677109999999999</v>
      </c>
      <c r="L274" s="61" t="str">
        <f t="shared" ref="L274:L337" si="5">_xlfn.CONCAT(A274,"-",B274)</f>
        <v>Cliente3-depósito B</v>
      </c>
      <c r="M274">
        <v>116.44587199999999</v>
      </c>
    </row>
    <row r="275" spans="1:13" x14ac:dyDescent="0.25">
      <c r="A275" s="15" t="s">
        <v>4273</v>
      </c>
      <c r="B275" s="15" t="s">
        <v>4270</v>
      </c>
      <c r="C275" s="54">
        <v>89.209862000000001</v>
      </c>
      <c r="D275" s="26">
        <v>7.6388888888888895E-2</v>
      </c>
      <c r="E275" s="55">
        <v>-22.928616000000002</v>
      </c>
      <c r="F275" s="55">
        <v>-46.909415000000003</v>
      </c>
      <c r="G275" s="55">
        <v>-23.131833</v>
      </c>
      <c r="H275" s="55">
        <v>-46.461863000000001</v>
      </c>
      <c r="I275" s="55">
        <v>-23.190617</v>
      </c>
      <c r="J275" s="55">
        <v>-46.188918000000001</v>
      </c>
      <c r="L275" s="61" t="str">
        <f t="shared" si="5"/>
        <v>Cliente3-depósito C</v>
      </c>
      <c r="M275">
        <v>89.209862000000001</v>
      </c>
    </row>
    <row r="276" spans="1:13" x14ac:dyDescent="0.25">
      <c r="A276" s="15" t="s">
        <v>4273</v>
      </c>
      <c r="B276" s="15" t="s">
        <v>4271</v>
      </c>
      <c r="C276" s="52">
        <v>2.3804789999999998</v>
      </c>
      <c r="D276" s="25">
        <v>6.2499999999999995E-3</v>
      </c>
      <c r="E276" s="53">
        <v>-22.928359</v>
      </c>
      <c r="F276" s="53">
        <v>-47.037548999999999</v>
      </c>
      <c r="G276" s="53">
        <v>-22.930721999999999</v>
      </c>
      <c r="H276" s="53">
        <v>-47.037880000000001</v>
      </c>
      <c r="I276" s="53">
        <v>-22.943099</v>
      </c>
      <c r="J276" s="53">
        <v>-47.032273000000004</v>
      </c>
      <c r="L276" s="61" t="str">
        <f t="shared" si="5"/>
        <v>Cliente3-Cliente1</v>
      </c>
      <c r="M276">
        <v>2.3804789999999998</v>
      </c>
    </row>
    <row r="277" spans="1:13" x14ac:dyDescent="0.25">
      <c r="A277" s="15" t="s">
        <v>4273</v>
      </c>
      <c r="B277" s="15" t="s">
        <v>4272</v>
      </c>
      <c r="C277" s="54">
        <v>3.421278</v>
      </c>
      <c r="D277" s="26">
        <v>9.0277777777777787E-3</v>
      </c>
      <c r="E277" s="55">
        <v>-22.913422000000001</v>
      </c>
      <c r="F277" s="55">
        <v>-47.055064999999999</v>
      </c>
      <c r="G277" s="55">
        <v>-22.907202999999999</v>
      </c>
      <c r="H277" s="55">
        <v>-47.057623999999997</v>
      </c>
      <c r="I277" s="55">
        <v>-22.897048999999999</v>
      </c>
      <c r="J277" s="55">
        <v>-47.058523999999998</v>
      </c>
      <c r="L277" s="61" t="str">
        <f t="shared" si="5"/>
        <v>Cliente3-Cliente2</v>
      </c>
      <c r="M277">
        <v>3.421278</v>
      </c>
    </row>
    <row r="278" spans="1:13" x14ac:dyDescent="0.25">
      <c r="A278" s="15" t="s">
        <v>4273</v>
      </c>
      <c r="B278" s="15" t="s">
        <v>4273</v>
      </c>
      <c r="C278" s="52">
        <v>0</v>
      </c>
      <c r="D278" s="25">
        <v>0</v>
      </c>
      <c r="E278" s="53">
        <f>'1. Locais'!D7</f>
        <v>-22.92634</v>
      </c>
      <c r="F278" s="53">
        <f>'1. Locais'!E7</f>
        <v>-47.039740000000002</v>
      </c>
      <c r="G278" s="53">
        <f>'1. Locais'!D7</f>
        <v>-22.92634</v>
      </c>
      <c r="H278" s="53">
        <f>'1. Locais'!E7</f>
        <v>-47.039740000000002</v>
      </c>
      <c r="I278" s="53">
        <f>'1. Locais'!D7</f>
        <v>-22.92634</v>
      </c>
      <c r="J278" s="53">
        <f>'1. Locais'!E7</f>
        <v>-47.039740000000002</v>
      </c>
      <c r="L278" s="61" t="str">
        <f t="shared" si="5"/>
        <v>Cliente3-Cliente3</v>
      </c>
      <c r="M278">
        <v>0</v>
      </c>
    </row>
    <row r="279" spans="1:13" x14ac:dyDescent="0.25">
      <c r="A279" s="15" t="s">
        <v>4273</v>
      </c>
      <c r="B279" s="15" t="s">
        <v>4274</v>
      </c>
      <c r="C279" s="54">
        <v>8.8446200000000008</v>
      </c>
      <c r="D279" s="26">
        <v>1.8055555555555557E-2</v>
      </c>
      <c r="E279" s="55">
        <v>-22.910508</v>
      </c>
      <c r="F279" s="55">
        <v>-47.055999999999997</v>
      </c>
      <c r="G279" s="55">
        <v>-22.891152999999999</v>
      </c>
      <c r="H279" s="55">
        <v>-47.063001999999997</v>
      </c>
      <c r="I279" s="55">
        <v>-22.846954</v>
      </c>
      <c r="J279" s="55">
        <v>-47.078401999999997</v>
      </c>
      <c r="L279" s="61" t="str">
        <f t="shared" si="5"/>
        <v>Cliente3-Cliente4</v>
      </c>
      <c r="M279">
        <v>8.8446200000000008</v>
      </c>
    </row>
    <row r="280" spans="1:13" x14ac:dyDescent="0.25">
      <c r="A280" s="15" t="s">
        <v>4273</v>
      </c>
      <c r="B280" s="15" t="s">
        <v>4275</v>
      </c>
      <c r="C280" s="52">
        <v>8.9378250000000001</v>
      </c>
      <c r="D280" s="25">
        <v>1.8749999999999999E-2</v>
      </c>
      <c r="E280" s="53">
        <v>-22.910675000000001</v>
      </c>
      <c r="F280" s="53">
        <v>-47.055905000000003</v>
      </c>
      <c r="G280" s="53">
        <v>-22.894451</v>
      </c>
      <c r="H280" s="53">
        <v>-47.060692000000003</v>
      </c>
      <c r="I280" s="53">
        <v>-22.860824000000001</v>
      </c>
      <c r="J280" s="53">
        <v>-47.071641</v>
      </c>
      <c r="L280" s="61" t="str">
        <f t="shared" si="5"/>
        <v>Cliente3-Cliente5</v>
      </c>
      <c r="M280">
        <v>8.9378250000000001</v>
      </c>
    </row>
    <row r="281" spans="1:13" x14ac:dyDescent="0.25">
      <c r="A281" s="15" t="s">
        <v>4273</v>
      </c>
      <c r="B281" s="15" t="s">
        <v>4276</v>
      </c>
      <c r="C281" s="54">
        <v>4.5714389999999998</v>
      </c>
      <c r="D281" s="26">
        <v>9.0277777777777787E-3</v>
      </c>
      <c r="E281" s="55">
        <v>-22.930199999999999</v>
      </c>
      <c r="F281" s="55">
        <v>-47.036887</v>
      </c>
      <c r="G281" s="55">
        <v>-22.941296000000001</v>
      </c>
      <c r="H281" s="55">
        <v>-47.033386999999998</v>
      </c>
      <c r="I281" s="55">
        <v>-22.962669999999999</v>
      </c>
      <c r="J281" s="55">
        <v>-47.010910000000003</v>
      </c>
      <c r="L281" s="61" t="str">
        <f t="shared" si="5"/>
        <v>Cliente3-Cliente6</v>
      </c>
      <c r="M281">
        <v>4.5714389999999998</v>
      </c>
    </row>
    <row r="282" spans="1:13" x14ac:dyDescent="0.25">
      <c r="A282" s="15" t="s">
        <v>4273</v>
      </c>
      <c r="B282" s="15" t="s">
        <v>4277</v>
      </c>
      <c r="C282" s="52">
        <v>5.7551540000000001</v>
      </c>
      <c r="D282" s="25">
        <v>1.2499999999999999E-2</v>
      </c>
      <c r="E282" s="53">
        <v>-22.930700000000002</v>
      </c>
      <c r="F282" s="53">
        <v>-47.043869000000001</v>
      </c>
      <c r="G282" s="53">
        <v>-22.921294</v>
      </c>
      <c r="H282" s="53">
        <v>-47.069533</v>
      </c>
      <c r="I282" s="53">
        <v>-22.932628999999999</v>
      </c>
      <c r="J282" s="53">
        <v>-47.073275000000002</v>
      </c>
      <c r="L282" s="61" t="str">
        <f t="shared" si="5"/>
        <v>Cliente3-Cliente7</v>
      </c>
      <c r="M282">
        <v>5.7551540000000001</v>
      </c>
    </row>
    <row r="283" spans="1:13" x14ac:dyDescent="0.25">
      <c r="A283" s="15" t="s">
        <v>4273</v>
      </c>
      <c r="B283" s="15" t="s">
        <v>4278</v>
      </c>
      <c r="C283" s="54">
        <v>7.7398189999999998</v>
      </c>
      <c r="D283" s="26">
        <v>1.3888888888888888E-2</v>
      </c>
      <c r="E283" s="55">
        <v>-22.927873000000002</v>
      </c>
      <c r="F283" s="55">
        <v>-47.037627999999998</v>
      </c>
      <c r="G283" s="55">
        <v>-22.914902000000001</v>
      </c>
      <c r="H283" s="55">
        <v>-47.043520000000001</v>
      </c>
      <c r="I283" s="55">
        <v>-22.899131000000001</v>
      </c>
      <c r="J283" s="55">
        <v>-47.015912</v>
      </c>
      <c r="L283" s="61" t="str">
        <f t="shared" si="5"/>
        <v>Cliente3-Cliente8</v>
      </c>
      <c r="M283">
        <v>7.7398189999999998</v>
      </c>
    </row>
    <row r="284" spans="1:13" x14ac:dyDescent="0.25">
      <c r="A284" s="15" t="s">
        <v>4273</v>
      </c>
      <c r="B284" s="15" t="s">
        <v>4279</v>
      </c>
      <c r="C284" s="52">
        <v>26.664346999999999</v>
      </c>
      <c r="D284" s="25">
        <v>3.0555555555555555E-2</v>
      </c>
      <c r="E284" s="53">
        <v>-22.940760000000001</v>
      </c>
      <c r="F284" s="53">
        <v>-47.051715000000002</v>
      </c>
      <c r="G284" s="53">
        <v>-22.903849000000001</v>
      </c>
      <c r="H284" s="53">
        <v>-47.107888000000003</v>
      </c>
      <c r="I284" s="53">
        <v>-22.799621999999999</v>
      </c>
      <c r="J284" s="53">
        <v>-47.222423999999997</v>
      </c>
      <c r="L284" s="61" t="str">
        <f t="shared" si="5"/>
        <v>Cliente3-Cliente9</v>
      </c>
      <c r="M284">
        <v>26.664346999999999</v>
      </c>
    </row>
    <row r="285" spans="1:13" x14ac:dyDescent="0.25">
      <c r="A285" s="15" t="s">
        <v>4273</v>
      </c>
      <c r="B285" s="15" t="s">
        <v>4280</v>
      </c>
      <c r="C285" s="54">
        <v>58.807336999999997</v>
      </c>
      <c r="D285" s="26">
        <v>5.8333333333333327E-2</v>
      </c>
      <c r="E285" s="55">
        <v>-23.015291999999999</v>
      </c>
      <c r="F285" s="55">
        <v>-47.084372000000002</v>
      </c>
      <c r="G285" s="55">
        <v>-23.271267000000002</v>
      </c>
      <c r="H285" s="55">
        <v>-46.855935000000002</v>
      </c>
      <c r="I285" s="55">
        <v>-23.446470999999999</v>
      </c>
      <c r="J285" s="55">
        <v>-46.755754000000003</v>
      </c>
      <c r="L285" s="61" t="str">
        <f t="shared" si="5"/>
        <v>Cliente3-Cliente10</v>
      </c>
      <c r="M285">
        <v>58.807336999999997</v>
      </c>
    </row>
    <row r="286" spans="1:13" x14ac:dyDescent="0.25">
      <c r="A286" s="15" t="s">
        <v>4273</v>
      </c>
      <c r="B286" s="15" t="s">
        <v>4281</v>
      </c>
      <c r="C286" s="52">
        <v>44.387140000000002</v>
      </c>
      <c r="D286" s="25">
        <v>4.3750000000000004E-2</v>
      </c>
      <c r="E286" s="53">
        <v>-22.898246</v>
      </c>
      <c r="F286" s="53">
        <v>-47.104287999999997</v>
      </c>
      <c r="G286" s="53">
        <v>-22.902609999999999</v>
      </c>
      <c r="H286" s="53">
        <v>-47.205207999999999</v>
      </c>
      <c r="I286" s="53">
        <v>-22.788481000000001</v>
      </c>
      <c r="J286" s="53">
        <v>-47.422204999999998</v>
      </c>
      <c r="L286" s="61" t="str">
        <f t="shared" si="5"/>
        <v>Cliente3-Cliente11</v>
      </c>
      <c r="M286">
        <v>44.387140000000002</v>
      </c>
    </row>
    <row r="287" spans="1:13" x14ac:dyDescent="0.25">
      <c r="A287" s="15" t="s">
        <v>4273</v>
      </c>
      <c r="B287" s="15" t="s">
        <v>4282</v>
      </c>
      <c r="C287" s="54">
        <v>88.251084000000006</v>
      </c>
      <c r="D287" s="26">
        <v>7.6388888888888895E-2</v>
      </c>
      <c r="E287" s="55">
        <v>-22.931255</v>
      </c>
      <c r="F287" s="55">
        <v>-46.901556999999997</v>
      </c>
      <c r="G287" s="55">
        <v>-23.167742000000001</v>
      </c>
      <c r="H287" s="55">
        <v>-46.443790999999997</v>
      </c>
      <c r="I287" s="55">
        <v>-23.199383000000001</v>
      </c>
      <c r="J287" s="55">
        <v>-46.177847999999997</v>
      </c>
      <c r="L287" s="61" t="str">
        <f t="shared" si="5"/>
        <v>Cliente3-Cliente12</v>
      </c>
      <c r="M287">
        <v>88.251084000000006</v>
      </c>
    </row>
    <row r="288" spans="1:13" x14ac:dyDescent="0.25">
      <c r="A288" s="15" t="s">
        <v>4273</v>
      </c>
      <c r="B288" s="15" t="s">
        <v>4283</v>
      </c>
      <c r="C288" s="52">
        <v>96.135062000000005</v>
      </c>
      <c r="D288" s="25">
        <v>8.1944444444444445E-2</v>
      </c>
      <c r="E288" s="53">
        <v>-22.935320999999998</v>
      </c>
      <c r="F288" s="53">
        <v>-46.896419999999999</v>
      </c>
      <c r="G288" s="53">
        <v>-23.166015999999999</v>
      </c>
      <c r="H288" s="53">
        <v>-46.406891999999999</v>
      </c>
      <c r="I288" s="53">
        <v>-23.221935999999999</v>
      </c>
      <c r="J288" s="53">
        <v>-46.139332000000003</v>
      </c>
      <c r="L288" s="61" t="str">
        <f t="shared" si="5"/>
        <v>Cliente3-Cliente13</v>
      </c>
      <c r="M288">
        <v>96.135062000000005</v>
      </c>
    </row>
    <row r="289" spans="1:13" x14ac:dyDescent="0.25">
      <c r="A289" s="15" t="s">
        <v>4273</v>
      </c>
      <c r="B289" s="15" t="s">
        <v>4284</v>
      </c>
      <c r="C289" s="54">
        <v>94.197620999999998</v>
      </c>
      <c r="D289" s="26">
        <v>7.9166666666666663E-2</v>
      </c>
      <c r="E289" s="55">
        <v>-22.928381999999999</v>
      </c>
      <c r="F289" s="55">
        <v>-46.910950999999997</v>
      </c>
      <c r="G289" s="55">
        <v>-23.130182999999999</v>
      </c>
      <c r="H289" s="55">
        <v>-46.463397000000001</v>
      </c>
      <c r="I289" s="55">
        <v>-23.188545999999999</v>
      </c>
      <c r="J289" s="55">
        <v>-46.191698000000002</v>
      </c>
      <c r="L289" s="61" t="str">
        <f t="shared" si="5"/>
        <v>Cliente3-Cliente14</v>
      </c>
      <c r="M289">
        <v>94.197620999999998</v>
      </c>
    </row>
    <row r="290" spans="1:13" x14ac:dyDescent="0.25">
      <c r="A290" s="15" t="s">
        <v>4273</v>
      </c>
      <c r="B290" s="15" t="s">
        <v>4285</v>
      </c>
      <c r="C290" s="52">
        <v>96.576235999999994</v>
      </c>
      <c r="D290" s="25">
        <v>8.5416666666666655E-2</v>
      </c>
      <c r="E290" s="53">
        <v>-22.935531000000001</v>
      </c>
      <c r="F290" s="53">
        <v>-46.895364999999998</v>
      </c>
      <c r="G290" s="53">
        <v>-23.165762000000001</v>
      </c>
      <c r="H290" s="53">
        <v>-46.405217999999998</v>
      </c>
      <c r="I290" s="53">
        <v>-23.230232999999998</v>
      </c>
      <c r="J290" s="53">
        <v>-46.131013000000003</v>
      </c>
      <c r="L290" s="61" t="str">
        <f t="shared" si="5"/>
        <v>Cliente3-Cliente15</v>
      </c>
      <c r="M290">
        <v>96.576235999999994</v>
      </c>
    </row>
    <row r="291" spans="1:13" x14ac:dyDescent="0.25">
      <c r="A291" s="15" t="s">
        <v>4273</v>
      </c>
      <c r="B291" s="15" t="s">
        <v>4286</v>
      </c>
      <c r="C291" s="54">
        <v>95.506854000000004</v>
      </c>
      <c r="D291" s="26">
        <v>8.3333333333333329E-2</v>
      </c>
      <c r="E291" s="55">
        <v>-22.935320999999998</v>
      </c>
      <c r="F291" s="55">
        <v>-46.896419999999999</v>
      </c>
      <c r="G291" s="55">
        <v>-23.166015999999999</v>
      </c>
      <c r="H291" s="55">
        <v>-46.406891999999999</v>
      </c>
      <c r="I291" s="55">
        <v>-23.221935999999999</v>
      </c>
      <c r="J291" s="55">
        <v>-46.139332000000003</v>
      </c>
      <c r="L291" s="61" t="str">
        <f t="shared" si="5"/>
        <v>Cliente3-Cliente16</v>
      </c>
      <c r="M291">
        <v>95.506854000000004</v>
      </c>
    </row>
    <row r="292" spans="1:13" x14ac:dyDescent="0.25">
      <c r="A292" s="15" t="s">
        <v>4273</v>
      </c>
      <c r="B292" s="15" t="s">
        <v>4287</v>
      </c>
      <c r="C292" s="52">
        <v>96.562566000000004</v>
      </c>
      <c r="D292" s="25">
        <v>8.1944444444444445E-2</v>
      </c>
      <c r="E292" s="53">
        <v>-22.935320999999998</v>
      </c>
      <c r="F292" s="53">
        <v>-46.896419999999999</v>
      </c>
      <c r="G292" s="53">
        <v>-23.166015999999999</v>
      </c>
      <c r="H292" s="53">
        <v>-46.406891999999999</v>
      </c>
      <c r="I292" s="53">
        <v>-23.221935999999999</v>
      </c>
      <c r="J292" s="53">
        <v>-46.139332000000003</v>
      </c>
      <c r="L292" s="61" t="str">
        <f t="shared" si="5"/>
        <v>Cliente3-Cliente17</v>
      </c>
      <c r="M292">
        <v>96.562566000000004</v>
      </c>
    </row>
    <row r="293" spans="1:13" x14ac:dyDescent="0.25">
      <c r="A293" s="15" t="s">
        <v>4273</v>
      </c>
      <c r="B293" s="15" t="s">
        <v>4288</v>
      </c>
      <c r="C293" s="54">
        <v>101.390632</v>
      </c>
      <c r="D293" s="26">
        <v>8.6805555555555566E-2</v>
      </c>
      <c r="E293" s="55">
        <v>-22.933365999999999</v>
      </c>
      <c r="F293" s="55">
        <v>-46.899569999999997</v>
      </c>
      <c r="G293" s="55">
        <v>-23.169851999999999</v>
      </c>
      <c r="H293" s="55">
        <v>-46.440689999999996</v>
      </c>
      <c r="I293" s="55">
        <v>-23.205921</v>
      </c>
      <c r="J293" s="55">
        <v>-46.159602999999997</v>
      </c>
      <c r="L293" s="61" t="str">
        <f t="shared" si="5"/>
        <v>Cliente3-Cliente18</v>
      </c>
      <c r="M293">
        <v>101.390632</v>
      </c>
    </row>
    <row r="294" spans="1:13" x14ac:dyDescent="0.25">
      <c r="A294" s="15" t="s">
        <v>4273</v>
      </c>
      <c r="B294" s="15" t="s">
        <v>4289</v>
      </c>
      <c r="C294" s="52">
        <v>55.587384</v>
      </c>
      <c r="D294" s="25">
        <v>4.9305555555555554E-2</v>
      </c>
      <c r="E294" s="53">
        <v>-23.015834999999999</v>
      </c>
      <c r="F294" s="53">
        <v>-47.085518</v>
      </c>
      <c r="G294" s="53">
        <v>-23.235768</v>
      </c>
      <c r="H294" s="53">
        <v>-46.890993000000002</v>
      </c>
      <c r="I294" s="53">
        <v>-23.364229999999999</v>
      </c>
      <c r="J294" s="53">
        <v>-46.783661000000002</v>
      </c>
      <c r="L294" s="61" t="str">
        <f t="shared" si="5"/>
        <v>Cliente3-Cliente19</v>
      </c>
      <c r="M294">
        <v>55.587384</v>
      </c>
    </row>
    <row r="295" spans="1:13" x14ac:dyDescent="0.25">
      <c r="A295" s="15" t="s">
        <v>4273</v>
      </c>
      <c r="B295" s="15" t="s">
        <v>4290</v>
      </c>
      <c r="C295" s="54">
        <v>57.159457000000003</v>
      </c>
      <c r="D295" s="26">
        <v>5.2777777777777778E-2</v>
      </c>
      <c r="E295" s="55">
        <v>-23.014617999999999</v>
      </c>
      <c r="F295" s="55">
        <v>-47.086092999999998</v>
      </c>
      <c r="G295" s="55">
        <v>-23.256166</v>
      </c>
      <c r="H295" s="55">
        <v>-46.869683999999999</v>
      </c>
      <c r="I295" s="55">
        <v>-23.410412000000001</v>
      </c>
      <c r="J295" s="55">
        <v>-46.767440000000001</v>
      </c>
      <c r="L295" s="61" t="str">
        <f t="shared" si="5"/>
        <v>Cliente3-Cliente20</v>
      </c>
      <c r="M295">
        <v>57.159457000000003</v>
      </c>
    </row>
    <row r="296" spans="1:13" x14ac:dyDescent="0.25">
      <c r="A296" s="15" t="s">
        <v>4273</v>
      </c>
      <c r="B296" s="15" t="s">
        <v>4291</v>
      </c>
      <c r="C296" s="52">
        <v>56.761156999999997</v>
      </c>
      <c r="D296" s="25">
        <v>5.2777777777777778E-2</v>
      </c>
      <c r="E296" s="53">
        <v>-23.017634999999999</v>
      </c>
      <c r="F296" s="53">
        <v>-47.081884000000002</v>
      </c>
      <c r="G296" s="53">
        <v>-23.273250999999998</v>
      </c>
      <c r="H296" s="53">
        <v>-46.854062999999996</v>
      </c>
      <c r="I296" s="53">
        <v>-23.463903999999999</v>
      </c>
      <c r="J296" s="53">
        <v>-46.751894999999998</v>
      </c>
      <c r="L296" s="61" t="str">
        <f t="shared" si="5"/>
        <v>Cliente3-Cliente21</v>
      </c>
      <c r="M296">
        <v>56.761156999999997</v>
      </c>
    </row>
    <row r="297" spans="1:13" x14ac:dyDescent="0.25">
      <c r="A297" s="15" t="s">
        <v>4273</v>
      </c>
      <c r="B297" s="15" t="s">
        <v>4292</v>
      </c>
      <c r="C297" s="54">
        <v>55.884399999999999</v>
      </c>
      <c r="D297" s="26">
        <v>5.2083333333333336E-2</v>
      </c>
      <c r="E297" s="55">
        <v>-23.014471</v>
      </c>
      <c r="F297" s="55">
        <v>-47.085571999999999</v>
      </c>
      <c r="G297" s="55">
        <v>-23.26332</v>
      </c>
      <c r="H297" s="55">
        <v>-46.865354000000004</v>
      </c>
      <c r="I297" s="55">
        <v>-23.424029999999998</v>
      </c>
      <c r="J297" s="55">
        <v>-46.761023999999999</v>
      </c>
      <c r="L297" s="61" t="str">
        <f t="shared" si="5"/>
        <v>Cliente3-Cliente22</v>
      </c>
      <c r="M297">
        <v>55.884399999999999</v>
      </c>
    </row>
    <row r="298" spans="1:13" x14ac:dyDescent="0.25">
      <c r="A298" s="15" t="s">
        <v>4273</v>
      </c>
      <c r="B298" s="15" t="s">
        <v>4293</v>
      </c>
      <c r="C298" s="52">
        <v>65.034734999999998</v>
      </c>
      <c r="D298" s="25">
        <v>5.9722222222222225E-2</v>
      </c>
      <c r="E298" s="53">
        <v>-23.042501999999999</v>
      </c>
      <c r="F298" s="53">
        <v>-47.062494000000001</v>
      </c>
      <c r="G298" s="53">
        <v>-23.312118999999999</v>
      </c>
      <c r="H298" s="53">
        <v>-46.827396999999998</v>
      </c>
      <c r="I298" s="53">
        <v>-23.515146000000001</v>
      </c>
      <c r="J298" s="53">
        <v>-46.816445000000002</v>
      </c>
      <c r="L298" s="61" t="str">
        <f t="shared" si="5"/>
        <v>Cliente3-Cliente23</v>
      </c>
      <c r="M298">
        <v>65.034734999999998</v>
      </c>
    </row>
    <row r="299" spans="1:13" x14ac:dyDescent="0.25">
      <c r="A299" s="15" t="s">
        <v>4273</v>
      </c>
      <c r="B299" s="15" t="s">
        <v>4294</v>
      </c>
      <c r="C299" s="54">
        <v>66.014017999999993</v>
      </c>
      <c r="D299" s="26">
        <v>6.1805555555555558E-2</v>
      </c>
      <c r="E299" s="55">
        <v>-23.043783999999999</v>
      </c>
      <c r="F299" s="55">
        <v>-47.06053</v>
      </c>
      <c r="G299" s="55">
        <v>-23.312888999999998</v>
      </c>
      <c r="H299" s="55">
        <v>-46.825960000000002</v>
      </c>
      <c r="I299" s="55">
        <v>-23.517249</v>
      </c>
      <c r="J299" s="55">
        <v>-46.815629999999999</v>
      </c>
      <c r="L299" s="61" t="str">
        <f t="shared" si="5"/>
        <v>Cliente3-Cliente24</v>
      </c>
      <c r="M299">
        <v>66.014017999999993</v>
      </c>
    </row>
    <row r="300" spans="1:13" x14ac:dyDescent="0.25">
      <c r="A300" s="15" t="s">
        <v>4273</v>
      </c>
      <c r="B300" s="15" t="s">
        <v>4295</v>
      </c>
      <c r="C300" s="52">
        <v>68.834429</v>
      </c>
      <c r="D300" s="25">
        <v>6.3888888888888884E-2</v>
      </c>
      <c r="E300" s="53">
        <v>-23.050087999999999</v>
      </c>
      <c r="F300" s="53">
        <v>-47.052835999999999</v>
      </c>
      <c r="G300" s="53">
        <v>-23.314762999999999</v>
      </c>
      <c r="H300" s="53">
        <v>-46.824364000000003</v>
      </c>
      <c r="I300" s="53">
        <v>-23.531689</v>
      </c>
      <c r="J300" s="53">
        <v>-46.818085000000004</v>
      </c>
      <c r="L300" s="61" t="str">
        <f t="shared" si="5"/>
        <v>Cliente3-Cliente25</v>
      </c>
      <c r="M300">
        <v>68.834429</v>
      </c>
    </row>
    <row r="301" spans="1:13" x14ac:dyDescent="0.25">
      <c r="A301" s="15" t="s">
        <v>4273</v>
      </c>
      <c r="B301" s="15" t="s">
        <v>4296</v>
      </c>
      <c r="C301" s="54">
        <v>60.496850000000002</v>
      </c>
      <c r="D301" s="26">
        <v>5.486111111111111E-2</v>
      </c>
      <c r="E301" s="55">
        <v>-23.037555000000001</v>
      </c>
      <c r="F301" s="55">
        <v>-47.069620999999998</v>
      </c>
      <c r="G301" s="55">
        <v>-23.301579</v>
      </c>
      <c r="H301" s="55">
        <v>-46.840843</v>
      </c>
      <c r="I301" s="55">
        <v>-23.489854000000001</v>
      </c>
      <c r="J301" s="55">
        <v>-46.807833000000002</v>
      </c>
      <c r="L301" s="61" t="str">
        <f t="shared" si="5"/>
        <v>Cliente3-Cliente26</v>
      </c>
      <c r="M301">
        <v>60.496850000000002</v>
      </c>
    </row>
    <row r="302" spans="1:13" x14ac:dyDescent="0.25">
      <c r="A302" s="15" t="s">
        <v>4273</v>
      </c>
      <c r="B302" s="15" t="s">
        <v>4297</v>
      </c>
      <c r="C302" s="52">
        <v>66.813725000000005</v>
      </c>
      <c r="D302" s="25">
        <v>6.25E-2</v>
      </c>
      <c r="E302" s="53">
        <v>-23.050087999999999</v>
      </c>
      <c r="F302" s="53">
        <v>-47.052835999999999</v>
      </c>
      <c r="G302" s="53">
        <v>-23.314762999999999</v>
      </c>
      <c r="H302" s="53">
        <v>-46.824364000000003</v>
      </c>
      <c r="I302" s="53">
        <v>-23.531689</v>
      </c>
      <c r="J302" s="53">
        <v>-46.818085000000004</v>
      </c>
      <c r="L302" s="61" t="str">
        <f t="shared" si="5"/>
        <v>Cliente3-Cliente27</v>
      </c>
      <c r="M302">
        <v>66.813725000000005</v>
      </c>
    </row>
    <row r="303" spans="1:13" x14ac:dyDescent="0.25">
      <c r="A303" s="15" t="s">
        <v>4273</v>
      </c>
      <c r="B303" s="15" t="s">
        <v>4298</v>
      </c>
      <c r="C303" s="54">
        <v>68.145326999999995</v>
      </c>
      <c r="D303" s="26">
        <v>6.8749999999999992E-2</v>
      </c>
      <c r="E303" s="55">
        <v>-23.050087999999999</v>
      </c>
      <c r="F303" s="55">
        <v>-47.052835999999999</v>
      </c>
      <c r="G303" s="55">
        <v>-23.314762999999999</v>
      </c>
      <c r="H303" s="55">
        <v>-46.824364000000003</v>
      </c>
      <c r="I303" s="55">
        <v>-23.517136000000001</v>
      </c>
      <c r="J303" s="55">
        <v>-46.742936999999998</v>
      </c>
      <c r="L303" s="61" t="str">
        <f t="shared" si="5"/>
        <v>Cliente3-Cliente28</v>
      </c>
      <c r="M303">
        <v>68.145326999999995</v>
      </c>
    </row>
    <row r="304" spans="1:13" x14ac:dyDescent="0.25">
      <c r="A304" s="15" t="s">
        <v>4273</v>
      </c>
      <c r="B304" s="15" t="s">
        <v>4299</v>
      </c>
      <c r="C304" s="52">
        <v>70.407745000000006</v>
      </c>
      <c r="D304" s="25">
        <v>7.2916666666666671E-2</v>
      </c>
      <c r="E304" s="53">
        <v>-23.057896</v>
      </c>
      <c r="F304" s="53">
        <v>-47.044542</v>
      </c>
      <c r="G304" s="53">
        <v>-23.335425999999998</v>
      </c>
      <c r="H304" s="53">
        <v>-46.822848999999998</v>
      </c>
      <c r="I304" s="53">
        <v>-23.518592000000002</v>
      </c>
      <c r="J304" s="53">
        <v>-46.646841000000002</v>
      </c>
      <c r="L304" s="61" t="str">
        <f t="shared" si="5"/>
        <v>Cliente3-Cliente29</v>
      </c>
      <c r="M304">
        <v>70.407745000000006</v>
      </c>
    </row>
    <row r="305" spans="1:13" x14ac:dyDescent="0.25">
      <c r="A305" s="15" t="s">
        <v>4273</v>
      </c>
      <c r="B305" s="15" t="s">
        <v>4300</v>
      </c>
      <c r="C305" s="54">
        <v>74.467173000000003</v>
      </c>
      <c r="D305" s="26">
        <v>8.1944444444444445E-2</v>
      </c>
      <c r="E305" s="55">
        <v>-23.095649999999999</v>
      </c>
      <c r="F305" s="55">
        <v>-47.016477999999999</v>
      </c>
      <c r="G305" s="55">
        <v>-23.363346</v>
      </c>
      <c r="H305" s="55">
        <v>-46.783973000000003</v>
      </c>
      <c r="I305" s="55">
        <v>-23.563883000000001</v>
      </c>
      <c r="J305" s="55">
        <v>-46.611609000000001</v>
      </c>
      <c r="L305" s="61" t="str">
        <f t="shared" si="5"/>
        <v>Cliente3-Cliente30</v>
      </c>
      <c r="M305">
        <v>74.467173000000003</v>
      </c>
    </row>
    <row r="306" spans="1:13" x14ac:dyDescent="0.25">
      <c r="A306" s="15" t="s">
        <v>4273</v>
      </c>
      <c r="B306" s="15" t="s">
        <v>4301</v>
      </c>
      <c r="C306" s="52">
        <v>59.869884999999996</v>
      </c>
      <c r="D306" s="25">
        <v>5.7638888888888885E-2</v>
      </c>
      <c r="E306" s="53">
        <v>-23.037555000000001</v>
      </c>
      <c r="F306" s="53">
        <v>-47.069620999999998</v>
      </c>
      <c r="G306" s="53">
        <v>-23.301579</v>
      </c>
      <c r="H306" s="53">
        <v>-46.840843</v>
      </c>
      <c r="I306" s="53">
        <v>-23.506661000000001</v>
      </c>
      <c r="J306" s="53">
        <v>-46.722285999999997</v>
      </c>
      <c r="L306" s="61" t="str">
        <f t="shared" si="5"/>
        <v>Cliente3-Cliente31</v>
      </c>
      <c r="M306">
        <v>59.869884999999996</v>
      </c>
    </row>
    <row r="307" spans="1:13" x14ac:dyDescent="0.25">
      <c r="A307" s="15" t="s">
        <v>4273</v>
      </c>
      <c r="B307" s="15" t="s">
        <v>4302</v>
      </c>
      <c r="C307" s="54">
        <v>55.333241999999998</v>
      </c>
      <c r="D307" s="26">
        <v>5.347222222222222E-2</v>
      </c>
      <c r="E307" s="55">
        <v>-23.036733000000002</v>
      </c>
      <c r="F307" s="55">
        <v>-47.070115999999999</v>
      </c>
      <c r="G307" s="55">
        <v>-23.295711000000001</v>
      </c>
      <c r="H307" s="55">
        <v>-46.841707999999997</v>
      </c>
      <c r="I307" s="55">
        <v>-23.454841999999999</v>
      </c>
      <c r="J307" s="55">
        <v>-46.785972000000001</v>
      </c>
      <c r="L307" s="61" t="str">
        <f t="shared" si="5"/>
        <v>Cliente3-Cliente32</v>
      </c>
      <c r="M307">
        <v>55.333241999999998</v>
      </c>
    </row>
    <row r="308" spans="1:13" x14ac:dyDescent="0.25">
      <c r="A308" s="15" t="s">
        <v>4273</v>
      </c>
      <c r="B308" s="15" t="s">
        <v>4303</v>
      </c>
      <c r="C308" s="52">
        <v>68.490809999999996</v>
      </c>
      <c r="D308" s="25">
        <v>6.5972222222222224E-2</v>
      </c>
      <c r="E308" s="53">
        <v>-23.043783999999999</v>
      </c>
      <c r="F308" s="53">
        <v>-47.06053</v>
      </c>
      <c r="G308" s="53">
        <v>-23.312888999999998</v>
      </c>
      <c r="H308" s="53">
        <v>-46.825960000000002</v>
      </c>
      <c r="I308" s="53">
        <v>-23.508607999999999</v>
      </c>
      <c r="J308" s="53">
        <v>-46.694470000000003</v>
      </c>
      <c r="L308" s="61" t="str">
        <f t="shared" si="5"/>
        <v>Cliente3-Cliente33</v>
      </c>
      <c r="M308">
        <v>68.490809999999996</v>
      </c>
    </row>
    <row r="309" spans="1:13" x14ac:dyDescent="0.25">
      <c r="A309" s="15" t="s">
        <v>4273</v>
      </c>
      <c r="B309" s="15" t="s">
        <v>4304</v>
      </c>
      <c r="C309" s="54">
        <v>47.968733</v>
      </c>
      <c r="D309" s="26">
        <v>5.347222222222222E-2</v>
      </c>
      <c r="E309" s="55">
        <v>-23.143591000000001</v>
      </c>
      <c r="F309" s="55">
        <v>-46.939709999999998</v>
      </c>
      <c r="G309" s="55">
        <v>-23.323215999999999</v>
      </c>
      <c r="H309" s="55">
        <v>-46.847434999999997</v>
      </c>
      <c r="I309" s="55">
        <v>-23.422488999999999</v>
      </c>
      <c r="J309" s="55">
        <v>-46.824627999999997</v>
      </c>
      <c r="L309" s="61" t="str">
        <f t="shared" si="5"/>
        <v>Cliente3-Cliente34</v>
      </c>
      <c r="M309">
        <v>47.968733</v>
      </c>
    </row>
    <row r="310" spans="1:13" x14ac:dyDescent="0.25">
      <c r="A310" s="15" t="s">
        <v>4273</v>
      </c>
      <c r="B310" s="15" t="s">
        <v>4305</v>
      </c>
      <c r="C310" s="52">
        <v>48.500627999999999</v>
      </c>
      <c r="D310" s="25">
        <v>5.486111111111111E-2</v>
      </c>
      <c r="E310" s="53">
        <v>-23.156952</v>
      </c>
      <c r="F310" s="53">
        <v>-46.933937999999998</v>
      </c>
      <c r="G310" s="53">
        <v>-23.327673000000001</v>
      </c>
      <c r="H310" s="53">
        <v>-46.839582999999998</v>
      </c>
      <c r="I310" s="53">
        <v>-23.425453000000001</v>
      </c>
      <c r="J310" s="53">
        <v>-46.829047000000003</v>
      </c>
      <c r="L310" s="61" t="str">
        <f t="shared" si="5"/>
        <v>Cliente3-Cliente35</v>
      </c>
      <c r="M310">
        <v>48.500627999999999</v>
      </c>
    </row>
    <row r="311" spans="1:13" x14ac:dyDescent="0.25">
      <c r="A311" s="15" t="s">
        <v>4273</v>
      </c>
      <c r="B311" s="15" t="s">
        <v>4306</v>
      </c>
      <c r="C311" s="54">
        <v>93.381759000000002</v>
      </c>
      <c r="D311" s="26">
        <v>8.3333333333333329E-2</v>
      </c>
      <c r="E311" s="55">
        <v>-22.868006000000001</v>
      </c>
      <c r="F311" s="55">
        <v>-47.131413000000002</v>
      </c>
      <c r="G311" s="55">
        <v>-22.559887</v>
      </c>
      <c r="H311" s="55">
        <v>-47.366543999999998</v>
      </c>
      <c r="I311" s="55">
        <v>-22.311883000000002</v>
      </c>
      <c r="J311" s="55">
        <v>-47.666348999999997</v>
      </c>
      <c r="L311" s="61" t="str">
        <f t="shared" si="5"/>
        <v>Cliente3-Cliente36</v>
      </c>
      <c r="M311">
        <v>93.381759000000002</v>
      </c>
    </row>
    <row r="312" spans="1:13" x14ac:dyDescent="0.25">
      <c r="A312" s="15" t="s">
        <v>4273</v>
      </c>
      <c r="B312" s="15" t="s">
        <v>4307</v>
      </c>
      <c r="C312" s="52">
        <v>92.285036000000005</v>
      </c>
      <c r="D312" s="25">
        <v>8.1944444444444445E-2</v>
      </c>
      <c r="E312" s="53">
        <v>-22.859562</v>
      </c>
      <c r="F312" s="53">
        <v>-47.143931000000002</v>
      </c>
      <c r="G312" s="53">
        <v>-22.519418999999999</v>
      </c>
      <c r="H312" s="53">
        <v>-47.393290999999998</v>
      </c>
      <c r="I312" s="53">
        <v>-22.289000999999999</v>
      </c>
      <c r="J312" s="53">
        <v>-47.676676999999998</v>
      </c>
      <c r="L312" s="61" t="str">
        <f t="shared" si="5"/>
        <v>Cliente3-Cliente37</v>
      </c>
      <c r="M312">
        <v>92.285036000000005</v>
      </c>
    </row>
    <row r="313" spans="1:13" x14ac:dyDescent="0.25">
      <c r="A313" s="15" t="s">
        <v>4273</v>
      </c>
      <c r="B313" s="15" t="s">
        <v>4308</v>
      </c>
      <c r="C313" s="54">
        <v>90.508531000000005</v>
      </c>
      <c r="D313" s="26">
        <v>7.9861111111111105E-2</v>
      </c>
      <c r="E313" s="55">
        <v>-22.88111</v>
      </c>
      <c r="F313" s="55">
        <v>-47.116847</v>
      </c>
      <c r="G313" s="55">
        <v>-22.564349</v>
      </c>
      <c r="H313" s="55">
        <v>-47.365664000000002</v>
      </c>
      <c r="I313" s="55">
        <v>-22.321210000000001</v>
      </c>
      <c r="J313" s="55">
        <v>-47.656945</v>
      </c>
      <c r="L313" s="61" t="str">
        <f t="shared" si="5"/>
        <v>Cliente3-Cliente38</v>
      </c>
      <c r="M313">
        <v>90.508531000000005</v>
      </c>
    </row>
    <row r="314" spans="1:13" x14ac:dyDescent="0.25">
      <c r="A314" s="15" t="s">
        <v>4273</v>
      </c>
      <c r="B314" s="15" t="s">
        <v>4309</v>
      </c>
      <c r="C314" s="52">
        <v>122.396759</v>
      </c>
      <c r="D314" s="25">
        <v>0.10625</v>
      </c>
      <c r="E314" s="53">
        <v>-22.947379000000002</v>
      </c>
      <c r="F314" s="53">
        <v>-46.870196999999997</v>
      </c>
      <c r="G314" s="53">
        <v>-23.176805000000002</v>
      </c>
      <c r="H314" s="53">
        <v>-46.381324999999997</v>
      </c>
      <c r="I314" s="53">
        <v>-23.259017</v>
      </c>
      <c r="J314" s="53">
        <v>-46.093733</v>
      </c>
      <c r="L314" s="61" t="str">
        <f t="shared" si="5"/>
        <v>Cliente3-Cliente39</v>
      </c>
      <c r="M314">
        <v>122.396759</v>
      </c>
    </row>
    <row r="315" spans="1:13" x14ac:dyDescent="0.25">
      <c r="A315" s="15" t="s">
        <v>4273</v>
      </c>
      <c r="B315" s="15" t="s">
        <v>4310</v>
      </c>
      <c r="C315" s="54">
        <v>123.958269</v>
      </c>
      <c r="D315" s="26">
        <v>0.10972222222222222</v>
      </c>
      <c r="E315" s="55">
        <v>-22.954253999999999</v>
      </c>
      <c r="F315" s="55">
        <v>-46.859864000000002</v>
      </c>
      <c r="G315" s="55">
        <v>-23.185502</v>
      </c>
      <c r="H315" s="55">
        <v>-46.370032999999999</v>
      </c>
      <c r="I315" s="55">
        <v>-23.249047000000001</v>
      </c>
      <c r="J315" s="55">
        <v>-46.084896000000001</v>
      </c>
      <c r="L315" s="61" t="str">
        <f t="shared" si="5"/>
        <v>Cliente3-Cliente40</v>
      </c>
      <c r="M315">
        <v>123.958269</v>
      </c>
    </row>
    <row r="316" spans="1:13" x14ac:dyDescent="0.25">
      <c r="A316" s="15" t="s">
        <v>4273</v>
      </c>
      <c r="B316" s="15" t="s">
        <v>4311</v>
      </c>
      <c r="C316" s="52">
        <v>113.252016</v>
      </c>
      <c r="D316" s="25">
        <v>9.9999999999999992E-2</v>
      </c>
      <c r="E316" s="53">
        <v>-22.948504</v>
      </c>
      <c r="F316" s="53">
        <v>-46.868555999999998</v>
      </c>
      <c r="G316" s="53">
        <v>-23.178412000000002</v>
      </c>
      <c r="H316" s="53">
        <v>-46.378224000000003</v>
      </c>
      <c r="I316" s="53">
        <v>-23.257635000000001</v>
      </c>
      <c r="J316" s="53">
        <v>-46.090425000000003</v>
      </c>
      <c r="L316" s="61" t="str">
        <f t="shared" si="5"/>
        <v>Cliente3-Cliente41</v>
      </c>
      <c r="M316">
        <v>113.252016</v>
      </c>
    </row>
    <row r="317" spans="1:13" x14ac:dyDescent="0.25">
      <c r="A317" s="15" t="s">
        <v>4273</v>
      </c>
      <c r="B317" s="15" t="s">
        <v>4312</v>
      </c>
      <c r="C317" s="54">
        <v>109.964333</v>
      </c>
      <c r="D317" s="26">
        <v>9.3055555555555558E-2</v>
      </c>
      <c r="E317" s="55">
        <v>-22.933365999999999</v>
      </c>
      <c r="F317" s="55">
        <v>-46.899569999999997</v>
      </c>
      <c r="G317" s="55">
        <v>-23.169851999999999</v>
      </c>
      <c r="H317" s="55">
        <v>-46.440689999999996</v>
      </c>
      <c r="I317" s="55">
        <v>-23.205921</v>
      </c>
      <c r="J317" s="55">
        <v>-46.159602999999997</v>
      </c>
      <c r="L317" s="61" t="str">
        <f t="shared" si="5"/>
        <v>Cliente3-Cliente42</v>
      </c>
      <c r="M317">
        <v>109.964333</v>
      </c>
    </row>
    <row r="318" spans="1:13" x14ac:dyDescent="0.25">
      <c r="A318" s="15" t="s">
        <v>4273</v>
      </c>
      <c r="B318" s="15" t="s">
        <v>4313</v>
      </c>
      <c r="C318" s="52">
        <v>128.63844800000001</v>
      </c>
      <c r="D318" s="25">
        <v>0.11180555555555556</v>
      </c>
      <c r="E318" s="53">
        <v>-22.974385999999999</v>
      </c>
      <c r="F318" s="53">
        <v>-46.835890999999997</v>
      </c>
      <c r="G318" s="53">
        <v>-23.193773</v>
      </c>
      <c r="H318" s="53">
        <v>-46.348098999999998</v>
      </c>
      <c r="I318" s="53">
        <v>-23.272528999999999</v>
      </c>
      <c r="J318" s="53">
        <v>-46.057119</v>
      </c>
      <c r="L318" s="61" t="str">
        <f t="shared" si="5"/>
        <v>Cliente3-Cliente43</v>
      </c>
      <c r="M318">
        <v>128.63844800000001</v>
      </c>
    </row>
    <row r="319" spans="1:13" x14ac:dyDescent="0.25">
      <c r="A319" s="15" t="s">
        <v>4273</v>
      </c>
      <c r="B319" s="15" t="s">
        <v>4314</v>
      </c>
      <c r="C319" s="54">
        <v>68.904644000000005</v>
      </c>
      <c r="D319" s="26">
        <v>6.25E-2</v>
      </c>
      <c r="E319" s="55">
        <v>-23.012001999999999</v>
      </c>
      <c r="F319" s="55">
        <v>-47.084690000000002</v>
      </c>
      <c r="G319" s="55">
        <v>-23.178360999999999</v>
      </c>
      <c r="H319" s="55">
        <v>-47.274535999999998</v>
      </c>
      <c r="I319" s="55">
        <v>-23.342914</v>
      </c>
      <c r="J319" s="55">
        <v>-47.529488000000001</v>
      </c>
      <c r="L319" s="61" t="str">
        <f t="shared" si="5"/>
        <v>Cliente3-Cliente44</v>
      </c>
      <c r="M319">
        <v>68.904644000000005</v>
      </c>
    </row>
    <row r="320" spans="1:13" x14ac:dyDescent="0.25">
      <c r="A320" s="15" t="s">
        <v>4273</v>
      </c>
      <c r="B320" s="15" t="s">
        <v>4315</v>
      </c>
      <c r="C320" s="52">
        <v>60.383760000000002</v>
      </c>
      <c r="D320" s="25">
        <v>6.1805555555555558E-2</v>
      </c>
      <c r="E320" s="53">
        <v>-23.012422999999998</v>
      </c>
      <c r="F320" s="53">
        <v>-47.084874999999997</v>
      </c>
      <c r="G320" s="53">
        <v>-23.179463999999999</v>
      </c>
      <c r="H320" s="53">
        <v>-47.277175</v>
      </c>
      <c r="I320" s="53">
        <v>-23.481904</v>
      </c>
      <c r="J320" s="53">
        <v>-47.451154000000002</v>
      </c>
      <c r="L320" s="61" t="str">
        <f t="shared" si="5"/>
        <v>Cliente3-Cliente45</v>
      </c>
      <c r="M320">
        <v>60.383760000000002</v>
      </c>
    </row>
    <row r="321" spans="1:13" x14ac:dyDescent="0.25">
      <c r="A321" s="15" t="s">
        <v>4273</v>
      </c>
      <c r="B321" s="15" t="s">
        <v>4316</v>
      </c>
      <c r="C321" s="54">
        <v>57.678303</v>
      </c>
      <c r="D321" s="26">
        <v>5.5555555555555552E-2</v>
      </c>
      <c r="E321" s="55">
        <v>-22.993047000000001</v>
      </c>
      <c r="F321" s="55">
        <v>-47.071345999999998</v>
      </c>
      <c r="G321" s="55">
        <v>-23.062950000000001</v>
      </c>
      <c r="H321" s="55">
        <v>-47.155023</v>
      </c>
      <c r="I321" s="55">
        <v>-23.337301</v>
      </c>
      <c r="J321" s="55">
        <v>-47.324305000000003</v>
      </c>
      <c r="L321" s="61" t="str">
        <f t="shared" si="5"/>
        <v>Cliente3-Cliente46</v>
      </c>
      <c r="M321">
        <v>57.678303</v>
      </c>
    </row>
    <row r="322" spans="1:13" x14ac:dyDescent="0.25">
      <c r="A322" s="15" t="s">
        <v>4273</v>
      </c>
      <c r="B322" s="15" t="s">
        <v>4317</v>
      </c>
      <c r="C322" s="52">
        <v>139.83806999999999</v>
      </c>
      <c r="D322" s="25">
        <v>0.1173611111111111</v>
      </c>
      <c r="E322" s="53">
        <v>-22.846948000000001</v>
      </c>
      <c r="F322" s="53">
        <v>-47.163558999999999</v>
      </c>
      <c r="G322" s="53">
        <v>-22.453492000000001</v>
      </c>
      <c r="H322" s="53">
        <v>-47.398679999999999</v>
      </c>
      <c r="I322" s="53">
        <v>-21.73789</v>
      </c>
      <c r="J322" s="53">
        <v>-47.581871999999997</v>
      </c>
      <c r="L322" s="61" t="str">
        <f t="shared" si="5"/>
        <v>Cliente3-Cliente47</v>
      </c>
      <c r="M322">
        <v>139.83806999999999</v>
      </c>
    </row>
    <row r="323" spans="1:13" x14ac:dyDescent="0.25">
      <c r="A323" s="15" t="s">
        <v>4273</v>
      </c>
      <c r="B323" s="15" t="s">
        <v>4318</v>
      </c>
      <c r="C323" s="54">
        <v>148.94925900000001</v>
      </c>
      <c r="D323" s="26">
        <v>0.12569444444444444</v>
      </c>
      <c r="E323" s="55">
        <v>-22.774830999999999</v>
      </c>
      <c r="F323" s="55">
        <v>-47.234921999999997</v>
      </c>
      <c r="G323" s="55">
        <v>-22.331306000000001</v>
      </c>
      <c r="H323" s="55">
        <v>-47.388916000000002</v>
      </c>
      <c r="I323" s="55">
        <v>-21.357877999999999</v>
      </c>
      <c r="J323" s="55">
        <v>-47.722625999999998</v>
      </c>
      <c r="L323" s="61" t="str">
        <f t="shared" si="5"/>
        <v>Cliente3-Cliente48</v>
      </c>
      <c r="M323">
        <v>148.94925900000001</v>
      </c>
    </row>
    <row r="324" spans="1:13" x14ac:dyDescent="0.25">
      <c r="A324" s="15" t="s">
        <v>4273</v>
      </c>
      <c r="B324" s="15" t="s">
        <v>4319</v>
      </c>
      <c r="C324" s="52">
        <v>142.58702299999999</v>
      </c>
      <c r="D324" s="25">
        <v>0.12152777777777778</v>
      </c>
      <c r="E324" s="53">
        <v>-22.810801000000001</v>
      </c>
      <c r="F324" s="53">
        <v>-47.212681000000003</v>
      </c>
      <c r="G324" s="53">
        <v>-22.360797000000002</v>
      </c>
      <c r="H324" s="53">
        <v>-47.394530000000003</v>
      </c>
      <c r="I324" s="53">
        <v>-21.422754999999999</v>
      </c>
      <c r="J324" s="53">
        <v>-47.657657</v>
      </c>
      <c r="L324" s="61" t="str">
        <f t="shared" si="5"/>
        <v>Cliente3-Cliente49</v>
      </c>
      <c r="M324">
        <v>142.58702299999999</v>
      </c>
    </row>
    <row r="325" spans="1:13" x14ac:dyDescent="0.25">
      <c r="A325" s="15" t="s">
        <v>4273</v>
      </c>
      <c r="B325" s="15" t="s">
        <v>4320</v>
      </c>
      <c r="C325" s="54">
        <v>167.344999</v>
      </c>
      <c r="D325" s="26">
        <v>0.14444444444444446</v>
      </c>
      <c r="E325" s="55">
        <v>-22.692008999999999</v>
      </c>
      <c r="F325" s="55">
        <v>-47.311019999999999</v>
      </c>
      <c r="G325" s="55">
        <v>-22.274875000000002</v>
      </c>
      <c r="H325" s="55">
        <v>-47.697588000000003</v>
      </c>
      <c r="I325" s="55">
        <v>-22.247857</v>
      </c>
      <c r="J325" s="55">
        <v>-48.347951000000002</v>
      </c>
      <c r="L325" s="61" t="str">
        <f t="shared" si="5"/>
        <v>Cliente3-Cliente50</v>
      </c>
      <c r="M325">
        <v>167.344999</v>
      </c>
    </row>
    <row r="326" spans="1:13" x14ac:dyDescent="0.25">
      <c r="A326" s="15" t="s">
        <v>4273</v>
      </c>
      <c r="B326" s="15" t="s">
        <v>4321</v>
      </c>
      <c r="C326" s="52">
        <v>167.16417899999999</v>
      </c>
      <c r="D326" s="25">
        <v>0.14305555555555557</v>
      </c>
      <c r="E326" s="53">
        <v>-22.694732999999999</v>
      </c>
      <c r="F326" s="53">
        <v>-47.310473000000002</v>
      </c>
      <c r="G326" s="53">
        <v>-22.277553999999999</v>
      </c>
      <c r="H326" s="53">
        <v>-47.694482999999998</v>
      </c>
      <c r="I326" s="53">
        <v>-22.249663999999999</v>
      </c>
      <c r="J326" s="53">
        <v>-48.337876000000001</v>
      </c>
      <c r="L326" s="61" t="str">
        <f t="shared" si="5"/>
        <v>Cliente3-Cliente51</v>
      </c>
      <c r="M326">
        <v>167.16417899999999</v>
      </c>
    </row>
    <row r="327" spans="1:13" x14ac:dyDescent="0.25">
      <c r="A327" s="15" t="s">
        <v>4274</v>
      </c>
      <c r="B327" s="15" t="s">
        <v>4268</v>
      </c>
      <c r="C327" s="54">
        <v>41.558650999999998</v>
      </c>
      <c r="D327" s="26">
        <v>3.5416666666666666E-2</v>
      </c>
      <c r="E327" s="55">
        <v>-22.864695000000001</v>
      </c>
      <c r="F327" s="55">
        <v>-47.13552</v>
      </c>
      <c r="G327" s="55">
        <v>-22.991123000000002</v>
      </c>
      <c r="H327" s="55">
        <v>-47.111469999999997</v>
      </c>
      <c r="I327" s="55">
        <v>-23.179634</v>
      </c>
      <c r="J327" s="55">
        <v>-47.278212000000003</v>
      </c>
      <c r="L327" s="61" t="str">
        <f t="shared" si="5"/>
        <v>Cliente4-depósito A</v>
      </c>
      <c r="M327">
        <v>41.558650999999998</v>
      </c>
    </row>
    <row r="328" spans="1:13" x14ac:dyDescent="0.25">
      <c r="A328" s="15" t="s">
        <v>4274</v>
      </c>
      <c r="B328" s="15" t="s">
        <v>4269</v>
      </c>
      <c r="C328" s="52">
        <v>109.73691100000001</v>
      </c>
      <c r="D328" s="25">
        <v>8.8888888888888892E-2</v>
      </c>
      <c r="E328" s="53">
        <v>-22.716018999999999</v>
      </c>
      <c r="F328" s="53">
        <v>-47.295720000000003</v>
      </c>
      <c r="G328" s="53">
        <v>-22.461713</v>
      </c>
      <c r="H328" s="53">
        <v>-47.534024000000002</v>
      </c>
      <c r="I328" s="53">
        <v>-22.276744999999998</v>
      </c>
      <c r="J328" s="53">
        <v>-47.696308000000002</v>
      </c>
      <c r="L328" s="61" t="str">
        <f t="shared" si="5"/>
        <v>Cliente4-depósito B</v>
      </c>
      <c r="M328">
        <v>109.73691100000001</v>
      </c>
    </row>
    <row r="329" spans="1:13" x14ac:dyDescent="0.25">
      <c r="A329" s="15" t="s">
        <v>4274</v>
      </c>
      <c r="B329" s="15" t="s">
        <v>4270</v>
      </c>
      <c r="C329" s="54">
        <v>90.291672000000005</v>
      </c>
      <c r="D329" s="26">
        <v>7.4999999999999997E-2</v>
      </c>
      <c r="E329" s="55">
        <v>-22.965029000000001</v>
      </c>
      <c r="F329" s="55">
        <v>-46.843806999999998</v>
      </c>
      <c r="G329" s="55">
        <v>-23.165773999999999</v>
      </c>
      <c r="H329" s="55">
        <v>-46.404429999999998</v>
      </c>
      <c r="I329" s="55">
        <v>-23.204423999999999</v>
      </c>
      <c r="J329" s="55">
        <v>-46.161239999999999</v>
      </c>
      <c r="L329" s="61" t="str">
        <f t="shared" si="5"/>
        <v>Cliente4-depósito C</v>
      </c>
      <c r="M329">
        <v>90.291672000000005</v>
      </c>
    </row>
    <row r="330" spans="1:13" x14ac:dyDescent="0.25">
      <c r="A330" s="15" t="s">
        <v>4274</v>
      </c>
      <c r="B330" s="15" t="s">
        <v>4271</v>
      </c>
      <c r="C330" s="52">
        <v>13.155704</v>
      </c>
      <c r="D330" s="25">
        <v>1.5277777777777777E-2</v>
      </c>
      <c r="E330" s="53">
        <v>-22.845749999999999</v>
      </c>
      <c r="F330" s="53">
        <v>-47.080047999999998</v>
      </c>
      <c r="G330" s="53">
        <v>-22.895976000000001</v>
      </c>
      <c r="H330" s="53">
        <v>-47.007337</v>
      </c>
      <c r="I330" s="53">
        <v>-22.936547000000001</v>
      </c>
      <c r="J330" s="53">
        <v>-47.010325000000002</v>
      </c>
      <c r="L330" s="61" t="str">
        <f t="shared" si="5"/>
        <v>Cliente4-Cliente1</v>
      </c>
      <c r="M330">
        <v>13.155704</v>
      </c>
    </row>
    <row r="331" spans="1:13" x14ac:dyDescent="0.25">
      <c r="A331" s="15" t="s">
        <v>4274</v>
      </c>
      <c r="B331" s="15" t="s">
        <v>4272</v>
      </c>
      <c r="C331" s="54">
        <v>4.812532</v>
      </c>
      <c r="D331" s="26">
        <v>8.3333333333333332E-3</v>
      </c>
      <c r="E331" s="55">
        <v>-22.840575000000001</v>
      </c>
      <c r="F331" s="55">
        <v>-47.079901</v>
      </c>
      <c r="G331" s="55">
        <v>-22.873018999999999</v>
      </c>
      <c r="H331" s="55">
        <v>-47.068744000000002</v>
      </c>
      <c r="I331" s="55">
        <v>-22.886973000000001</v>
      </c>
      <c r="J331" s="55">
        <v>-47.059455</v>
      </c>
      <c r="L331" s="61" t="str">
        <f t="shared" si="5"/>
        <v>Cliente4-Cliente2</v>
      </c>
      <c r="M331">
        <v>4.812532</v>
      </c>
    </row>
    <row r="332" spans="1:13" x14ac:dyDescent="0.25">
      <c r="A332" s="15" t="s">
        <v>4274</v>
      </c>
      <c r="B332" s="15" t="s">
        <v>4273</v>
      </c>
      <c r="C332" s="52">
        <v>10.019634999999999</v>
      </c>
      <c r="D332" s="25">
        <v>1.5972222222222224E-2</v>
      </c>
      <c r="E332" s="53">
        <v>-22.843230999999999</v>
      </c>
      <c r="F332" s="53">
        <v>-47.062080000000002</v>
      </c>
      <c r="G332" s="53">
        <v>-22.877272000000001</v>
      </c>
      <c r="H332" s="53">
        <v>-47.043965999999998</v>
      </c>
      <c r="I332" s="53">
        <v>-22.912834</v>
      </c>
      <c r="J332" s="53">
        <v>-47.045200999999999</v>
      </c>
      <c r="L332" s="61" t="str">
        <f t="shared" si="5"/>
        <v>Cliente4-Cliente3</v>
      </c>
      <c r="M332">
        <v>10.019634999999999</v>
      </c>
    </row>
    <row r="333" spans="1:13" x14ac:dyDescent="0.25">
      <c r="A333" s="15" t="s">
        <v>4274</v>
      </c>
      <c r="B333" s="15" t="s">
        <v>4274</v>
      </c>
      <c r="C333" s="54">
        <v>0</v>
      </c>
      <c r="D333" s="26">
        <v>0</v>
      </c>
      <c r="E333" s="55">
        <f>'1. Locais'!D8</f>
        <v>-22.833089999999999</v>
      </c>
      <c r="F333" s="55">
        <f>'1. Locais'!E8</f>
        <v>-47.079430000000002</v>
      </c>
      <c r="G333" s="55">
        <f>'1. Locais'!D8</f>
        <v>-22.833089999999999</v>
      </c>
      <c r="H333" s="55">
        <f>'1. Locais'!E8</f>
        <v>-47.079430000000002</v>
      </c>
      <c r="I333" s="55">
        <f>'1. Locais'!D8</f>
        <v>-22.833089999999999</v>
      </c>
      <c r="J333" s="55">
        <f>'1. Locais'!E8</f>
        <v>-47.079430000000002</v>
      </c>
      <c r="L333" s="61" t="str">
        <f t="shared" si="5"/>
        <v>Cliente4-Cliente4</v>
      </c>
      <c r="M333">
        <v>0</v>
      </c>
    </row>
    <row r="334" spans="1:13" x14ac:dyDescent="0.25">
      <c r="A334" s="15" t="s">
        <v>4274</v>
      </c>
      <c r="B334" s="15" t="s">
        <v>4275</v>
      </c>
      <c r="C334" s="52">
        <v>1.3545929999999999</v>
      </c>
      <c r="D334" s="25">
        <v>4.1666666666666666E-3</v>
      </c>
      <c r="E334" s="53">
        <v>-22.834603000000001</v>
      </c>
      <c r="F334" s="53">
        <v>-47.079320000000003</v>
      </c>
      <c r="G334" s="53">
        <v>-22.834463</v>
      </c>
      <c r="H334" s="53">
        <v>-47.078854</v>
      </c>
      <c r="I334" s="53">
        <v>-22.833297999999999</v>
      </c>
      <c r="J334" s="53">
        <v>-47.077373000000001</v>
      </c>
      <c r="L334" s="61" t="str">
        <f t="shared" si="5"/>
        <v>Cliente4-Cliente5</v>
      </c>
      <c r="M334">
        <v>1.3545929999999999</v>
      </c>
    </row>
    <row r="335" spans="1:13" x14ac:dyDescent="0.25">
      <c r="A335" s="15" t="s">
        <v>4274</v>
      </c>
      <c r="B335" s="15" t="s">
        <v>4276</v>
      </c>
      <c r="C335" s="54">
        <v>14.719699</v>
      </c>
      <c r="D335" s="26">
        <v>1.5972222222222224E-2</v>
      </c>
      <c r="E335" s="55">
        <v>-22.842707000000001</v>
      </c>
      <c r="F335" s="55">
        <v>-47.057498000000002</v>
      </c>
      <c r="G335" s="55">
        <v>-22.91104</v>
      </c>
      <c r="H335" s="55">
        <v>-47.010893000000003</v>
      </c>
      <c r="I335" s="55">
        <v>-22.955295</v>
      </c>
      <c r="J335" s="55">
        <v>-47.023595</v>
      </c>
      <c r="L335" s="61" t="str">
        <f t="shared" si="5"/>
        <v>Cliente4-Cliente6</v>
      </c>
      <c r="M335">
        <v>14.719699</v>
      </c>
    </row>
    <row r="336" spans="1:13" x14ac:dyDescent="0.25">
      <c r="A336" s="15" t="s">
        <v>4274</v>
      </c>
      <c r="B336" s="15" t="s">
        <v>4277</v>
      </c>
      <c r="C336" s="52">
        <v>14.192774999999999</v>
      </c>
      <c r="D336" s="25">
        <v>1.5972222222222224E-2</v>
      </c>
      <c r="E336" s="53">
        <v>-22.855598000000001</v>
      </c>
      <c r="F336" s="53">
        <v>-47.134247999999999</v>
      </c>
      <c r="G336" s="53">
        <v>-22.869751999999998</v>
      </c>
      <c r="H336" s="53">
        <v>-47.129627999999997</v>
      </c>
      <c r="I336" s="53">
        <v>-22.931429000000001</v>
      </c>
      <c r="J336" s="53">
        <v>-47.076799999999999</v>
      </c>
      <c r="L336" s="61" t="str">
        <f t="shared" si="5"/>
        <v>Cliente4-Cliente7</v>
      </c>
      <c r="M336">
        <v>14.192774999999999</v>
      </c>
    </row>
    <row r="337" spans="1:13" x14ac:dyDescent="0.25">
      <c r="A337" s="15" t="s">
        <v>4274</v>
      </c>
      <c r="B337" s="15" t="s">
        <v>4278</v>
      </c>
      <c r="C337" s="54">
        <v>13.193607</v>
      </c>
      <c r="D337" s="26">
        <v>1.5277777777777777E-2</v>
      </c>
      <c r="E337" s="55">
        <v>-22.845749999999999</v>
      </c>
      <c r="F337" s="55">
        <v>-47.080047999999998</v>
      </c>
      <c r="G337" s="55">
        <v>-22.897587999999999</v>
      </c>
      <c r="H337" s="55">
        <v>-47.005780000000001</v>
      </c>
      <c r="I337" s="55">
        <v>-22.897300000000001</v>
      </c>
      <c r="J337" s="55">
        <v>-47.004358000000003</v>
      </c>
      <c r="L337" s="61" t="str">
        <f t="shared" si="5"/>
        <v>Cliente4-Cliente8</v>
      </c>
      <c r="M337">
        <v>13.193607</v>
      </c>
    </row>
    <row r="338" spans="1:13" x14ac:dyDescent="0.25">
      <c r="A338" s="15" t="s">
        <v>4274</v>
      </c>
      <c r="B338" s="15" t="s">
        <v>4279</v>
      </c>
      <c r="C338" s="52">
        <v>19.955385</v>
      </c>
      <c r="D338" s="25">
        <v>2.0833333333333332E-2</v>
      </c>
      <c r="E338" s="53">
        <v>-22.845718000000002</v>
      </c>
      <c r="F338" s="53">
        <v>-47.084485000000001</v>
      </c>
      <c r="G338" s="53">
        <v>-22.828955000000001</v>
      </c>
      <c r="H338" s="53">
        <v>-47.181308999999999</v>
      </c>
      <c r="I338" s="53">
        <v>-22.732436</v>
      </c>
      <c r="J338" s="53">
        <v>-47.288780000000003</v>
      </c>
      <c r="L338" s="61" t="str">
        <f t="shared" ref="L338:L401" si="6">_xlfn.CONCAT(A338,"-",B338)</f>
        <v>Cliente4-Cliente9</v>
      </c>
      <c r="M338">
        <v>19.955385</v>
      </c>
    </row>
    <row r="339" spans="1:13" x14ac:dyDescent="0.25">
      <c r="A339" s="15" t="s">
        <v>4274</v>
      </c>
      <c r="B339" s="15" t="s">
        <v>4280</v>
      </c>
      <c r="C339" s="54">
        <v>67.612809999999996</v>
      </c>
      <c r="D339" s="26">
        <v>6.1805555555555558E-2</v>
      </c>
      <c r="E339" s="55">
        <v>-22.988553</v>
      </c>
      <c r="F339" s="55">
        <v>-47.111597000000003</v>
      </c>
      <c r="G339" s="55">
        <v>-23.260442000000001</v>
      </c>
      <c r="H339" s="55">
        <v>-46.867970999999997</v>
      </c>
      <c r="I339" s="55">
        <v>-23.441125</v>
      </c>
      <c r="J339" s="55">
        <v>-46.757052999999999</v>
      </c>
      <c r="L339" s="61" t="str">
        <f t="shared" si="6"/>
        <v>Cliente4-Cliente10</v>
      </c>
      <c r="M339">
        <v>67.612809999999996</v>
      </c>
    </row>
    <row r="340" spans="1:13" x14ac:dyDescent="0.25">
      <c r="A340" s="15" t="s">
        <v>4274</v>
      </c>
      <c r="B340" s="15" t="s">
        <v>4281</v>
      </c>
      <c r="C340" s="52">
        <v>40.505425000000002</v>
      </c>
      <c r="D340" s="25">
        <v>3.5416666666666666E-2</v>
      </c>
      <c r="E340" s="53">
        <v>-22.857859999999999</v>
      </c>
      <c r="F340" s="53">
        <v>-47.145806999999998</v>
      </c>
      <c r="G340" s="53">
        <v>-22.752965</v>
      </c>
      <c r="H340" s="53">
        <v>-47.257564000000002</v>
      </c>
      <c r="I340" s="53">
        <v>-22.747679000000002</v>
      </c>
      <c r="J340" s="53">
        <v>-47.504786000000003</v>
      </c>
      <c r="L340" s="61" t="str">
        <f t="shared" si="6"/>
        <v>Cliente4-Cliente11</v>
      </c>
      <c r="M340">
        <v>40.505425000000002</v>
      </c>
    </row>
    <row r="341" spans="1:13" x14ac:dyDescent="0.25">
      <c r="A341" s="15" t="s">
        <v>4274</v>
      </c>
      <c r="B341" s="15" t="s">
        <v>4282</v>
      </c>
      <c r="C341" s="54">
        <v>89.332893999999996</v>
      </c>
      <c r="D341" s="26">
        <v>7.4999999999999997E-2</v>
      </c>
      <c r="E341" s="55">
        <v>-22.973634000000001</v>
      </c>
      <c r="F341" s="55">
        <v>-46.836722999999999</v>
      </c>
      <c r="G341" s="55">
        <v>-23.167746999999999</v>
      </c>
      <c r="H341" s="55">
        <v>-46.396025000000002</v>
      </c>
      <c r="I341" s="55">
        <v>-23.207065</v>
      </c>
      <c r="J341" s="55">
        <v>-46.158696999999997</v>
      </c>
      <c r="L341" s="61" t="str">
        <f t="shared" si="6"/>
        <v>Cliente4-Cliente12</v>
      </c>
      <c r="M341">
        <v>89.332893999999996</v>
      </c>
    </row>
    <row r="342" spans="1:13" x14ac:dyDescent="0.25">
      <c r="A342" s="15" t="s">
        <v>4274</v>
      </c>
      <c r="B342" s="15" t="s">
        <v>4283</v>
      </c>
      <c r="C342" s="52">
        <v>97.216871999999995</v>
      </c>
      <c r="D342" s="25">
        <v>8.0555555555555561E-2</v>
      </c>
      <c r="E342" s="53">
        <v>-22.986559</v>
      </c>
      <c r="F342" s="53">
        <v>-46.812300999999998</v>
      </c>
      <c r="G342" s="53">
        <v>-23.177861</v>
      </c>
      <c r="H342" s="53">
        <v>-46.379086999999998</v>
      </c>
      <c r="I342" s="53">
        <v>-23.242540999999999</v>
      </c>
      <c r="J342" s="53">
        <v>-46.120187000000001</v>
      </c>
      <c r="L342" s="61" t="str">
        <f t="shared" si="6"/>
        <v>Cliente4-Cliente13</v>
      </c>
      <c r="M342">
        <v>97.216871999999995</v>
      </c>
    </row>
    <row r="343" spans="1:13" x14ac:dyDescent="0.25">
      <c r="A343" s="15" t="s">
        <v>4274</v>
      </c>
      <c r="B343" s="15" t="s">
        <v>4284</v>
      </c>
      <c r="C343" s="54">
        <v>95.279431000000002</v>
      </c>
      <c r="D343" s="26">
        <v>7.7777777777777779E-2</v>
      </c>
      <c r="E343" s="55">
        <v>-22.962316000000001</v>
      </c>
      <c r="F343" s="55">
        <v>-46.846612999999998</v>
      </c>
      <c r="G343" s="55">
        <v>-23.170741</v>
      </c>
      <c r="H343" s="55">
        <v>-46.421501999999997</v>
      </c>
      <c r="I343" s="55">
        <v>-23.198501</v>
      </c>
      <c r="J343" s="55">
        <v>-46.182009000000001</v>
      </c>
      <c r="L343" s="61" t="str">
        <f t="shared" si="6"/>
        <v>Cliente4-Cliente14</v>
      </c>
      <c r="M343">
        <v>95.279431000000002</v>
      </c>
    </row>
    <row r="344" spans="1:13" x14ac:dyDescent="0.25">
      <c r="A344" s="15" t="s">
        <v>4274</v>
      </c>
      <c r="B344" s="15" t="s">
        <v>4285</v>
      </c>
      <c r="C344" s="52">
        <v>97.658045999999999</v>
      </c>
      <c r="D344" s="25">
        <v>8.3333333333333329E-2</v>
      </c>
      <c r="E344" s="53">
        <v>-22.986559</v>
      </c>
      <c r="F344" s="53">
        <v>-46.812300999999998</v>
      </c>
      <c r="G344" s="53">
        <v>-23.177861</v>
      </c>
      <c r="H344" s="53">
        <v>-46.379086999999998</v>
      </c>
      <c r="I344" s="53">
        <v>-23.242540999999999</v>
      </c>
      <c r="J344" s="53">
        <v>-46.120187000000001</v>
      </c>
      <c r="L344" s="61" t="str">
        <f t="shared" si="6"/>
        <v>Cliente4-Cliente15</v>
      </c>
      <c r="M344">
        <v>97.658045999999999</v>
      </c>
    </row>
    <row r="345" spans="1:13" x14ac:dyDescent="0.25">
      <c r="A345" s="15" t="s">
        <v>4274</v>
      </c>
      <c r="B345" s="15" t="s">
        <v>4286</v>
      </c>
      <c r="C345" s="54">
        <v>96.588663999999994</v>
      </c>
      <c r="D345" s="26">
        <v>8.1944444444444445E-2</v>
      </c>
      <c r="E345" s="55">
        <v>-22.986559</v>
      </c>
      <c r="F345" s="55">
        <v>-46.812300999999998</v>
      </c>
      <c r="G345" s="55">
        <v>-23.177861</v>
      </c>
      <c r="H345" s="55">
        <v>-46.379086999999998</v>
      </c>
      <c r="I345" s="55">
        <v>-23.242540999999999</v>
      </c>
      <c r="J345" s="55">
        <v>-46.120187000000001</v>
      </c>
      <c r="L345" s="61" t="str">
        <f t="shared" si="6"/>
        <v>Cliente4-Cliente16</v>
      </c>
      <c r="M345">
        <v>96.588663999999994</v>
      </c>
    </row>
    <row r="346" spans="1:13" x14ac:dyDescent="0.25">
      <c r="A346" s="15" t="s">
        <v>4274</v>
      </c>
      <c r="B346" s="15" t="s">
        <v>4287</v>
      </c>
      <c r="C346" s="52">
        <v>97.644375999999994</v>
      </c>
      <c r="D346" s="25">
        <v>8.0555555555555561E-2</v>
      </c>
      <c r="E346" s="53">
        <v>-22.986559</v>
      </c>
      <c r="F346" s="53">
        <v>-46.812300999999998</v>
      </c>
      <c r="G346" s="53">
        <v>-23.177861</v>
      </c>
      <c r="H346" s="53">
        <v>-46.379086999999998</v>
      </c>
      <c r="I346" s="53">
        <v>-23.242540999999999</v>
      </c>
      <c r="J346" s="53">
        <v>-46.120187000000001</v>
      </c>
      <c r="L346" s="61" t="str">
        <f t="shared" si="6"/>
        <v>Cliente4-Cliente17</v>
      </c>
      <c r="M346">
        <v>97.644375999999994</v>
      </c>
    </row>
    <row r="347" spans="1:13" x14ac:dyDescent="0.25">
      <c r="A347" s="15" t="s">
        <v>4274</v>
      </c>
      <c r="B347" s="15" t="s">
        <v>4288</v>
      </c>
      <c r="C347" s="54">
        <v>102.472442</v>
      </c>
      <c r="D347" s="26">
        <v>8.4722222222222213E-2</v>
      </c>
      <c r="E347" s="55">
        <v>-22.975189</v>
      </c>
      <c r="F347" s="55">
        <v>-46.834738999999999</v>
      </c>
      <c r="G347" s="55">
        <v>-23.170774000000002</v>
      </c>
      <c r="H347" s="55">
        <v>-46.390999000000001</v>
      </c>
      <c r="I347" s="55">
        <v>-23.220222</v>
      </c>
      <c r="J347" s="55">
        <v>-46.143115999999999</v>
      </c>
      <c r="L347" s="61" t="str">
        <f t="shared" si="6"/>
        <v>Cliente4-Cliente18</v>
      </c>
      <c r="M347">
        <v>102.472442</v>
      </c>
    </row>
    <row r="348" spans="1:13" x14ac:dyDescent="0.25">
      <c r="A348" s="15" t="s">
        <v>4274</v>
      </c>
      <c r="B348" s="15" t="s">
        <v>4289</v>
      </c>
      <c r="C348" s="52">
        <v>64.392857000000006</v>
      </c>
      <c r="D348" s="25">
        <v>5.347222222222222E-2</v>
      </c>
      <c r="E348" s="53">
        <v>-22.957585000000002</v>
      </c>
      <c r="F348" s="53">
        <v>-47.125774999999997</v>
      </c>
      <c r="G348" s="53">
        <v>-23.203737</v>
      </c>
      <c r="H348" s="53">
        <v>-46.927112000000001</v>
      </c>
      <c r="I348" s="53">
        <v>-23.358542</v>
      </c>
      <c r="J348" s="53">
        <v>-46.785787999999997</v>
      </c>
      <c r="L348" s="61" t="str">
        <f t="shared" si="6"/>
        <v>Cliente4-Cliente19</v>
      </c>
      <c r="M348">
        <v>64.392857000000006</v>
      </c>
    </row>
    <row r="349" spans="1:13" x14ac:dyDescent="0.25">
      <c r="A349" s="15" t="s">
        <v>4274</v>
      </c>
      <c r="B349" s="15" t="s">
        <v>4290</v>
      </c>
      <c r="C349" s="54">
        <v>65.964929999999995</v>
      </c>
      <c r="D349" s="26">
        <v>5.6944444444444443E-2</v>
      </c>
      <c r="E349" s="55">
        <v>-22.97147</v>
      </c>
      <c r="F349" s="55">
        <v>-47.116241000000002</v>
      </c>
      <c r="G349" s="55">
        <v>-23.243013000000001</v>
      </c>
      <c r="H349" s="55">
        <v>-46.882865000000002</v>
      </c>
      <c r="I349" s="55">
        <v>-23.407332</v>
      </c>
      <c r="J349" s="55">
        <v>-46.767837999999998</v>
      </c>
      <c r="L349" s="61" t="str">
        <f t="shared" si="6"/>
        <v>Cliente4-Cliente20</v>
      </c>
      <c r="M349">
        <v>65.964929999999995</v>
      </c>
    </row>
    <row r="350" spans="1:13" x14ac:dyDescent="0.25">
      <c r="A350" s="15" t="s">
        <v>4274</v>
      </c>
      <c r="B350" s="15" t="s">
        <v>4291</v>
      </c>
      <c r="C350" s="52">
        <v>65.566630000000004</v>
      </c>
      <c r="D350" s="25">
        <v>5.6944444444444443E-2</v>
      </c>
      <c r="E350" s="53">
        <v>-22.988553</v>
      </c>
      <c r="F350" s="53">
        <v>-47.111597000000003</v>
      </c>
      <c r="G350" s="53">
        <v>-23.260442000000001</v>
      </c>
      <c r="H350" s="53">
        <v>-46.867970999999997</v>
      </c>
      <c r="I350" s="53">
        <v>-23.441125</v>
      </c>
      <c r="J350" s="53">
        <v>-46.757052999999999</v>
      </c>
      <c r="L350" s="61" t="str">
        <f t="shared" si="6"/>
        <v>Cliente4-Cliente21</v>
      </c>
      <c r="M350">
        <v>65.566630000000004</v>
      </c>
    </row>
    <row r="351" spans="1:13" x14ac:dyDescent="0.25">
      <c r="A351" s="15" t="s">
        <v>4274</v>
      </c>
      <c r="B351" s="15" t="s">
        <v>4292</v>
      </c>
      <c r="C351" s="54">
        <v>64.689873000000006</v>
      </c>
      <c r="D351" s="26">
        <v>5.6250000000000001E-2</v>
      </c>
      <c r="E351" s="55">
        <v>-22.977492999999999</v>
      </c>
      <c r="F351" s="55">
        <v>-47.112698000000002</v>
      </c>
      <c r="G351" s="55">
        <v>-23.247883000000002</v>
      </c>
      <c r="H351" s="55">
        <v>-46.878694000000003</v>
      </c>
      <c r="I351" s="55">
        <v>-23.411633999999999</v>
      </c>
      <c r="J351" s="55">
        <v>-46.767124000000003</v>
      </c>
      <c r="L351" s="61" t="str">
        <f t="shared" si="6"/>
        <v>Cliente4-Cliente22</v>
      </c>
      <c r="M351">
        <v>64.689873000000006</v>
      </c>
    </row>
    <row r="352" spans="1:13" x14ac:dyDescent="0.25">
      <c r="A352" s="15" t="s">
        <v>4274</v>
      </c>
      <c r="B352" s="15" t="s">
        <v>4293</v>
      </c>
      <c r="C352" s="52">
        <v>73.840208000000004</v>
      </c>
      <c r="D352" s="25">
        <v>6.3194444444444442E-2</v>
      </c>
      <c r="E352" s="53">
        <v>-23.010133</v>
      </c>
      <c r="F352" s="53">
        <v>-47.091296</v>
      </c>
      <c r="G352" s="53">
        <v>-23.296662000000001</v>
      </c>
      <c r="H352" s="53">
        <v>-46.841473999999998</v>
      </c>
      <c r="I352" s="53">
        <v>-23.503102999999999</v>
      </c>
      <c r="J352" s="53">
        <v>-46.821584999999999</v>
      </c>
      <c r="L352" s="61" t="str">
        <f t="shared" si="6"/>
        <v>Cliente4-Cliente23</v>
      </c>
      <c r="M352">
        <v>73.840208000000004</v>
      </c>
    </row>
    <row r="353" spans="1:13" x14ac:dyDescent="0.25">
      <c r="A353" s="15" t="s">
        <v>4274</v>
      </c>
      <c r="B353" s="15" t="s">
        <v>4294</v>
      </c>
      <c r="C353" s="54">
        <v>74.819490999999999</v>
      </c>
      <c r="D353" s="26">
        <v>6.5277777777777782E-2</v>
      </c>
      <c r="E353" s="55">
        <v>-23.014229</v>
      </c>
      <c r="F353" s="55">
        <v>-47.085461000000002</v>
      </c>
      <c r="G353" s="55">
        <v>-23.302610000000001</v>
      </c>
      <c r="H353" s="55">
        <v>-46.840466999999997</v>
      </c>
      <c r="I353" s="55">
        <v>-23.509135000000001</v>
      </c>
      <c r="J353" s="55">
        <v>-46.821576999999998</v>
      </c>
      <c r="L353" s="61" t="str">
        <f t="shared" si="6"/>
        <v>Cliente4-Cliente24</v>
      </c>
      <c r="M353">
        <v>74.819490999999999</v>
      </c>
    </row>
    <row r="354" spans="1:13" x14ac:dyDescent="0.25">
      <c r="A354" s="15" t="s">
        <v>4274</v>
      </c>
      <c r="B354" s="15" t="s">
        <v>4295</v>
      </c>
      <c r="C354" s="52">
        <v>77.639902000000006</v>
      </c>
      <c r="D354" s="25">
        <v>6.805555555555555E-2</v>
      </c>
      <c r="E354" s="53">
        <v>-23.016147</v>
      </c>
      <c r="F354" s="53">
        <v>-47.083191999999997</v>
      </c>
      <c r="G354" s="53">
        <v>-23.308924000000001</v>
      </c>
      <c r="H354" s="53">
        <v>-46.834640999999998</v>
      </c>
      <c r="I354" s="53">
        <v>-23.5184</v>
      </c>
      <c r="J354" s="53">
        <v>-46.815736000000001</v>
      </c>
      <c r="L354" s="61" t="str">
        <f t="shared" si="6"/>
        <v>Cliente4-Cliente25</v>
      </c>
      <c r="M354">
        <v>77.639902000000006</v>
      </c>
    </row>
    <row r="355" spans="1:13" x14ac:dyDescent="0.25">
      <c r="A355" s="15" t="s">
        <v>4274</v>
      </c>
      <c r="B355" s="15" t="s">
        <v>4296</v>
      </c>
      <c r="C355" s="54">
        <v>69.302323000000001</v>
      </c>
      <c r="D355" s="26">
        <v>5.8333333333333327E-2</v>
      </c>
      <c r="E355" s="55">
        <v>-23.000342</v>
      </c>
      <c r="F355" s="55">
        <v>-47.101081999999998</v>
      </c>
      <c r="G355" s="55">
        <v>-23.287797000000001</v>
      </c>
      <c r="H355" s="55">
        <v>-46.847676999999997</v>
      </c>
      <c r="I355" s="55">
        <v>-23.480215000000001</v>
      </c>
      <c r="J355" s="55">
        <v>-46.802273</v>
      </c>
      <c r="L355" s="61" t="str">
        <f t="shared" si="6"/>
        <v>Cliente4-Cliente26</v>
      </c>
      <c r="M355">
        <v>69.302323000000001</v>
      </c>
    </row>
    <row r="356" spans="1:13" x14ac:dyDescent="0.25">
      <c r="A356" s="15" t="s">
        <v>4274</v>
      </c>
      <c r="B356" s="15" t="s">
        <v>4297</v>
      </c>
      <c r="C356" s="52">
        <v>75.619197999999997</v>
      </c>
      <c r="D356" s="25">
        <v>6.5972222222222224E-2</v>
      </c>
      <c r="E356" s="53">
        <v>-23.015073000000001</v>
      </c>
      <c r="F356" s="53">
        <v>-47.084367999999998</v>
      </c>
      <c r="G356" s="53">
        <v>-23.304756000000001</v>
      </c>
      <c r="H356" s="53">
        <v>-46.838780999999997</v>
      </c>
      <c r="I356" s="53">
        <v>-23.515695000000001</v>
      </c>
      <c r="J356" s="53">
        <v>-46.816071999999998</v>
      </c>
      <c r="L356" s="61" t="str">
        <f t="shared" si="6"/>
        <v>Cliente4-Cliente27</v>
      </c>
      <c r="M356">
        <v>75.619197999999997</v>
      </c>
    </row>
    <row r="357" spans="1:13" x14ac:dyDescent="0.25">
      <c r="A357" s="15" t="s">
        <v>4274</v>
      </c>
      <c r="B357" s="15" t="s">
        <v>4298</v>
      </c>
      <c r="C357" s="54">
        <v>76.950800000000001</v>
      </c>
      <c r="D357" s="26">
        <v>7.2222222222222229E-2</v>
      </c>
      <c r="E357" s="55">
        <v>-23.015073000000001</v>
      </c>
      <c r="F357" s="55">
        <v>-47.084367999999998</v>
      </c>
      <c r="G357" s="55">
        <v>-23.304756000000001</v>
      </c>
      <c r="H357" s="55">
        <v>-46.838780999999997</v>
      </c>
      <c r="I357" s="55">
        <v>-23.516835</v>
      </c>
      <c r="J357" s="55">
        <v>-46.731771999999999</v>
      </c>
      <c r="L357" s="61" t="str">
        <f t="shared" si="6"/>
        <v>Cliente4-Cliente28</v>
      </c>
      <c r="M357">
        <v>76.950800000000001</v>
      </c>
    </row>
    <row r="358" spans="1:13" x14ac:dyDescent="0.25">
      <c r="A358" s="15" t="s">
        <v>4274</v>
      </c>
      <c r="B358" s="15" t="s">
        <v>4299</v>
      </c>
      <c r="C358" s="52">
        <v>79.213217999999998</v>
      </c>
      <c r="D358" s="25">
        <v>7.6388888888888895E-2</v>
      </c>
      <c r="E358" s="53">
        <v>-23.022991000000001</v>
      </c>
      <c r="F358" s="53">
        <v>-47.076988999999998</v>
      </c>
      <c r="G358" s="53">
        <v>-23.312515999999999</v>
      </c>
      <c r="H358" s="53">
        <v>-46.826540999999999</v>
      </c>
      <c r="I358" s="53">
        <v>-23.515917000000002</v>
      </c>
      <c r="J358" s="53">
        <v>-46.667408999999999</v>
      </c>
      <c r="L358" s="61" t="str">
        <f t="shared" si="6"/>
        <v>Cliente4-Cliente29</v>
      </c>
      <c r="M358">
        <v>79.213217999999998</v>
      </c>
    </row>
    <row r="359" spans="1:13" x14ac:dyDescent="0.25">
      <c r="A359" s="15" t="s">
        <v>4274</v>
      </c>
      <c r="B359" s="15" t="s">
        <v>4300</v>
      </c>
      <c r="C359" s="54">
        <v>83.272645999999995</v>
      </c>
      <c r="D359" s="26">
        <v>8.5416666666666655E-2</v>
      </c>
      <c r="E359" s="55">
        <v>-23.057896</v>
      </c>
      <c r="F359" s="55">
        <v>-47.044542</v>
      </c>
      <c r="G359" s="55">
        <v>-23.355848999999999</v>
      </c>
      <c r="H359" s="55">
        <v>-46.792028000000002</v>
      </c>
      <c r="I359" s="55">
        <v>-23.559128000000001</v>
      </c>
      <c r="J359" s="55">
        <v>-46.614632</v>
      </c>
      <c r="L359" s="61" t="str">
        <f t="shared" si="6"/>
        <v>Cliente4-Cliente30</v>
      </c>
      <c r="M359">
        <v>83.272645999999995</v>
      </c>
    </row>
    <row r="360" spans="1:13" x14ac:dyDescent="0.25">
      <c r="A360" s="15" t="s">
        <v>4274</v>
      </c>
      <c r="B360" s="15" t="s">
        <v>4301</v>
      </c>
      <c r="C360" s="52">
        <v>68.675358000000003</v>
      </c>
      <c r="D360" s="25">
        <v>6.1805555555555558E-2</v>
      </c>
      <c r="E360" s="53">
        <v>-23.000342</v>
      </c>
      <c r="F360" s="53">
        <v>-47.101081999999998</v>
      </c>
      <c r="G360" s="53">
        <v>-23.287797000000001</v>
      </c>
      <c r="H360" s="53">
        <v>-46.847676999999997</v>
      </c>
      <c r="I360" s="53">
        <v>-23.495056999999999</v>
      </c>
      <c r="J360" s="53">
        <v>-46.731428000000001</v>
      </c>
      <c r="L360" s="61" t="str">
        <f t="shared" si="6"/>
        <v>Cliente4-Cliente31</v>
      </c>
      <c r="M360">
        <v>68.675358000000003</v>
      </c>
    </row>
    <row r="361" spans="1:13" x14ac:dyDescent="0.25">
      <c r="A361" s="15" t="s">
        <v>4274</v>
      </c>
      <c r="B361" s="15" t="s">
        <v>4302</v>
      </c>
      <c r="C361" s="54">
        <v>64.138715000000005</v>
      </c>
      <c r="D361" s="26">
        <v>5.7638888888888885E-2</v>
      </c>
      <c r="E361" s="55">
        <v>-22.998304999999998</v>
      </c>
      <c r="F361" s="55">
        <v>-47.102885000000001</v>
      </c>
      <c r="G361" s="55">
        <v>-23.277909000000001</v>
      </c>
      <c r="H361" s="55">
        <v>-46.849068000000003</v>
      </c>
      <c r="I361" s="55">
        <v>-23.450312</v>
      </c>
      <c r="J361" s="55">
        <v>-46.787393000000002</v>
      </c>
      <c r="L361" s="61" t="str">
        <f t="shared" si="6"/>
        <v>Cliente4-Cliente32</v>
      </c>
      <c r="M361">
        <v>64.138715000000005</v>
      </c>
    </row>
    <row r="362" spans="1:13" x14ac:dyDescent="0.25">
      <c r="A362" s="15" t="s">
        <v>4274</v>
      </c>
      <c r="B362" s="15" t="s">
        <v>4303</v>
      </c>
      <c r="C362" s="52">
        <v>72.825506000000004</v>
      </c>
      <c r="D362" s="25">
        <v>6.805555555555555E-2</v>
      </c>
      <c r="E362" s="53">
        <v>-22.948504</v>
      </c>
      <c r="F362" s="53">
        <v>-46.868555999999998</v>
      </c>
      <c r="G362" s="53">
        <v>-23.242128000000001</v>
      </c>
      <c r="H362" s="53">
        <v>-46.597779000000003</v>
      </c>
      <c r="I362" s="53">
        <v>-23.355978</v>
      </c>
      <c r="J362" s="53">
        <v>-46.548948000000003</v>
      </c>
      <c r="L362" s="61" t="str">
        <f t="shared" si="6"/>
        <v>Cliente4-Cliente33</v>
      </c>
      <c r="M362">
        <v>72.825506000000004</v>
      </c>
    </row>
    <row r="363" spans="1:13" x14ac:dyDescent="0.25">
      <c r="A363" s="15" t="s">
        <v>4274</v>
      </c>
      <c r="B363" s="15" t="s">
        <v>4304</v>
      </c>
      <c r="C363" s="54">
        <v>60.012179000000003</v>
      </c>
      <c r="D363" s="26">
        <v>5.6944444444444443E-2</v>
      </c>
      <c r="E363" s="55">
        <v>-23.03773</v>
      </c>
      <c r="F363" s="55">
        <v>-47.069488</v>
      </c>
      <c r="G363" s="55">
        <v>-23.303657000000001</v>
      </c>
      <c r="H363" s="55">
        <v>-46.855741999999999</v>
      </c>
      <c r="I363" s="55">
        <v>-23.420645</v>
      </c>
      <c r="J363" s="55">
        <v>-46.821410999999998</v>
      </c>
      <c r="L363" s="61" t="str">
        <f t="shared" si="6"/>
        <v>Cliente4-Cliente34</v>
      </c>
      <c r="M363">
        <v>60.012179000000003</v>
      </c>
    </row>
    <row r="364" spans="1:13" x14ac:dyDescent="0.25">
      <c r="A364" s="15" t="s">
        <v>4274</v>
      </c>
      <c r="B364" s="15" t="s">
        <v>4305</v>
      </c>
      <c r="C364" s="52">
        <v>60.544074000000002</v>
      </c>
      <c r="D364" s="25">
        <v>5.9027777777777783E-2</v>
      </c>
      <c r="E364" s="53">
        <v>-23.038958000000001</v>
      </c>
      <c r="F364" s="53">
        <v>-47.068427999999997</v>
      </c>
      <c r="G364" s="53">
        <v>-23.305372999999999</v>
      </c>
      <c r="H364" s="53">
        <v>-46.855457000000001</v>
      </c>
      <c r="I364" s="53">
        <v>-23.422236999999999</v>
      </c>
      <c r="J364" s="53">
        <v>-46.822761</v>
      </c>
      <c r="L364" s="61" t="str">
        <f t="shared" si="6"/>
        <v>Cliente4-Cliente35</v>
      </c>
      <c r="M364">
        <v>60.544074000000002</v>
      </c>
    </row>
    <row r="365" spans="1:13" x14ac:dyDescent="0.25">
      <c r="A365" s="15" t="s">
        <v>4274</v>
      </c>
      <c r="B365" s="15" t="s">
        <v>4306</v>
      </c>
      <c r="C365" s="54">
        <v>86.672798</v>
      </c>
      <c r="D365" s="26">
        <v>7.3611111111111113E-2</v>
      </c>
      <c r="E365" s="55">
        <v>-22.717030000000001</v>
      </c>
      <c r="F365" s="55">
        <v>-47.295408000000002</v>
      </c>
      <c r="G365" s="55">
        <v>-22.462685</v>
      </c>
      <c r="H365" s="55">
        <v>-47.523488999999998</v>
      </c>
      <c r="I365" s="55">
        <v>-22.277826000000001</v>
      </c>
      <c r="J365" s="55">
        <v>-47.688125999999997</v>
      </c>
      <c r="L365" s="61" t="str">
        <f t="shared" si="6"/>
        <v>Cliente4-Cliente36</v>
      </c>
      <c r="M365">
        <v>86.672798</v>
      </c>
    </row>
    <row r="366" spans="1:13" x14ac:dyDescent="0.25">
      <c r="A366" s="15" t="s">
        <v>4274</v>
      </c>
      <c r="B366" s="15" t="s">
        <v>4307</v>
      </c>
      <c r="C366" s="52">
        <v>85.576075000000003</v>
      </c>
      <c r="D366" s="25">
        <v>7.2222222222222229E-2</v>
      </c>
      <c r="E366" s="53">
        <v>-22.716018999999999</v>
      </c>
      <c r="F366" s="53">
        <v>-47.295720000000003</v>
      </c>
      <c r="G366" s="53">
        <v>-22.461713</v>
      </c>
      <c r="H366" s="53">
        <v>-47.534024000000002</v>
      </c>
      <c r="I366" s="53">
        <v>-22.277218999999999</v>
      </c>
      <c r="J366" s="53">
        <v>-47.695686000000002</v>
      </c>
      <c r="L366" s="61" t="str">
        <f t="shared" si="6"/>
        <v>Cliente4-Cliente37</v>
      </c>
      <c r="M366">
        <v>85.576075000000003</v>
      </c>
    </row>
    <row r="367" spans="1:13" x14ac:dyDescent="0.25">
      <c r="A367" s="15" t="s">
        <v>4274</v>
      </c>
      <c r="B367" s="15" t="s">
        <v>4308</v>
      </c>
      <c r="C367" s="54">
        <v>83.799570000000003</v>
      </c>
      <c r="D367" s="26">
        <v>6.9444444444444434E-2</v>
      </c>
      <c r="E367" s="55">
        <v>-22.727437999999999</v>
      </c>
      <c r="F367" s="55">
        <v>-47.292212999999997</v>
      </c>
      <c r="G367" s="55">
        <v>-22.501542000000001</v>
      </c>
      <c r="H367" s="55">
        <v>-47.402144999999997</v>
      </c>
      <c r="I367" s="55">
        <v>-22.289000999999999</v>
      </c>
      <c r="J367" s="55">
        <v>-47.676676999999998</v>
      </c>
      <c r="L367" s="61" t="str">
        <f t="shared" si="6"/>
        <v>Cliente4-Cliente38</v>
      </c>
      <c r="M367">
        <v>83.799570000000003</v>
      </c>
    </row>
    <row r="368" spans="1:13" x14ac:dyDescent="0.25">
      <c r="A368" s="15" t="s">
        <v>4274</v>
      </c>
      <c r="B368" s="15" t="s">
        <v>4309</v>
      </c>
      <c r="C368" s="52">
        <v>123.47856899999999</v>
      </c>
      <c r="D368" s="25">
        <v>0.10486111111111111</v>
      </c>
      <c r="E368" s="53">
        <v>-23.002051000000002</v>
      </c>
      <c r="F368" s="53">
        <v>-46.778727000000003</v>
      </c>
      <c r="G368" s="53">
        <v>-23.188707999999998</v>
      </c>
      <c r="H368" s="53">
        <v>-46.358916999999998</v>
      </c>
      <c r="I368" s="53">
        <v>-23.253205999999999</v>
      </c>
      <c r="J368" s="53">
        <v>-46.086785999999996</v>
      </c>
      <c r="L368" s="61" t="str">
        <f t="shared" si="6"/>
        <v>Cliente4-Cliente39</v>
      </c>
      <c r="M368">
        <v>123.47856899999999</v>
      </c>
    </row>
    <row r="369" spans="1:13" x14ac:dyDescent="0.25">
      <c r="A369" s="15" t="s">
        <v>4274</v>
      </c>
      <c r="B369" s="15" t="s">
        <v>4310</v>
      </c>
      <c r="C369" s="54">
        <v>125.04007900000001</v>
      </c>
      <c r="D369" s="26">
        <v>0.1076388888888889</v>
      </c>
      <c r="E369" s="55">
        <v>-23.004802000000002</v>
      </c>
      <c r="F369" s="55">
        <v>-46.769443000000003</v>
      </c>
      <c r="G369" s="55">
        <v>-23.194044999999999</v>
      </c>
      <c r="H369" s="55">
        <v>-46.346727000000001</v>
      </c>
      <c r="I369" s="55">
        <v>-23.248518000000001</v>
      </c>
      <c r="J369" s="55">
        <v>-46.078502999999998</v>
      </c>
      <c r="L369" s="61" t="str">
        <f t="shared" si="6"/>
        <v>Cliente4-Cliente40</v>
      </c>
      <c r="M369">
        <v>125.04007900000001</v>
      </c>
    </row>
    <row r="370" spans="1:13" x14ac:dyDescent="0.25">
      <c r="A370" s="15" t="s">
        <v>4274</v>
      </c>
      <c r="B370" s="15" t="s">
        <v>4311</v>
      </c>
      <c r="C370" s="52">
        <v>114.333826</v>
      </c>
      <c r="D370" s="25">
        <v>9.8611111111111108E-2</v>
      </c>
      <c r="E370" s="53">
        <v>-23.003291999999998</v>
      </c>
      <c r="F370" s="53">
        <v>-46.775557999999997</v>
      </c>
      <c r="G370" s="53">
        <v>-23.191032</v>
      </c>
      <c r="H370" s="53">
        <v>-46.355513999999999</v>
      </c>
      <c r="I370" s="53">
        <v>-23.247465999999999</v>
      </c>
      <c r="J370" s="53">
        <v>-46.081451000000001</v>
      </c>
      <c r="L370" s="61" t="str">
        <f t="shared" si="6"/>
        <v>Cliente4-Cliente41</v>
      </c>
      <c r="M370">
        <v>114.333826</v>
      </c>
    </row>
    <row r="371" spans="1:13" x14ac:dyDescent="0.25">
      <c r="A371" s="15" t="s">
        <v>4274</v>
      </c>
      <c r="B371" s="15" t="s">
        <v>4312</v>
      </c>
      <c r="C371" s="54">
        <v>111.046143</v>
      </c>
      <c r="D371" s="26">
        <v>9.1666666666666674E-2</v>
      </c>
      <c r="E371" s="55">
        <v>-22.975189</v>
      </c>
      <c r="F371" s="55">
        <v>-46.834738999999999</v>
      </c>
      <c r="G371" s="55">
        <v>-23.170774000000002</v>
      </c>
      <c r="H371" s="55">
        <v>-46.390999000000001</v>
      </c>
      <c r="I371" s="55">
        <v>-23.220222</v>
      </c>
      <c r="J371" s="55">
        <v>-46.143115999999999</v>
      </c>
      <c r="L371" s="61" t="str">
        <f t="shared" si="6"/>
        <v>Cliente4-Cliente42</v>
      </c>
      <c r="M371">
        <v>111.046143</v>
      </c>
    </row>
    <row r="372" spans="1:13" x14ac:dyDescent="0.25">
      <c r="A372" s="15" t="s">
        <v>4274</v>
      </c>
      <c r="B372" s="15" t="s">
        <v>4313</v>
      </c>
      <c r="C372" s="52">
        <v>129.720258</v>
      </c>
      <c r="D372" s="25">
        <v>0.11041666666666666</v>
      </c>
      <c r="E372" s="53">
        <v>-23.012858000000001</v>
      </c>
      <c r="F372" s="53">
        <v>-46.763688999999999</v>
      </c>
      <c r="G372" s="53">
        <v>-23.178843000000001</v>
      </c>
      <c r="H372" s="53">
        <v>-46.318686</v>
      </c>
      <c r="I372" s="53">
        <v>-23.291726000000001</v>
      </c>
      <c r="J372" s="53">
        <v>-46.047834000000002</v>
      </c>
      <c r="L372" s="61" t="str">
        <f t="shared" si="6"/>
        <v>Cliente4-Cliente43</v>
      </c>
      <c r="M372">
        <v>129.720258</v>
      </c>
    </row>
    <row r="373" spans="1:13" x14ac:dyDescent="0.25">
      <c r="A373" s="15" t="s">
        <v>4274</v>
      </c>
      <c r="B373" s="15" t="s">
        <v>4314</v>
      </c>
      <c r="C373" s="54">
        <v>73.234990999999994</v>
      </c>
      <c r="D373" s="26">
        <v>6.3888888888888884E-2</v>
      </c>
      <c r="E373" s="55">
        <v>-22.924717000000001</v>
      </c>
      <c r="F373" s="55">
        <v>-47.131155</v>
      </c>
      <c r="G373" s="55">
        <v>-23.179175000000001</v>
      </c>
      <c r="H373" s="55">
        <v>-47.295886000000003</v>
      </c>
      <c r="I373" s="55">
        <v>-23.343671000000001</v>
      </c>
      <c r="J373" s="55">
        <v>-47.529367000000001</v>
      </c>
      <c r="L373" s="61" t="str">
        <f t="shared" si="6"/>
        <v>Cliente4-Cliente44</v>
      </c>
      <c r="M373">
        <v>73.234990999999994</v>
      </c>
    </row>
    <row r="374" spans="1:13" x14ac:dyDescent="0.25">
      <c r="A374" s="15" t="s">
        <v>4274</v>
      </c>
      <c r="B374" s="15" t="s">
        <v>4315</v>
      </c>
      <c r="C374" s="52">
        <v>64.714106000000001</v>
      </c>
      <c r="D374" s="25">
        <v>6.25E-2</v>
      </c>
      <c r="E374" s="53">
        <v>-22.925530999999999</v>
      </c>
      <c r="F374" s="53">
        <v>-47.130623999999997</v>
      </c>
      <c r="G374" s="53">
        <v>-23.180036000000001</v>
      </c>
      <c r="H374" s="53">
        <v>-47.300739</v>
      </c>
      <c r="I374" s="53">
        <v>-23.484472</v>
      </c>
      <c r="J374" s="53">
        <v>-47.45346</v>
      </c>
      <c r="L374" s="61" t="str">
        <f t="shared" si="6"/>
        <v>Cliente4-Cliente45</v>
      </c>
      <c r="M374">
        <v>64.714106000000001</v>
      </c>
    </row>
    <row r="375" spans="1:13" x14ac:dyDescent="0.25">
      <c r="A375" s="15" t="s">
        <v>4274</v>
      </c>
      <c r="B375" s="15" t="s">
        <v>4316</v>
      </c>
      <c r="C375" s="54">
        <v>62.017349000000003</v>
      </c>
      <c r="D375" s="26">
        <v>5.6944444444444443E-2</v>
      </c>
      <c r="E375" s="55">
        <v>-22.896191999999999</v>
      </c>
      <c r="F375" s="55">
        <v>-47.136100999999996</v>
      </c>
      <c r="G375" s="55">
        <v>-23.088692000000002</v>
      </c>
      <c r="H375" s="55">
        <v>-47.18141</v>
      </c>
      <c r="I375" s="55">
        <v>-23.381471999999999</v>
      </c>
      <c r="J375" s="55">
        <v>-47.327753999999999</v>
      </c>
      <c r="L375" s="61" t="str">
        <f t="shared" si="6"/>
        <v>Cliente4-Cliente46</v>
      </c>
      <c r="M375">
        <v>62.017349000000003</v>
      </c>
    </row>
    <row r="376" spans="1:13" x14ac:dyDescent="0.25">
      <c r="A376" s="15" t="s">
        <v>4274</v>
      </c>
      <c r="B376" s="15" t="s">
        <v>4317</v>
      </c>
      <c r="C376" s="52">
        <v>133.129109</v>
      </c>
      <c r="D376" s="25">
        <v>0.1076388888888889</v>
      </c>
      <c r="E376" s="53">
        <v>-22.695729</v>
      </c>
      <c r="F376" s="53">
        <v>-47.310051999999999</v>
      </c>
      <c r="G376" s="53">
        <v>-22.335405000000002</v>
      </c>
      <c r="H376" s="53">
        <v>-47.389561</v>
      </c>
      <c r="I376" s="53">
        <v>-21.550007999999998</v>
      </c>
      <c r="J376" s="53">
        <v>-47.638361000000003</v>
      </c>
      <c r="L376" s="61" t="str">
        <f t="shared" si="6"/>
        <v>Cliente4-Cliente47</v>
      </c>
      <c r="M376">
        <v>133.129109</v>
      </c>
    </row>
    <row r="377" spans="1:13" x14ac:dyDescent="0.25">
      <c r="A377" s="15" t="s">
        <v>4274</v>
      </c>
      <c r="B377" s="15" t="s">
        <v>4318</v>
      </c>
      <c r="C377" s="54">
        <v>142.240297</v>
      </c>
      <c r="D377" s="26">
        <v>0.11597222222222221</v>
      </c>
      <c r="E377" s="55">
        <v>-22.640163999999999</v>
      </c>
      <c r="F377" s="55">
        <v>-47.328591000000003</v>
      </c>
      <c r="G377" s="55">
        <v>-22.152367000000002</v>
      </c>
      <c r="H377" s="55">
        <v>-47.400523999999997</v>
      </c>
      <c r="I377" s="55">
        <v>-21.278167</v>
      </c>
      <c r="J377" s="55">
        <v>-47.752637</v>
      </c>
      <c r="L377" s="61" t="str">
        <f t="shared" si="6"/>
        <v>Cliente4-Cliente48</v>
      </c>
      <c r="M377">
        <v>142.240297</v>
      </c>
    </row>
    <row r="378" spans="1:13" x14ac:dyDescent="0.25">
      <c r="A378" s="15" t="s">
        <v>4274</v>
      </c>
      <c r="B378" s="15" t="s">
        <v>4319</v>
      </c>
      <c r="C378" s="52">
        <v>135.878062</v>
      </c>
      <c r="D378" s="25">
        <v>0.11180555555555556</v>
      </c>
      <c r="E378" s="53">
        <v>-22.672346000000001</v>
      </c>
      <c r="F378" s="53">
        <v>-47.312258999999997</v>
      </c>
      <c r="G378" s="53">
        <v>-22.248802999999999</v>
      </c>
      <c r="H378" s="53">
        <v>-47.389876000000001</v>
      </c>
      <c r="I378" s="53">
        <v>-21.392956000000002</v>
      </c>
      <c r="J378" s="53">
        <v>-47.693300999999998</v>
      </c>
      <c r="L378" s="61" t="str">
        <f t="shared" si="6"/>
        <v>Cliente4-Cliente49</v>
      </c>
      <c r="M378">
        <v>135.878062</v>
      </c>
    </row>
    <row r="379" spans="1:13" x14ac:dyDescent="0.25">
      <c r="A379" s="15" t="s">
        <v>4274</v>
      </c>
      <c r="B379" s="15" t="s">
        <v>4320</v>
      </c>
      <c r="C379" s="54">
        <v>160.63603699999999</v>
      </c>
      <c r="D379" s="26">
        <v>0.13472222222222222</v>
      </c>
      <c r="E379" s="55">
        <v>-22.503412999999998</v>
      </c>
      <c r="F379" s="55">
        <v>-47.399394999999998</v>
      </c>
      <c r="G379" s="55">
        <v>-22.215285000000002</v>
      </c>
      <c r="H379" s="55">
        <v>-47.766309</v>
      </c>
      <c r="I379" s="55">
        <v>-22.255928000000001</v>
      </c>
      <c r="J379" s="55">
        <v>-48.364666</v>
      </c>
      <c r="L379" s="61" t="str">
        <f t="shared" si="6"/>
        <v>Cliente4-Cliente50</v>
      </c>
      <c r="M379">
        <v>160.63603699999999</v>
      </c>
    </row>
    <row r="380" spans="1:13" x14ac:dyDescent="0.25">
      <c r="A380" s="15" t="s">
        <v>4274</v>
      </c>
      <c r="B380" s="15" t="s">
        <v>4321</v>
      </c>
      <c r="C380" s="52">
        <v>160.455218</v>
      </c>
      <c r="D380" s="25">
        <v>0.13333333333333333</v>
      </c>
      <c r="E380" s="53">
        <v>-22.505077</v>
      </c>
      <c r="F380" s="53">
        <v>-47.399107999999998</v>
      </c>
      <c r="G380" s="53">
        <v>-22.214289999999998</v>
      </c>
      <c r="H380" s="53">
        <v>-47.766509999999997</v>
      </c>
      <c r="I380" s="53">
        <v>-22.249129</v>
      </c>
      <c r="J380" s="53">
        <v>-48.355625000000003</v>
      </c>
      <c r="L380" s="61" t="str">
        <f t="shared" si="6"/>
        <v>Cliente4-Cliente51</v>
      </c>
      <c r="M380">
        <v>160.455218</v>
      </c>
    </row>
    <row r="381" spans="1:13" x14ac:dyDescent="0.25">
      <c r="A381" s="15" t="s">
        <v>4275</v>
      </c>
      <c r="B381" s="15" t="s">
        <v>4268</v>
      </c>
      <c r="C381" s="54">
        <v>42.323560999999998</v>
      </c>
      <c r="D381" s="26">
        <v>3.7499999999999999E-2</v>
      </c>
      <c r="E381" s="55">
        <v>-22.859686</v>
      </c>
      <c r="F381" s="55">
        <v>-47.146039000000002</v>
      </c>
      <c r="G381" s="55">
        <v>-22.988553</v>
      </c>
      <c r="H381" s="55">
        <v>-47.111597000000003</v>
      </c>
      <c r="I381" s="55">
        <v>-23.179463999999999</v>
      </c>
      <c r="J381" s="55">
        <v>-47.277175</v>
      </c>
      <c r="L381" s="61" t="str">
        <f t="shared" si="6"/>
        <v>Cliente5-depósito A</v>
      </c>
      <c r="M381">
        <v>42.323560999999998</v>
      </c>
    </row>
    <row r="382" spans="1:13" x14ac:dyDescent="0.25">
      <c r="A382" s="15" t="s">
        <v>4275</v>
      </c>
      <c r="B382" s="15" t="s">
        <v>4269</v>
      </c>
      <c r="C382" s="52">
        <v>110.50182100000001</v>
      </c>
      <c r="D382" s="25">
        <v>9.0277777777777776E-2</v>
      </c>
      <c r="E382" s="53">
        <v>-22.727509999999999</v>
      </c>
      <c r="F382" s="53">
        <v>-47.292185000000003</v>
      </c>
      <c r="G382" s="53">
        <v>-22.462173</v>
      </c>
      <c r="H382" s="53">
        <v>-47.525387000000002</v>
      </c>
      <c r="I382" s="53">
        <v>-22.277218999999999</v>
      </c>
      <c r="J382" s="53">
        <v>-47.695686000000002</v>
      </c>
      <c r="L382" s="61" t="str">
        <f t="shared" si="6"/>
        <v>Cliente5-depósito B</v>
      </c>
      <c r="M382">
        <v>110.50182100000001</v>
      </c>
    </row>
    <row r="383" spans="1:13" x14ac:dyDescent="0.25">
      <c r="A383" s="15" t="s">
        <v>4275</v>
      </c>
      <c r="B383" s="15" t="s">
        <v>4270</v>
      </c>
      <c r="C383" s="54">
        <v>91.056582000000006</v>
      </c>
      <c r="D383" s="26">
        <v>7.7083333333333337E-2</v>
      </c>
      <c r="E383" s="55">
        <v>-22.954253999999999</v>
      </c>
      <c r="F383" s="55">
        <v>-46.859864000000002</v>
      </c>
      <c r="G383" s="55">
        <v>-23.166015999999999</v>
      </c>
      <c r="H383" s="55">
        <v>-46.406891999999999</v>
      </c>
      <c r="I383" s="55">
        <v>-23.203334999999999</v>
      </c>
      <c r="J383" s="55">
        <v>-46.162970000000001</v>
      </c>
      <c r="L383" s="61" t="str">
        <f t="shared" si="6"/>
        <v>Cliente5-depósito C</v>
      </c>
      <c r="M383">
        <v>91.056582000000006</v>
      </c>
    </row>
    <row r="384" spans="1:13" x14ac:dyDescent="0.25">
      <c r="A384" s="15" t="s">
        <v>4275</v>
      </c>
      <c r="B384" s="15" t="s">
        <v>4271</v>
      </c>
      <c r="C384" s="52">
        <v>13.920612999999999</v>
      </c>
      <c r="D384" s="25">
        <v>1.6666666666666666E-2</v>
      </c>
      <c r="E384" s="53">
        <v>-22.846876000000002</v>
      </c>
      <c r="F384" s="53">
        <v>-47.079372999999997</v>
      </c>
      <c r="G384" s="53">
        <v>-22.888057</v>
      </c>
      <c r="H384" s="53">
        <v>-47.011823</v>
      </c>
      <c r="I384" s="53">
        <v>-22.935466999999999</v>
      </c>
      <c r="J384" s="53">
        <v>-47.010195000000003</v>
      </c>
      <c r="L384" s="61" t="str">
        <f t="shared" si="6"/>
        <v>Cliente5-Cliente1</v>
      </c>
      <c r="M384">
        <v>13.920612999999999</v>
      </c>
    </row>
    <row r="385" spans="1:13" x14ac:dyDescent="0.25">
      <c r="A385" s="15" t="s">
        <v>4275</v>
      </c>
      <c r="B385" s="15" t="s">
        <v>4272</v>
      </c>
      <c r="C385" s="54">
        <v>5.5774419999999996</v>
      </c>
      <c r="D385" s="26">
        <v>9.7222222222222224E-3</v>
      </c>
      <c r="E385" s="55">
        <v>-22.838508000000001</v>
      </c>
      <c r="F385" s="55">
        <v>-47.080786000000003</v>
      </c>
      <c r="G385" s="55">
        <v>-22.866682999999998</v>
      </c>
      <c r="H385" s="55">
        <v>-47.071133000000003</v>
      </c>
      <c r="I385" s="55">
        <v>-22.886838999999998</v>
      </c>
      <c r="J385" s="55">
        <v>-47.059682000000002</v>
      </c>
      <c r="L385" s="61" t="str">
        <f t="shared" si="6"/>
        <v>Cliente5-Cliente2</v>
      </c>
      <c r="M385">
        <v>5.5774419999999996</v>
      </c>
    </row>
    <row r="386" spans="1:13" x14ac:dyDescent="0.25">
      <c r="A386" s="15" t="s">
        <v>4275</v>
      </c>
      <c r="B386" s="15" t="s">
        <v>4273</v>
      </c>
      <c r="C386" s="52">
        <v>10.784545</v>
      </c>
      <c r="D386" s="25">
        <v>1.8055555555555557E-2</v>
      </c>
      <c r="E386" s="53">
        <v>-22.846053000000001</v>
      </c>
      <c r="F386" s="53">
        <v>-47.080314000000001</v>
      </c>
      <c r="G386" s="53">
        <v>-22.875357000000001</v>
      </c>
      <c r="H386" s="53">
        <v>-47.046298</v>
      </c>
      <c r="I386" s="53">
        <v>-22.912376999999999</v>
      </c>
      <c r="J386" s="53">
        <v>-47.045223999999997</v>
      </c>
      <c r="L386" s="61" t="str">
        <f t="shared" si="6"/>
        <v>Cliente5-Cliente3</v>
      </c>
      <c r="M386">
        <v>10.784545</v>
      </c>
    </row>
    <row r="387" spans="1:13" x14ac:dyDescent="0.25">
      <c r="A387" s="15" t="s">
        <v>4275</v>
      </c>
      <c r="B387" s="15" t="s">
        <v>4274</v>
      </c>
      <c r="C387" s="54">
        <v>0.76428799999999997</v>
      </c>
      <c r="D387" s="26">
        <v>2.0833333333333333E-3</v>
      </c>
      <c r="E387" s="55">
        <v>-22.823160999999999</v>
      </c>
      <c r="F387" s="55">
        <v>-47.078086999999996</v>
      </c>
      <c r="G387" s="55">
        <v>-22.82461</v>
      </c>
      <c r="H387" s="55">
        <v>-47.079611</v>
      </c>
      <c r="I387" s="55">
        <v>-22.824714</v>
      </c>
      <c r="J387" s="55">
        <v>-47.079867</v>
      </c>
      <c r="L387" s="61" t="str">
        <f t="shared" si="6"/>
        <v>Cliente5-Cliente4</v>
      </c>
      <c r="M387">
        <v>0.76428799999999997</v>
      </c>
    </row>
    <row r="388" spans="1:13" x14ac:dyDescent="0.25">
      <c r="A388" s="15" t="s">
        <v>4275</v>
      </c>
      <c r="B388" s="15" t="s">
        <v>4275</v>
      </c>
      <c r="C388" s="52">
        <v>0</v>
      </c>
      <c r="D388" s="25">
        <v>0</v>
      </c>
      <c r="E388" s="53">
        <f>'1. Locais'!D9</f>
        <v>-22.823070000000001</v>
      </c>
      <c r="F388" s="53">
        <f>'1. Locais'!E9</f>
        <v>-47.078180000000003</v>
      </c>
      <c r="G388" s="53">
        <f>'1. Locais'!D9</f>
        <v>-22.823070000000001</v>
      </c>
      <c r="H388" s="53">
        <f>'1. Locais'!E9</f>
        <v>-47.078180000000003</v>
      </c>
      <c r="I388" s="53">
        <f>'1. Locais'!D9</f>
        <v>-22.823070000000001</v>
      </c>
      <c r="J388" s="53">
        <f>'1. Locais'!E9</f>
        <v>-47.078180000000003</v>
      </c>
      <c r="L388" s="61" t="str">
        <f t="shared" si="6"/>
        <v>Cliente5-Cliente5</v>
      </c>
      <c r="M388">
        <v>0</v>
      </c>
    </row>
    <row r="389" spans="1:13" x14ac:dyDescent="0.25">
      <c r="A389" s="15" t="s">
        <v>4275</v>
      </c>
      <c r="B389" s="15" t="s">
        <v>4276</v>
      </c>
      <c r="C389" s="54">
        <v>15.484609000000001</v>
      </c>
      <c r="D389" s="26">
        <v>1.8055555555555557E-2</v>
      </c>
      <c r="E389" s="55">
        <v>-22.845749999999999</v>
      </c>
      <c r="F389" s="55">
        <v>-47.080047999999998</v>
      </c>
      <c r="G389" s="55">
        <v>-22.902961999999999</v>
      </c>
      <c r="H389" s="55">
        <v>-47.008187999999997</v>
      </c>
      <c r="I389" s="55">
        <v>-22.955514000000001</v>
      </c>
      <c r="J389" s="55">
        <v>-47.02364</v>
      </c>
      <c r="L389" s="61" t="str">
        <f t="shared" si="6"/>
        <v>Cliente5-Cliente6</v>
      </c>
      <c r="M389">
        <v>15.484609000000001</v>
      </c>
    </row>
    <row r="390" spans="1:13" x14ac:dyDescent="0.25">
      <c r="A390" s="15" t="s">
        <v>4275</v>
      </c>
      <c r="B390" s="15" t="s">
        <v>4277</v>
      </c>
      <c r="C390" s="52">
        <v>14.957685</v>
      </c>
      <c r="D390" s="25">
        <v>1.8055555555555557E-2</v>
      </c>
      <c r="E390" s="53">
        <v>-22.845718000000002</v>
      </c>
      <c r="F390" s="53">
        <v>-47.084485000000001</v>
      </c>
      <c r="G390" s="53">
        <v>-22.867867</v>
      </c>
      <c r="H390" s="53">
        <v>-47.133052999999997</v>
      </c>
      <c r="I390" s="53">
        <v>-22.931249000000001</v>
      </c>
      <c r="J390" s="53">
        <v>-47.077018000000002</v>
      </c>
      <c r="L390" s="61" t="str">
        <f t="shared" si="6"/>
        <v>Cliente5-Cliente7</v>
      </c>
      <c r="M390">
        <v>14.957685</v>
      </c>
    </row>
    <row r="391" spans="1:13" x14ac:dyDescent="0.25">
      <c r="A391" s="15" t="s">
        <v>4275</v>
      </c>
      <c r="B391" s="15" t="s">
        <v>4278</v>
      </c>
      <c r="C391" s="54">
        <v>13.958517000000001</v>
      </c>
      <c r="D391" s="26">
        <v>1.6666666666666666E-2</v>
      </c>
      <c r="E391" s="55">
        <v>-22.846876000000002</v>
      </c>
      <c r="F391" s="55">
        <v>-47.079372999999997</v>
      </c>
      <c r="G391" s="55">
        <v>-22.891165000000001</v>
      </c>
      <c r="H391" s="55">
        <v>-47.010303</v>
      </c>
      <c r="I391" s="55">
        <v>-22.897639999999999</v>
      </c>
      <c r="J391" s="55">
        <v>-47.004165999999998</v>
      </c>
      <c r="L391" s="61" t="str">
        <f t="shared" si="6"/>
        <v>Cliente5-Cliente8</v>
      </c>
      <c r="M391">
        <v>13.958517000000001</v>
      </c>
    </row>
    <row r="392" spans="1:13" x14ac:dyDescent="0.25">
      <c r="A392" s="15" t="s">
        <v>4275</v>
      </c>
      <c r="B392" s="15" t="s">
        <v>4279</v>
      </c>
      <c r="C392" s="52">
        <v>20.720295</v>
      </c>
      <c r="D392" s="25">
        <v>2.2916666666666669E-2</v>
      </c>
      <c r="E392" s="53">
        <v>-22.843008000000001</v>
      </c>
      <c r="F392" s="53">
        <v>-47.079965000000001</v>
      </c>
      <c r="G392" s="53">
        <v>-22.845217000000002</v>
      </c>
      <c r="H392" s="53">
        <v>-47.165337000000001</v>
      </c>
      <c r="I392" s="53">
        <v>-22.732977000000002</v>
      </c>
      <c r="J392" s="53">
        <v>-47.287860000000002</v>
      </c>
      <c r="L392" s="61" t="str">
        <f t="shared" si="6"/>
        <v>Cliente5-Cliente9</v>
      </c>
      <c r="M392">
        <v>20.720295</v>
      </c>
    </row>
    <row r="393" spans="1:13" x14ac:dyDescent="0.25">
      <c r="A393" s="15" t="s">
        <v>4275</v>
      </c>
      <c r="B393" s="15" t="s">
        <v>4280</v>
      </c>
      <c r="C393" s="54">
        <v>68.377719999999997</v>
      </c>
      <c r="D393" s="26">
        <v>6.3888888888888884E-2</v>
      </c>
      <c r="E393" s="55">
        <v>-22.967970999999999</v>
      </c>
      <c r="F393" s="55">
        <v>-47.118595999999997</v>
      </c>
      <c r="G393" s="55">
        <v>-23.249438999999999</v>
      </c>
      <c r="H393" s="55">
        <v>-46.876894999999998</v>
      </c>
      <c r="I393" s="55">
        <v>-23.424029999999998</v>
      </c>
      <c r="J393" s="55">
        <v>-46.761023999999999</v>
      </c>
      <c r="L393" s="61" t="str">
        <f t="shared" si="6"/>
        <v>Cliente5-Cliente10</v>
      </c>
      <c r="M393">
        <v>68.377719999999997</v>
      </c>
    </row>
    <row r="394" spans="1:13" x14ac:dyDescent="0.25">
      <c r="A394" s="15" t="s">
        <v>4275</v>
      </c>
      <c r="B394" s="15" t="s">
        <v>4281</v>
      </c>
      <c r="C394" s="52">
        <v>41.270333999999998</v>
      </c>
      <c r="D394" s="25">
        <v>3.6805555555555557E-2</v>
      </c>
      <c r="E394" s="53">
        <v>-22.856195</v>
      </c>
      <c r="F394" s="53">
        <v>-47.136727</v>
      </c>
      <c r="G394" s="53">
        <v>-22.753661999999998</v>
      </c>
      <c r="H394" s="53">
        <v>-47.257589000000003</v>
      </c>
      <c r="I394" s="53">
        <v>-22.749282000000001</v>
      </c>
      <c r="J394" s="53">
        <v>-47.499755</v>
      </c>
      <c r="L394" s="61" t="str">
        <f t="shared" si="6"/>
        <v>Cliente5-Cliente11</v>
      </c>
      <c r="M394">
        <v>41.270333999999998</v>
      </c>
    </row>
    <row r="395" spans="1:13" x14ac:dyDescent="0.25">
      <c r="A395" s="15" t="s">
        <v>4275</v>
      </c>
      <c r="B395" s="15" t="s">
        <v>4282</v>
      </c>
      <c r="C395" s="54">
        <v>90.097803999999996</v>
      </c>
      <c r="D395" s="26">
        <v>7.7083333333333337E-2</v>
      </c>
      <c r="E395" s="55">
        <v>-22.955891999999999</v>
      </c>
      <c r="F395" s="55">
        <v>-46.856689000000003</v>
      </c>
      <c r="G395" s="55">
        <v>-23.165762000000001</v>
      </c>
      <c r="H395" s="55">
        <v>-46.405217999999998</v>
      </c>
      <c r="I395" s="55">
        <v>-23.205921</v>
      </c>
      <c r="J395" s="55">
        <v>-46.159602999999997</v>
      </c>
      <c r="L395" s="61" t="str">
        <f t="shared" si="6"/>
        <v>Cliente5-Cliente12</v>
      </c>
      <c r="M395">
        <v>90.097803999999996</v>
      </c>
    </row>
    <row r="396" spans="1:13" x14ac:dyDescent="0.25">
      <c r="A396" s="15" t="s">
        <v>4275</v>
      </c>
      <c r="B396" s="15" t="s">
        <v>4283</v>
      </c>
      <c r="C396" s="52">
        <v>97.981780999999998</v>
      </c>
      <c r="D396" s="25">
        <v>8.2638888888888887E-2</v>
      </c>
      <c r="E396" s="53">
        <v>-22.974385999999999</v>
      </c>
      <c r="F396" s="53">
        <v>-46.835890999999997</v>
      </c>
      <c r="G396" s="53">
        <v>-23.175464999999999</v>
      </c>
      <c r="H396" s="53">
        <v>-46.383257</v>
      </c>
      <c r="I396" s="53">
        <v>-23.242032999999999</v>
      </c>
      <c r="J396" s="53">
        <v>-46.120745999999997</v>
      </c>
      <c r="L396" s="61" t="str">
        <f t="shared" si="6"/>
        <v>Cliente5-Cliente13</v>
      </c>
      <c r="M396">
        <v>97.981780999999998</v>
      </c>
    </row>
    <row r="397" spans="1:13" x14ac:dyDescent="0.25">
      <c r="A397" s="15" t="s">
        <v>4275</v>
      </c>
      <c r="B397" s="15" t="s">
        <v>4284</v>
      </c>
      <c r="C397" s="54">
        <v>96.044341000000003</v>
      </c>
      <c r="D397" s="26">
        <v>7.9166666666666663E-2</v>
      </c>
      <c r="E397" s="55">
        <v>-22.948504</v>
      </c>
      <c r="F397" s="55">
        <v>-46.868555999999998</v>
      </c>
      <c r="G397" s="55">
        <v>-23.171246</v>
      </c>
      <c r="H397" s="55">
        <v>-46.426251999999998</v>
      </c>
      <c r="I397" s="55">
        <v>-23.198049999999999</v>
      </c>
      <c r="J397" s="55">
        <v>-46.182833000000002</v>
      </c>
      <c r="L397" s="61" t="str">
        <f t="shared" si="6"/>
        <v>Cliente5-Cliente14</v>
      </c>
      <c r="M397">
        <v>96.044341000000003</v>
      </c>
    </row>
    <row r="398" spans="1:13" x14ac:dyDescent="0.25">
      <c r="A398" s="15" t="s">
        <v>4275</v>
      </c>
      <c r="B398" s="15" t="s">
        <v>4285</v>
      </c>
      <c r="C398" s="52">
        <v>98.422955999999999</v>
      </c>
      <c r="D398" s="25">
        <v>8.5416666666666655E-2</v>
      </c>
      <c r="E398" s="53">
        <v>-22.974385999999999</v>
      </c>
      <c r="F398" s="53">
        <v>-46.835890999999997</v>
      </c>
      <c r="G398" s="53">
        <v>-23.175464999999999</v>
      </c>
      <c r="H398" s="53">
        <v>-46.383257</v>
      </c>
      <c r="I398" s="53">
        <v>-23.242032999999999</v>
      </c>
      <c r="J398" s="53">
        <v>-46.120745999999997</v>
      </c>
      <c r="L398" s="61" t="str">
        <f t="shared" si="6"/>
        <v>Cliente5-Cliente15</v>
      </c>
      <c r="M398">
        <v>98.422955999999999</v>
      </c>
    </row>
    <row r="399" spans="1:13" x14ac:dyDescent="0.25">
      <c r="A399" s="15" t="s">
        <v>4275</v>
      </c>
      <c r="B399" s="15" t="s">
        <v>4286</v>
      </c>
      <c r="C399" s="54">
        <v>97.353573999999995</v>
      </c>
      <c r="D399" s="26">
        <v>8.4027777777777771E-2</v>
      </c>
      <c r="E399" s="55">
        <v>-22.973634000000001</v>
      </c>
      <c r="F399" s="55">
        <v>-46.836722999999999</v>
      </c>
      <c r="G399" s="55">
        <v>-23.173099000000001</v>
      </c>
      <c r="H399" s="55">
        <v>-46.385699000000002</v>
      </c>
      <c r="I399" s="55">
        <v>-23.235664</v>
      </c>
      <c r="J399" s="55">
        <v>-46.126009000000003</v>
      </c>
      <c r="L399" s="61" t="str">
        <f t="shared" si="6"/>
        <v>Cliente5-Cliente16</v>
      </c>
      <c r="M399">
        <v>97.353573999999995</v>
      </c>
    </row>
    <row r="400" spans="1:13" x14ac:dyDescent="0.25">
      <c r="A400" s="15" t="s">
        <v>4275</v>
      </c>
      <c r="B400" s="15" t="s">
        <v>4287</v>
      </c>
      <c r="C400" s="52">
        <v>98.409285999999994</v>
      </c>
      <c r="D400" s="25">
        <v>8.1944444444444445E-2</v>
      </c>
      <c r="E400" s="53">
        <v>-22.974385999999999</v>
      </c>
      <c r="F400" s="53">
        <v>-46.835890999999997</v>
      </c>
      <c r="G400" s="53">
        <v>-23.175464999999999</v>
      </c>
      <c r="H400" s="53">
        <v>-46.383257</v>
      </c>
      <c r="I400" s="53">
        <v>-23.242032999999999</v>
      </c>
      <c r="J400" s="53">
        <v>-46.120745999999997</v>
      </c>
      <c r="L400" s="61" t="str">
        <f t="shared" si="6"/>
        <v>Cliente5-Cliente17</v>
      </c>
      <c r="M400">
        <v>98.409285999999994</v>
      </c>
    </row>
    <row r="401" spans="1:13" x14ac:dyDescent="0.25">
      <c r="A401" s="15" t="s">
        <v>4275</v>
      </c>
      <c r="B401" s="15" t="s">
        <v>4288</v>
      </c>
      <c r="C401" s="54">
        <v>103.237352</v>
      </c>
      <c r="D401" s="26">
        <v>8.6805555555555566E-2</v>
      </c>
      <c r="E401" s="55">
        <v>-22.962316000000001</v>
      </c>
      <c r="F401" s="55">
        <v>-46.846612999999998</v>
      </c>
      <c r="G401" s="55">
        <v>-23.168109999999999</v>
      </c>
      <c r="H401" s="55">
        <v>-46.394799999999996</v>
      </c>
      <c r="I401" s="55">
        <v>-23.219465</v>
      </c>
      <c r="J401" s="55">
        <v>-46.144137000000001</v>
      </c>
      <c r="L401" s="61" t="str">
        <f t="shared" si="6"/>
        <v>Cliente5-Cliente18</v>
      </c>
      <c r="M401">
        <v>103.237352</v>
      </c>
    </row>
    <row r="402" spans="1:13" x14ac:dyDescent="0.25">
      <c r="A402" s="15" t="s">
        <v>4275</v>
      </c>
      <c r="B402" s="15" t="s">
        <v>4289</v>
      </c>
      <c r="C402" s="52">
        <v>65.157767000000007</v>
      </c>
      <c r="D402" s="25">
        <v>5.5555555555555552E-2</v>
      </c>
      <c r="E402" s="53">
        <v>-22.938085999999998</v>
      </c>
      <c r="F402" s="53">
        <v>-47.126828000000003</v>
      </c>
      <c r="G402" s="53">
        <v>-23.172350000000002</v>
      </c>
      <c r="H402" s="53">
        <v>-46.938583000000001</v>
      </c>
      <c r="I402" s="53">
        <v>-23.357949999999999</v>
      </c>
      <c r="J402" s="53">
        <v>-46.786448</v>
      </c>
      <c r="L402" s="61" t="str">
        <f t="shared" ref="L402:L465" si="7">_xlfn.CONCAT(A402,"-",B402)</f>
        <v>Cliente5-Cliente19</v>
      </c>
      <c r="M402">
        <v>65.157767000000007</v>
      </c>
    </row>
    <row r="403" spans="1:13" x14ac:dyDescent="0.25">
      <c r="A403" s="15" t="s">
        <v>4275</v>
      </c>
      <c r="B403" s="15" t="s">
        <v>4290</v>
      </c>
      <c r="C403" s="54">
        <v>66.729839999999996</v>
      </c>
      <c r="D403" s="26">
        <v>5.8333333333333327E-2</v>
      </c>
      <c r="E403" s="55">
        <v>-22.957585000000002</v>
      </c>
      <c r="F403" s="55">
        <v>-47.125774999999997</v>
      </c>
      <c r="G403" s="55">
        <v>-23.214355000000001</v>
      </c>
      <c r="H403" s="55">
        <v>-46.919446000000001</v>
      </c>
      <c r="I403" s="55">
        <v>-23.383962</v>
      </c>
      <c r="J403" s="55">
        <v>-46.769461999999997</v>
      </c>
      <c r="L403" s="61" t="str">
        <f t="shared" si="7"/>
        <v>Cliente5-Cliente20</v>
      </c>
      <c r="M403">
        <v>66.729839999999996</v>
      </c>
    </row>
    <row r="404" spans="1:13" x14ac:dyDescent="0.25">
      <c r="A404" s="15" t="s">
        <v>4275</v>
      </c>
      <c r="B404" s="15" t="s">
        <v>4291</v>
      </c>
      <c r="C404" s="52">
        <v>66.331540000000004</v>
      </c>
      <c r="D404" s="25">
        <v>5.9027777777777783E-2</v>
      </c>
      <c r="E404" s="53">
        <v>-22.969265</v>
      </c>
      <c r="F404" s="53">
        <v>-47.117648000000003</v>
      </c>
      <c r="G404" s="53">
        <v>-23.254384999999999</v>
      </c>
      <c r="H404" s="53">
        <v>-46.870885000000001</v>
      </c>
      <c r="I404" s="53">
        <v>-23.436159</v>
      </c>
      <c r="J404" s="53">
        <v>-46.759548000000002</v>
      </c>
      <c r="L404" s="61" t="str">
        <f t="shared" si="7"/>
        <v>Cliente5-Cliente21</v>
      </c>
      <c r="M404">
        <v>66.331540000000004</v>
      </c>
    </row>
    <row r="405" spans="1:13" x14ac:dyDescent="0.25">
      <c r="A405" s="15" t="s">
        <v>4275</v>
      </c>
      <c r="B405" s="15" t="s">
        <v>4292</v>
      </c>
      <c r="C405" s="54">
        <v>65.454783000000006</v>
      </c>
      <c r="D405" s="26">
        <v>5.7638888888888885E-2</v>
      </c>
      <c r="E405" s="55">
        <v>-22.959524999999999</v>
      </c>
      <c r="F405" s="55">
        <v>-47.125193000000003</v>
      </c>
      <c r="G405" s="55">
        <v>-23.242096</v>
      </c>
      <c r="H405" s="55">
        <v>-46.883797999999999</v>
      </c>
      <c r="I405" s="55">
        <v>-23.410412000000001</v>
      </c>
      <c r="J405" s="55">
        <v>-46.767440000000001</v>
      </c>
      <c r="L405" s="61" t="str">
        <f t="shared" si="7"/>
        <v>Cliente5-Cliente22</v>
      </c>
      <c r="M405">
        <v>65.454783000000006</v>
      </c>
    </row>
    <row r="406" spans="1:13" x14ac:dyDescent="0.25">
      <c r="A406" s="15" t="s">
        <v>4275</v>
      </c>
      <c r="B406" s="15" t="s">
        <v>4293</v>
      </c>
      <c r="C406" s="52">
        <v>74.605118000000004</v>
      </c>
      <c r="D406" s="25">
        <v>6.5277777777777782E-2</v>
      </c>
      <c r="E406" s="53">
        <v>-22.998304999999998</v>
      </c>
      <c r="F406" s="53">
        <v>-47.102885000000001</v>
      </c>
      <c r="G406" s="53">
        <v>-23.294074999999999</v>
      </c>
      <c r="H406" s="53">
        <v>-46.842619999999997</v>
      </c>
      <c r="I406" s="53">
        <v>-23.501730999999999</v>
      </c>
      <c r="J406" s="53">
        <v>-46.821258999999998</v>
      </c>
      <c r="L406" s="61" t="str">
        <f t="shared" si="7"/>
        <v>Cliente5-Cliente23</v>
      </c>
      <c r="M406">
        <v>74.605118000000004</v>
      </c>
    </row>
    <row r="407" spans="1:13" x14ac:dyDescent="0.25">
      <c r="A407" s="15" t="s">
        <v>4275</v>
      </c>
      <c r="B407" s="15" t="s">
        <v>4294</v>
      </c>
      <c r="C407" s="54">
        <v>75.584401</v>
      </c>
      <c r="D407" s="26">
        <v>6.7361111111111108E-2</v>
      </c>
      <c r="E407" s="55">
        <v>-23.000342</v>
      </c>
      <c r="F407" s="55">
        <v>-47.101081999999998</v>
      </c>
      <c r="G407" s="55">
        <v>-23.295711000000001</v>
      </c>
      <c r="H407" s="55">
        <v>-46.841707999999997</v>
      </c>
      <c r="I407" s="55">
        <v>-23.507987</v>
      </c>
      <c r="J407" s="55">
        <v>-46.821829000000001</v>
      </c>
      <c r="L407" s="61" t="str">
        <f t="shared" si="7"/>
        <v>Cliente5-Cliente24</v>
      </c>
      <c r="M407">
        <v>75.584401</v>
      </c>
    </row>
    <row r="408" spans="1:13" x14ac:dyDescent="0.25">
      <c r="A408" s="15" t="s">
        <v>4275</v>
      </c>
      <c r="B408" s="15" t="s">
        <v>4295</v>
      </c>
      <c r="C408" s="52">
        <v>78.404812000000007</v>
      </c>
      <c r="D408" s="25">
        <v>7.013888888888889E-2</v>
      </c>
      <c r="E408" s="53">
        <v>-23.005072999999999</v>
      </c>
      <c r="F408" s="53">
        <v>-47.097119999999997</v>
      </c>
      <c r="G408" s="53">
        <v>-23.301579</v>
      </c>
      <c r="H408" s="53">
        <v>-46.840843</v>
      </c>
      <c r="I408" s="53">
        <v>-23.515146000000001</v>
      </c>
      <c r="J408" s="53">
        <v>-46.816445000000002</v>
      </c>
      <c r="L408" s="61" t="str">
        <f t="shared" si="7"/>
        <v>Cliente5-Cliente25</v>
      </c>
      <c r="M408">
        <v>78.404812000000007</v>
      </c>
    </row>
    <row r="409" spans="1:13" x14ac:dyDescent="0.25">
      <c r="A409" s="15" t="s">
        <v>4275</v>
      </c>
      <c r="B409" s="15" t="s">
        <v>4296</v>
      </c>
      <c r="C409" s="54">
        <v>70.067233000000002</v>
      </c>
      <c r="D409" s="26">
        <v>6.0416666666666667E-2</v>
      </c>
      <c r="E409" s="55">
        <v>-22.990967999999999</v>
      </c>
      <c r="F409" s="55">
        <v>-47.111179</v>
      </c>
      <c r="G409" s="55">
        <v>-23.276931999999999</v>
      </c>
      <c r="H409" s="55">
        <v>-46.849691</v>
      </c>
      <c r="I409" s="55">
        <v>-23.477796000000001</v>
      </c>
      <c r="J409" s="55">
        <v>-46.801962000000003</v>
      </c>
      <c r="L409" s="61" t="str">
        <f t="shared" si="7"/>
        <v>Cliente5-Cliente26</v>
      </c>
      <c r="M409">
        <v>70.067233000000002</v>
      </c>
    </row>
    <row r="410" spans="1:13" x14ac:dyDescent="0.25">
      <c r="A410" s="15" t="s">
        <v>4275</v>
      </c>
      <c r="B410" s="15" t="s">
        <v>4297</v>
      </c>
      <c r="C410" s="52">
        <v>76.384107999999998</v>
      </c>
      <c r="D410" s="25">
        <v>6.805555555555555E-2</v>
      </c>
      <c r="E410" s="53">
        <v>-23.005072999999999</v>
      </c>
      <c r="F410" s="53">
        <v>-47.097119999999997</v>
      </c>
      <c r="G410" s="53">
        <v>-23.301579</v>
      </c>
      <c r="H410" s="53">
        <v>-46.840843</v>
      </c>
      <c r="I410" s="53">
        <v>-23.515146000000001</v>
      </c>
      <c r="J410" s="53">
        <v>-46.816445000000002</v>
      </c>
      <c r="L410" s="61" t="str">
        <f t="shared" si="7"/>
        <v>Cliente5-Cliente27</v>
      </c>
      <c r="M410">
        <v>76.384107999999998</v>
      </c>
    </row>
    <row r="411" spans="1:13" x14ac:dyDescent="0.25">
      <c r="A411" s="15" t="s">
        <v>4275</v>
      </c>
      <c r="B411" s="15" t="s">
        <v>4298</v>
      </c>
      <c r="C411" s="54">
        <v>77.715710000000001</v>
      </c>
      <c r="D411" s="26">
        <v>7.4305555555555555E-2</v>
      </c>
      <c r="E411" s="55">
        <v>-23.005072999999999</v>
      </c>
      <c r="F411" s="55">
        <v>-47.097119999999997</v>
      </c>
      <c r="G411" s="55">
        <v>-23.301579</v>
      </c>
      <c r="H411" s="55">
        <v>-46.840843</v>
      </c>
      <c r="I411" s="55">
        <v>-23.514894000000002</v>
      </c>
      <c r="J411" s="55">
        <v>-46.727944999999998</v>
      </c>
      <c r="L411" s="61" t="str">
        <f t="shared" si="7"/>
        <v>Cliente5-Cliente28</v>
      </c>
      <c r="M411">
        <v>77.715710000000001</v>
      </c>
    </row>
    <row r="412" spans="1:13" x14ac:dyDescent="0.25">
      <c r="A412" s="15" t="s">
        <v>4275</v>
      </c>
      <c r="B412" s="15" t="s">
        <v>4299</v>
      </c>
      <c r="C412" s="52">
        <v>79.978127999999998</v>
      </c>
      <c r="D412" s="25">
        <v>7.8472222222222221E-2</v>
      </c>
      <c r="E412" s="53">
        <v>-23.010133</v>
      </c>
      <c r="F412" s="53">
        <v>-47.091296</v>
      </c>
      <c r="G412" s="53">
        <v>-23.309555</v>
      </c>
      <c r="H412" s="53">
        <v>-46.833823000000002</v>
      </c>
      <c r="I412" s="53">
        <v>-23.515785999999999</v>
      </c>
      <c r="J412" s="53">
        <v>-46.667776000000003</v>
      </c>
      <c r="L412" s="61" t="str">
        <f t="shared" si="7"/>
        <v>Cliente5-Cliente29</v>
      </c>
      <c r="M412">
        <v>79.978127999999998</v>
      </c>
    </row>
    <row r="413" spans="1:13" x14ac:dyDescent="0.25">
      <c r="A413" s="15" t="s">
        <v>4275</v>
      </c>
      <c r="B413" s="15" t="s">
        <v>4300</v>
      </c>
      <c r="C413" s="54">
        <v>84.037555999999995</v>
      </c>
      <c r="D413" s="26">
        <v>8.7500000000000008E-2</v>
      </c>
      <c r="E413" s="55">
        <v>-23.042501999999999</v>
      </c>
      <c r="F413" s="55">
        <v>-47.062494000000001</v>
      </c>
      <c r="G413" s="55">
        <v>-23.352162</v>
      </c>
      <c r="H413" s="55">
        <v>-46.797348</v>
      </c>
      <c r="I413" s="55">
        <v>-23.558578000000001</v>
      </c>
      <c r="J413" s="55">
        <v>-46.615661000000003</v>
      </c>
      <c r="L413" s="61" t="str">
        <f t="shared" si="7"/>
        <v>Cliente5-Cliente30</v>
      </c>
      <c r="M413">
        <v>84.037555999999995</v>
      </c>
    </row>
    <row r="414" spans="1:13" x14ac:dyDescent="0.25">
      <c r="A414" s="15" t="s">
        <v>4275</v>
      </c>
      <c r="B414" s="15" t="s">
        <v>4301</v>
      </c>
      <c r="C414" s="52">
        <v>69.440267000000006</v>
      </c>
      <c r="D414" s="25">
        <v>6.3888888888888884E-2</v>
      </c>
      <c r="E414" s="53">
        <v>-22.991216000000001</v>
      </c>
      <c r="F414" s="53">
        <v>-47.111085000000003</v>
      </c>
      <c r="G414" s="53">
        <v>-23.276931999999999</v>
      </c>
      <c r="H414" s="53">
        <v>-46.849691</v>
      </c>
      <c r="I414" s="53">
        <v>-23.491206999999999</v>
      </c>
      <c r="J414" s="53">
        <v>-46.735073999999997</v>
      </c>
      <c r="L414" s="61" t="str">
        <f t="shared" si="7"/>
        <v>Cliente5-Cliente31</v>
      </c>
      <c r="M414">
        <v>69.440267000000006</v>
      </c>
    </row>
    <row r="415" spans="1:13" x14ac:dyDescent="0.25">
      <c r="A415" s="15" t="s">
        <v>4275</v>
      </c>
      <c r="B415" s="15" t="s">
        <v>4302</v>
      </c>
      <c r="C415" s="54">
        <v>64.903625000000005</v>
      </c>
      <c r="D415" s="26">
        <v>5.9027777777777783E-2</v>
      </c>
      <c r="E415" s="55">
        <v>-22.989923000000001</v>
      </c>
      <c r="F415" s="55">
        <v>-47.111446000000001</v>
      </c>
      <c r="G415" s="55">
        <v>-23.273250999999998</v>
      </c>
      <c r="H415" s="55">
        <v>-46.854062999999996</v>
      </c>
      <c r="I415" s="55">
        <v>-23.449884000000001</v>
      </c>
      <c r="J415" s="55">
        <v>-46.787374</v>
      </c>
      <c r="L415" s="61" t="str">
        <f t="shared" si="7"/>
        <v>Cliente5-Cliente32</v>
      </c>
      <c r="M415">
        <v>64.903625000000005</v>
      </c>
    </row>
    <row r="416" spans="1:13" x14ac:dyDescent="0.25">
      <c r="A416" s="15" t="s">
        <v>4275</v>
      </c>
      <c r="B416" s="15" t="s">
        <v>4303</v>
      </c>
      <c r="C416" s="52">
        <v>73.590416000000005</v>
      </c>
      <c r="D416" s="25">
        <v>7.013888888888889E-2</v>
      </c>
      <c r="E416" s="53">
        <v>-22.935102000000001</v>
      </c>
      <c r="F416" s="53">
        <v>-46.886113999999999</v>
      </c>
      <c r="G416" s="53">
        <v>-23.2346</v>
      </c>
      <c r="H416" s="53">
        <v>-46.601993</v>
      </c>
      <c r="I416" s="53">
        <v>-23.353808999999998</v>
      </c>
      <c r="J416" s="53">
        <v>-46.551127000000001</v>
      </c>
      <c r="L416" s="61" t="str">
        <f t="shared" si="7"/>
        <v>Cliente5-Cliente33</v>
      </c>
      <c r="M416">
        <v>73.590416000000005</v>
      </c>
    </row>
    <row r="417" spans="1:13" x14ac:dyDescent="0.25">
      <c r="A417" s="15" t="s">
        <v>4275</v>
      </c>
      <c r="B417" s="15" t="s">
        <v>4304</v>
      </c>
      <c r="C417" s="54">
        <v>60.777088999999997</v>
      </c>
      <c r="D417" s="26">
        <v>5.9027777777777783E-2</v>
      </c>
      <c r="E417" s="55">
        <v>-23.016147</v>
      </c>
      <c r="F417" s="55">
        <v>-47.083191999999997</v>
      </c>
      <c r="G417" s="55">
        <v>-23.298570999999999</v>
      </c>
      <c r="H417" s="55">
        <v>-46.860979</v>
      </c>
      <c r="I417" s="55">
        <v>-23.418272999999999</v>
      </c>
      <c r="J417" s="55">
        <v>-46.820982000000001</v>
      </c>
      <c r="L417" s="61" t="str">
        <f t="shared" si="7"/>
        <v>Cliente5-Cliente34</v>
      </c>
      <c r="M417">
        <v>60.777088999999997</v>
      </c>
    </row>
    <row r="418" spans="1:13" x14ac:dyDescent="0.25">
      <c r="A418" s="15" t="s">
        <v>4275</v>
      </c>
      <c r="B418" s="15" t="s">
        <v>4305</v>
      </c>
      <c r="C418" s="52">
        <v>61.308984000000002</v>
      </c>
      <c r="D418" s="25">
        <v>6.0416666666666667E-2</v>
      </c>
      <c r="E418" s="53">
        <v>-23.022991000000001</v>
      </c>
      <c r="F418" s="53">
        <v>-47.076988999999998</v>
      </c>
      <c r="G418" s="53">
        <v>-23.303177000000002</v>
      </c>
      <c r="H418" s="53">
        <v>-46.856039000000003</v>
      </c>
      <c r="I418" s="53">
        <v>-23.421206999999999</v>
      </c>
      <c r="J418" s="53">
        <v>-46.822113999999999</v>
      </c>
      <c r="L418" s="61" t="str">
        <f t="shared" si="7"/>
        <v>Cliente5-Cliente35</v>
      </c>
      <c r="M418">
        <v>61.308984000000002</v>
      </c>
    </row>
    <row r="419" spans="1:13" x14ac:dyDescent="0.25">
      <c r="A419" s="15" t="s">
        <v>4275</v>
      </c>
      <c r="B419" s="15" t="s">
        <v>4306</v>
      </c>
      <c r="C419" s="54">
        <v>87.437707000000003</v>
      </c>
      <c r="D419" s="26">
        <v>7.4999999999999997E-2</v>
      </c>
      <c r="E419" s="55">
        <v>-22.730011000000001</v>
      </c>
      <c r="F419" s="55">
        <v>-47.291051000000003</v>
      </c>
      <c r="G419" s="55">
        <v>-22.472346000000002</v>
      </c>
      <c r="H419" s="55">
        <v>-47.500408</v>
      </c>
      <c r="I419" s="55">
        <v>-22.278445999999999</v>
      </c>
      <c r="J419" s="55">
        <v>-47.685183000000002</v>
      </c>
      <c r="L419" s="61" t="str">
        <f t="shared" si="7"/>
        <v>Cliente5-Cliente36</v>
      </c>
      <c r="M419">
        <v>87.437707000000003</v>
      </c>
    </row>
    <row r="420" spans="1:13" x14ac:dyDescent="0.25">
      <c r="A420" s="15" t="s">
        <v>4275</v>
      </c>
      <c r="B420" s="15" t="s">
        <v>4307</v>
      </c>
      <c r="C420" s="52">
        <v>86.340985000000003</v>
      </c>
      <c r="D420" s="25">
        <v>7.3611111111111113E-2</v>
      </c>
      <c r="E420" s="53">
        <v>-22.727509999999999</v>
      </c>
      <c r="F420" s="53">
        <v>-47.292185000000003</v>
      </c>
      <c r="G420" s="53">
        <v>-22.462173</v>
      </c>
      <c r="H420" s="53">
        <v>-47.525387000000002</v>
      </c>
      <c r="I420" s="53">
        <v>-22.277553999999999</v>
      </c>
      <c r="J420" s="53">
        <v>-47.694482999999998</v>
      </c>
      <c r="L420" s="61" t="str">
        <f t="shared" si="7"/>
        <v>Cliente5-Cliente37</v>
      </c>
      <c r="M420">
        <v>86.340985000000003</v>
      </c>
    </row>
    <row r="421" spans="1:13" x14ac:dyDescent="0.25">
      <c r="A421" s="15" t="s">
        <v>4275</v>
      </c>
      <c r="B421" s="15" t="s">
        <v>4308</v>
      </c>
      <c r="C421" s="54">
        <v>84.564480000000003</v>
      </c>
      <c r="D421" s="26">
        <v>7.1527777777777787E-2</v>
      </c>
      <c r="E421" s="55">
        <v>-22.733618</v>
      </c>
      <c r="F421" s="55">
        <v>-47.286608000000001</v>
      </c>
      <c r="G421" s="55">
        <v>-22.501826000000001</v>
      </c>
      <c r="H421" s="55">
        <v>-47.397340999999997</v>
      </c>
      <c r="I421" s="55">
        <v>-22.301639999999999</v>
      </c>
      <c r="J421" s="55">
        <v>-47.670448999999998</v>
      </c>
      <c r="L421" s="61" t="str">
        <f t="shared" si="7"/>
        <v>Cliente5-Cliente38</v>
      </c>
      <c r="M421">
        <v>84.564480000000003</v>
      </c>
    </row>
    <row r="422" spans="1:13" x14ac:dyDescent="0.25">
      <c r="A422" s="15" t="s">
        <v>4275</v>
      </c>
      <c r="B422" s="15" t="s">
        <v>4309</v>
      </c>
      <c r="C422" s="52">
        <v>124.24347899999999</v>
      </c>
      <c r="D422" s="25">
        <v>0.10625</v>
      </c>
      <c r="E422" s="53">
        <v>-22.986961000000001</v>
      </c>
      <c r="F422" s="53">
        <v>-46.808838000000002</v>
      </c>
      <c r="G422" s="53">
        <v>-23.185866000000001</v>
      </c>
      <c r="H422" s="53">
        <v>-46.361266999999998</v>
      </c>
      <c r="I422" s="53">
        <v>-23.254076999999999</v>
      </c>
      <c r="J422" s="53">
        <v>-46.087262000000003</v>
      </c>
      <c r="L422" s="61" t="str">
        <f t="shared" si="7"/>
        <v>Cliente5-Cliente39</v>
      </c>
      <c r="M422">
        <v>124.24347899999999</v>
      </c>
    </row>
    <row r="423" spans="1:13" x14ac:dyDescent="0.25">
      <c r="A423" s="15" t="s">
        <v>4275</v>
      </c>
      <c r="B423" s="15" t="s">
        <v>4310</v>
      </c>
      <c r="C423" s="54">
        <v>125.80498799999999</v>
      </c>
      <c r="D423" s="26">
        <v>0.10972222222222222</v>
      </c>
      <c r="E423" s="55">
        <v>-22.9908</v>
      </c>
      <c r="F423" s="55">
        <v>-46.797552000000003</v>
      </c>
      <c r="G423" s="55">
        <v>-23.190529000000002</v>
      </c>
      <c r="H423" s="55">
        <v>-46.356698000000002</v>
      </c>
      <c r="I423" s="55">
        <v>-23.247771</v>
      </c>
      <c r="J423" s="55">
        <v>-46.079799000000001</v>
      </c>
      <c r="L423" s="61" t="str">
        <f t="shared" si="7"/>
        <v>Cliente5-Cliente40</v>
      </c>
      <c r="M423">
        <v>125.80498799999999</v>
      </c>
    </row>
    <row r="424" spans="1:13" x14ac:dyDescent="0.25">
      <c r="A424" s="15" t="s">
        <v>4275</v>
      </c>
      <c r="B424" s="15" t="s">
        <v>4311</v>
      </c>
      <c r="C424" s="52">
        <v>115.098736</v>
      </c>
      <c r="D424" s="25">
        <v>0.10069444444444443</v>
      </c>
      <c r="E424" s="53">
        <v>-22.989681999999998</v>
      </c>
      <c r="F424" s="53">
        <v>-46.799691000000003</v>
      </c>
      <c r="G424" s="53">
        <v>-23.189171999999999</v>
      </c>
      <c r="H424" s="53">
        <v>-46.358511</v>
      </c>
      <c r="I424" s="53">
        <v>-23.247627999999999</v>
      </c>
      <c r="J424" s="53">
        <v>-46.082717000000002</v>
      </c>
      <c r="L424" s="61" t="str">
        <f t="shared" si="7"/>
        <v>Cliente5-Cliente41</v>
      </c>
      <c r="M424">
        <v>115.098736</v>
      </c>
    </row>
    <row r="425" spans="1:13" x14ac:dyDescent="0.25">
      <c r="A425" s="15" t="s">
        <v>4275</v>
      </c>
      <c r="B425" s="15" t="s">
        <v>4312</v>
      </c>
      <c r="C425" s="54">
        <v>111.811053</v>
      </c>
      <c r="D425" s="26">
        <v>9.3055555555555558E-2</v>
      </c>
      <c r="E425" s="55">
        <v>-22.962316000000001</v>
      </c>
      <c r="F425" s="55">
        <v>-46.846612999999998</v>
      </c>
      <c r="G425" s="55">
        <v>-23.168109999999999</v>
      </c>
      <c r="H425" s="55">
        <v>-46.394799999999996</v>
      </c>
      <c r="I425" s="55">
        <v>-23.219465</v>
      </c>
      <c r="J425" s="55">
        <v>-46.144137000000001</v>
      </c>
      <c r="L425" s="61" t="str">
        <f t="shared" si="7"/>
        <v>Cliente5-Cliente42</v>
      </c>
      <c r="M425">
        <v>111.811053</v>
      </c>
    </row>
    <row r="426" spans="1:13" x14ac:dyDescent="0.25">
      <c r="A426" s="15" t="s">
        <v>4275</v>
      </c>
      <c r="B426" s="15" t="s">
        <v>4313</v>
      </c>
      <c r="C426" s="52">
        <v>130.48516799999999</v>
      </c>
      <c r="D426" s="25">
        <v>0.11180555555555556</v>
      </c>
      <c r="E426" s="53">
        <v>-23.005476000000002</v>
      </c>
      <c r="F426" s="53">
        <v>-46.768071999999997</v>
      </c>
      <c r="G426" s="53">
        <v>-23.179977999999998</v>
      </c>
      <c r="H426" s="53">
        <v>-46.321463999999999</v>
      </c>
      <c r="I426" s="53">
        <v>-23.28791</v>
      </c>
      <c r="J426" s="53">
        <v>-46.047727000000002</v>
      </c>
      <c r="L426" s="61" t="str">
        <f t="shared" si="7"/>
        <v>Cliente5-Cliente43</v>
      </c>
      <c r="M426">
        <v>130.48516799999999</v>
      </c>
    </row>
    <row r="427" spans="1:13" x14ac:dyDescent="0.25">
      <c r="A427" s="15" t="s">
        <v>4275</v>
      </c>
      <c r="B427" s="15" t="s">
        <v>4314</v>
      </c>
      <c r="C427" s="54">
        <v>73.999900999999994</v>
      </c>
      <c r="D427" s="26">
        <v>6.5277777777777782E-2</v>
      </c>
      <c r="E427" s="55">
        <v>-22.917887</v>
      </c>
      <c r="F427" s="55">
        <v>-47.134811999999997</v>
      </c>
      <c r="G427" s="55">
        <v>-23.179463999999999</v>
      </c>
      <c r="H427" s="55">
        <v>-47.277175</v>
      </c>
      <c r="I427" s="55">
        <v>-23.343201000000001</v>
      </c>
      <c r="J427" s="55">
        <v>-47.529401999999997</v>
      </c>
      <c r="L427" s="61" t="str">
        <f t="shared" si="7"/>
        <v>Cliente5-Cliente44</v>
      </c>
      <c r="M427">
        <v>73.999900999999994</v>
      </c>
    </row>
    <row r="428" spans="1:13" x14ac:dyDescent="0.25">
      <c r="A428" s="15" t="s">
        <v>4275</v>
      </c>
      <c r="B428" s="15" t="s">
        <v>4315</v>
      </c>
      <c r="C428" s="52">
        <v>65.479016000000001</v>
      </c>
      <c r="D428" s="25">
        <v>6.458333333333334E-2</v>
      </c>
      <c r="E428" s="53">
        <v>-22.919438</v>
      </c>
      <c r="F428" s="53">
        <v>-47.134283000000003</v>
      </c>
      <c r="G428" s="53">
        <v>-23.179673000000001</v>
      </c>
      <c r="H428" s="53">
        <v>-47.279541000000002</v>
      </c>
      <c r="I428" s="53">
        <v>-23.482082999999999</v>
      </c>
      <c r="J428" s="53">
        <v>-47.451269000000003</v>
      </c>
      <c r="L428" s="61" t="str">
        <f t="shared" si="7"/>
        <v>Cliente5-Cliente45</v>
      </c>
      <c r="M428">
        <v>65.479016000000001</v>
      </c>
    </row>
    <row r="429" spans="1:13" x14ac:dyDescent="0.25">
      <c r="A429" s="15" t="s">
        <v>4275</v>
      </c>
      <c r="B429" s="15" t="s">
        <v>4316</v>
      </c>
      <c r="C429" s="54">
        <v>62.782259000000003</v>
      </c>
      <c r="D429" s="26">
        <v>5.8333333333333327E-2</v>
      </c>
      <c r="E429" s="55">
        <v>-22.880980999999998</v>
      </c>
      <c r="F429" s="55">
        <v>-47.130805000000002</v>
      </c>
      <c r="G429" s="55">
        <v>-23.064197</v>
      </c>
      <c r="H429" s="55">
        <v>-47.156011999999997</v>
      </c>
      <c r="I429" s="55">
        <v>-23.380009000000001</v>
      </c>
      <c r="J429" s="55">
        <v>-47.327601000000001</v>
      </c>
      <c r="L429" s="61" t="str">
        <f t="shared" si="7"/>
        <v>Cliente5-Cliente46</v>
      </c>
      <c r="M429">
        <v>62.782259000000003</v>
      </c>
    </row>
    <row r="430" spans="1:13" x14ac:dyDescent="0.25">
      <c r="A430" s="15" t="s">
        <v>4275</v>
      </c>
      <c r="B430" s="15" t="s">
        <v>4317</v>
      </c>
      <c r="C430" s="52">
        <v>133.89401899999999</v>
      </c>
      <c r="D430" s="25">
        <v>0.10972222222222222</v>
      </c>
      <c r="E430" s="53">
        <v>-22.713007999999999</v>
      </c>
      <c r="F430" s="53">
        <v>-47.296771999999997</v>
      </c>
      <c r="G430" s="53">
        <v>-22.347048000000001</v>
      </c>
      <c r="H430" s="53">
        <v>-47.393931000000002</v>
      </c>
      <c r="I430" s="53">
        <v>-21.552517999999999</v>
      </c>
      <c r="J430" s="53">
        <v>-47.637588000000001</v>
      </c>
      <c r="L430" s="61" t="str">
        <f t="shared" si="7"/>
        <v>Cliente5-Cliente47</v>
      </c>
      <c r="M430">
        <v>133.89401899999999</v>
      </c>
    </row>
    <row r="431" spans="1:13" x14ac:dyDescent="0.25">
      <c r="A431" s="15" t="s">
        <v>4275</v>
      </c>
      <c r="B431" s="15" t="s">
        <v>4318</v>
      </c>
      <c r="C431" s="54">
        <v>143.00520700000001</v>
      </c>
      <c r="D431" s="26">
        <v>0.11805555555555557</v>
      </c>
      <c r="E431" s="55">
        <v>-22.662025</v>
      </c>
      <c r="F431" s="55">
        <v>-47.319302</v>
      </c>
      <c r="G431" s="55">
        <v>-22.221243000000001</v>
      </c>
      <c r="H431" s="55">
        <v>-47.391905000000001</v>
      </c>
      <c r="I431" s="55">
        <v>-21.334755999999999</v>
      </c>
      <c r="J431" s="55">
        <v>-47.726117000000002</v>
      </c>
      <c r="L431" s="61" t="str">
        <f t="shared" si="7"/>
        <v>Cliente5-Cliente48</v>
      </c>
      <c r="M431">
        <v>143.00520700000001</v>
      </c>
    </row>
    <row r="432" spans="1:13" x14ac:dyDescent="0.25">
      <c r="A432" s="15" t="s">
        <v>4275</v>
      </c>
      <c r="B432" s="15" t="s">
        <v>4319</v>
      </c>
      <c r="C432" s="52">
        <v>136.64297199999999</v>
      </c>
      <c r="D432" s="25">
        <v>0.11388888888888889</v>
      </c>
      <c r="E432" s="53">
        <v>-22.68413</v>
      </c>
      <c r="F432" s="53">
        <v>-47.310591000000002</v>
      </c>
      <c r="G432" s="53">
        <v>-22.249542999999999</v>
      </c>
      <c r="H432" s="53">
        <v>-47.389777000000002</v>
      </c>
      <c r="I432" s="53">
        <v>-21.397769</v>
      </c>
      <c r="J432" s="53">
        <v>-47.680613999999998</v>
      </c>
      <c r="L432" s="61" t="str">
        <f t="shared" si="7"/>
        <v>Cliente5-Cliente49</v>
      </c>
      <c r="M432">
        <v>136.64297199999999</v>
      </c>
    </row>
    <row r="433" spans="1:13" x14ac:dyDescent="0.25">
      <c r="A433" s="15" t="s">
        <v>4275</v>
      </c>
      <c r="B433" s="15" t="s">
        <v>4320</v>
      </c>
      <c r="C433" s="54">
        <v>161.400947</v>
      </c>
      <c r="D433" s="26">
        <v>0.1361111111111111</v>
      </c>
      <c r="E433" s="55">
        <v>-22.519418999999999</v>
      </c>
      <c r="F433" s="55">
        <v>-47.393290999999998</v>
      </c>
      <c r="G433" s="55">
        <v>-22.214334999999998</v>
      </c>
      <c r="H433" s="55">
        <v>-47.766258999999998</v>
      </c>
      <c r="I433" s="55">
        <v>-22.254753000000001</v>
      </c>
      <c r="J433" s="55">
        <v>-48.363624999999999</v>
      </c>
      <c r="L433" s="61" t="str">
        <f t="shared" si="7"/>
        <v>Cliente5-Cliente50</v>
      </c>
      <c r="M433">
        <v>161.400947</v>
      </c>
    </row>
    <row r="434" spans="1:13" x14ac:dyDescent="0.25">
      <c r="A434" s="15" t="s">
        <v>4275</v>
      </c>
      <c r="B434" s="15" t="s">
        <v>4321</v>
      </c>
      <c r="C434" s="52">
        <v>161.22012799999999</v>
      </c>
      <c r="D434" s="25">
        <v>0.13541666666666666</v>
      </c>
      <c r="E434" s="53">
        <v>-22.525133</v>
      </c>
      <c r="F434" s="53">
        <v>-47.389913999999997</v>
      </c>
      <c r="G434" s="53">
        <v>-22.215026999999999</v>
      </c>
      <c r="H434" s="53">
        <v>-47.766742000000001</v>
      </c>
      <c r="I434" s="53">
        <v>-22.248830999999999</v>
      </c>
      <c r="J434" s="53">
        <v>-48.354304999999997</v>
      </c>
      <c r="L434" s="61" t="str">
        <f t="shared" si="7"/>
        <v>Cliente5-Cliente51</v>
      </c>
      <c r="M434">
        <v>161.22012799999999</v>
      </c>
    </row>
    <row r="435" spans="1:13" x14ac:dyDescent="0.25">
      <c r="A435" s="15" t="s">
        <v>4276</v>
      </c>
      <c r="B435" s="15" t="s">
        <v>4268</v>
      </c>
      <c r="C435" s="54">
        <v>37.111486999999997</v>
      </c>
      <c r="D435" s="26">
        <v>3.3333333333333333E-2</v>
      </c>
      <c r="E435" s="55">
        <v>-22.991598</v>
      </c>
      <c r="F435" s="55">
        <v>-47.069038999999997</v>
      </c>
      <c r="G435" s="55">
        <v>-23.001367999999999</v>
      </c>
      <c r="H435" s="55">
        <v>-47.111384999999999</v>
      </c>
      <c r="I435" s="55">
        <v>-23.179673000000001</v>
      </c>
      <c r="J435" s="55">
        <v>-47.279541000000002</v>
      </c>
      <c r="L435" s="61" t="str">
        <f t="shared" si="7"/>
        <v>Cliente6-depósito A</v>
      </c>
      <c r="M435">
        <v>37.111486999999997</v>
      </c>
    </row>
    <row r="436" spans="1:13" x14ac:dyDescent="0.25">
      <c r="A436" s="15" t="s">
        <v>4276</v>
      </c>
      <c r="B436" s="15" t="s">
        <v>4269</v>
      </c>
      <c r="C436" s="52">
        <v>120.25178</v>
      </c>
      <c r="D436" s="25">
        <v>9.930555555555555E-2</v>
      </c>
      <c r="E436" s="53">
        <v>-22.828955000000001</v>
      </c>
      <c r="F436" s="53">
        <v>-47.181308999999999</v>
      </c>
      <c r="G436" s="53">
        <v>-22.501201999999999</v>
      </c>
      <c r="H436" s="53">
        <v>-47.399346999999999</v>
      </c>
      <c r="I436" s="53">
        <v>-22.278638000000001</v>
      </c>
      <c r="J436" s="53">
        <v>-47.684648000000003</v>
      </c>
      <c r="L436" s="61" t="str">
        <f t="shared" si="7"/>
        <v>Cliente6-depósito B</v>
      </c>
      <c r="M436">
        <v>120.25178</v>
      </c>
    </row>
    <row r="437" spans="1:13" x14ac:dyDescent="0.25">
      <c r="A437" s="15" t="s">
        <v>4276</v>
      </c>
      <c r="B437" s="15" t="s">
        <v>4270</v>
      </c>
      <c r="C437" s="54">
        <v>88.482235000000003</v>
      </c>
      <c r="D437" s="26">
        <v>7.4305555555555555E-2</v>
      </c>
      <c r="E437" s="55">
        <v>-22.954253999999999</v>
      </c>
      <c r="F437" s="55">
        <v>-46.859864000000002</v>
      </c>
      <c r="G437" s="55">
        <v>-23.170741</v>
      </c>
      <c r="H437" s="55">
        <v>-46.421501999999997</v>
      </c>
      <c r="I437" s="55">
        <v>-23.202981999999999</v>
      </c>
      <c r="J437" s="55">
        <v>-46.163708</v>
      </c>
      <c r="L437" s="61" t="str">
        <f t="shared" si="7"/>
        <v>Cliente6-depósito C</v>
      </c>
      <c r="M437">
        <v>88.482235000000003</v>
      </c>
    </row>
    <row r="438" spans="1:13" x14ac:dyDescent="0.25">
      <c r="A438" s="15" t="s">
        <v>4276</v>
      </c>
      <c r="B438" s="15" t="s">
        <v>4271</v>
      </c>
      <c r="C438" s="52">
        <v>3.0496970000000001</v>
      </c>
      <c r="D438" s="25">
        <v>6.9444444444444441E-3</v>
      </c>
      <c r="E438" s="53">
        <v>-22.964535000000001</v>
      </c>
      <c r="F438" s="53">
        <v>-47.00656</v>
      </c>
      <c r="G438" s="53">
        <v>-22.958991999999999</v>
      </c>
      <c r="H438" s="53">
        <v>-47.016432999999999</v>
      </c>
      <c r="I438" s="53">
        <v>-22.950759999999999</v>
      </c>
      <c r="J438" s="53">
        <v>-47.024403999999997</v>
      </c>
      <c r="L438" s="61" t="str">
        <f t="shared" si="7"/>
        <v>Cliente6-Cliente1</v>
      </c>
      <c r="M438">
        <v>3.0496970000000001</v>
      </c>
    </row>
    <row r="439" spans="1:13" x14ac:dyDescent="0.25">
      <c r="A439" s="15" t="s">
        <v>4276</v>
      </c>
      <c r="B439" s="15" t="s">
        <v>4272</v>
      </c>
      <c r="C439" s="54">
        <v>7.8510450000000001</v>
      </c>
      <c r="D439" s="26">
        <v>1.4583333333333332E-2</v>
      </c>
      <c r="E439" s="55">
        <v>-22.956745999999999</v>
      </c>
      <c r="F439" s="55">
        <v>-47.021470000000001</v>
      </c>
      <c r="G439" s="55">
        <v>-22.920735000000001</v>
      </c>
      <c r="H439" s="55">
        <v>-47.050182999999997</v>
      </c>
      <c r="I439" s="55">
        <v>-22.906224000000002</v>
      </c>
      <c r="J439" s="55">
        <v>-47.055410999999999</v>
      </c>
      <c r="L439" s="61" t="str">
        <f t="shared" si="7"/>
        <v>Cliente6-Cliente2</v>
      </c>
      <c r="M439">
        <v>7.8510450000000001</v>
      </c>
    </row>
    <row r="440" spans="1:13" x14ac:dyDescent="0.25">
      <c r="A440" s="15" t="s">
        <v>4276</v>
      </c>
      <c r="B440" s="15" t="s">
        <v>4273</v>
      </c>
      <c r="C440" s="52">
        <v>4.7969980000000003</v>
      </c>
      <c r="D440" s="25">
        <v>9.7222222222222224E-3</v>
      </c>
      <c r="E440" s="53">
        <v>-22.965001000000001</v>
      </c>
      <c r="F440" s="53">
        <v>-47.006810999999999</v>
      </c>
      <c r="G440" s="53">
        <v>-22.951188999999999</v>
      </c>
      <c r="H440" s="53">
        <v>-47.024079999999998</v>
      </c>
      <c r="I440" s="53">
        <v>-22.934097999999999</v>
      </c>
      <c r="J440" s="53">
        <v>-47.037633999999997</v>
      </c>
      <c r="L440" s="61" t="str">
        <f t="shared" si="7"/>
        <v>Cliente6-Cliente3</v>
      </c>
      <c r="M440">
        <v>4.7969980000000003</v>
      </c>
    </row>
    <row r="441" spans="1:13" x14ac:dyDescent="0.25">
      <c r="A441" s="15" t="s">
        <v>4276</v>
      </c>
      <c r="B441" s="15" t="s">
        <v>4274</v>
      </c>
      <c r="C441" s="54">
        <v>15.167709</v>
      </c>
      <c r="D441" s="26">
        <v>1.7361111111111112E-2</v>
      </c>
      <c r="E441" s="55">
        <v>-22.953171000000001</v>
      </c>
      <c r="F441" s="55">
        <v>-47.019862000000003</v>
      </c>
      <c r="G441" s="55">
        <v>-22.899742</v>
      </c>
      <c r="H441" s="55">
        <v>-47.006261000000002</v>
      </c>
      <c r="I441" s="55">
        <v>-22.844541</v>
      </c>
      <c r="J441" s="55">
        <v>-47.075729000000003</v>
      </c>
      <c r="L441" s="61" t="str">
        <f t="shared" si="7"/>
        <v>Cliente6-Cliente4</v>
      </c>
      <c r="M441">
        <v>15.167709</v>
      </c>
    </row>
    <row r="442" spans="1:13" x14ac:dyDescent="0.25">
      <c r="A442" s="15" t="s">
        <v>4276</v>
      </c>
      <c r="B442" s="15" t="s">
        <v>4275</v>
      </c>
      <c r="C442" s="52">
        <v>15.260914</v>
      </c>
      <c r="D442" s="25">
        <v>1.7361111111111112E-2</v>
      </c>
      <c r="E442" s="53">
        <v>-22.954241</v>
      </c>
      <c r="F442" s="53">
        <v>-47.020850000000003</v>
      </c>
      <c r="G442" s="53">
        <v>-22.901216999999999</v>
      </c>
      <c r="H442" s="53">
        <v>-47.006746999999997</v>
      </c>
      <c r="I442" s="53">
        <v>-22.843506000000001</v>
      </c>
      <c r="J442" s="53">
        <v>-47.066887999999999</v>
      </c>
      <c r="L442" s="61" t="str">
        <f t="shared" si="7"/>
        <v>Cliente6-Cliente5</v>
      </c>
      <c r="M442">
        <v>15.260914</v>
      </c>
    </row>
    <row r="443" spans="1:13" x14ac:dyDescent="0.25">
      <c r="A443" s="15" t="s">
        <v>4276</v>
      </c>
      <c r="B443" s="15" t="s">
        <v>4276</v>
      </c>
      <c r="C443" s="54">
        <v>0</v>
      </c>
      <c r="D443" s="26">
        <v>0</v>
      </c>
      <c r="E443" s="55">
        <f>'1. Locais'!D10</f>
        <v>-22.975090000000002</v>
      </c>
      <c r="F443" s="55">
        <f>'1. Locais'!E10</f>
        <v>-47.014780000000002</v>
      </c>
      <c r="G443" s="55">
        <f>'1. Locais'!D10</f>
        <v>-22.975090000000002</v>
      </c>
      <c r="H443" s="55">
        <f>'1. Locais'!E10</f>
        <v>-47.014780000000002</v>
      </c>
      <c r="I443" s="55">
        <f>'1. Locais'!D10</f>
        <v>-22.975090000000002</v>
      </c>
      <c r="J443" s="55">
        <f>'1. Locais'!E10</f>
        <v>-47.014780000000002</v>
      </c>
      <c r="L443" s="61" t="str">
        <f t="shared" si="7"/>
        <v>Cliente6-Cliente6</v>
      </c>
      <c r="M443">
        <v>0</v>
      </c>
    </row>
    <row r="444" spans="1:13" x14ac:dyDescent="0.25">
      <c r="A444" s="15" t="s">
        <v>4276</v>
      </c>
      <c r="B444" s="15" t="s">
        <v>4277</v>
      </c>
      <c r="C444" s="52">
        <v>10.740428</v>
      </c>
      <c r="D444" s="25">
        <v>1.3888888888888888E-2</v>
      </c>
      <c r="E444" s="53">
        <v>-22.954329000000001</v>
      </c>
      <c r="F444" s="53">
        <v>-47.022835000000001</v>
      </c>
      <c r="G444" s="53">
        <v>-22.969315999999999</v>
      </c>
      <c r="H444" s="53">
        <v>-47.051237</v>
      </c>
      <c r="I444" s="53">
        <v>-22.933755000000001</v>
      </c>
      <c r="J444" s="53">
        <v>-47.078097999999997</v>
      </c>
      <c r="L444" s="61" t="str">
        <f t="shared" si="7"/>
        <v>Cliente6-Cliente7</v>
      </c>
      <c r="M444">
        <v>10.740428</v>
      </c>
    </row>
    <row r="445" spans="1:13" x14ac:dyDescent="0.25">
      <c r="A445" s="15" t="s">
        <v>4276</v>
      </c>
      <c r="B445" s="15" t="s">
        <v>4278</v>
      </c>
      <c r="C445" s="54">
        <v>11.384169999999999</v>
      </c>
      <c r="D445" s="26">
        <v>1.4583333333333332E-2</v>
      </c>
      <c r="E445" s="55">
        <v>-22.952809999999999</v>
      </c>
      <c r="F445" s="55">
        <v>-47.019461999999997</v>
      </c>
      <c r="G445" s="55">
        <v>-22.899858999999999</v>
      </c>
      <c r="H445" s="55">
        <v>-47.006121999999998</v>
      </c>
      <c r="I445" s="55">
        <v>-22.897639999999999</v>
      </c>
      <c r="J445" s="55">
        <v>-47.004165999999998</v>
      </c>
      <c r="L445" s="61" t="str">
        <f t="shared" si="7"/>
        <v>Cliente6-Cliente8</v>
      </c>
      <c r="M445">
        <v>11.384169999999999</v>
      </c>
    </row>
    <row r="446" spans="1:13" x14ac:dyDescent="0.25">
      <c r="A446" s="15" t="s">
        <v>4276</v>
      </c>
      <c r="B446" s="15" t="s">
        <v>4279</v>
      </c>
      <c r="C446" s="52">
        <v>30.470255000000002</v>
      </c>
      <c r="D446" s="25">
        <v>3.1944444444444449E-2</v>
      </c>
      <c r="E446" s="53">
        <v>-22.969629000000001</v>
      </c>
      <c r="F446" s="53">
        <v>-47.028855</v>
      </c>
      <c r="G446" s="53">
        <v>-22.887765000000002</v>
      </c>
      <c r="H446" s="53">
        <v>-47.113166</v>
      </c>
      <c r="I446" s="53">
        <v>-22.773023999999999</v>
      </c>
      <c r="J446" s="53">
        <v>-47.236238</v>
      </c>
      <c r="L446" s="61" t="str">
        <f t="shared" si="7"/>
        <v>Cliente6-Cliente9</v>
      </c>
      <c r="M446">
        <v>30.470255000000002</v>
      </c>
    </row>
    <row r="447" spans="1:13" x14ac:dyDescent="0.25">
      <c r="A447" s="15" t="s">
        <v>4276</v>
      </c>
      <c r="B447" s="15" t="s">
        <v>4280</v>
      </c>
      <c r="C447" s="54">
        <v>51.588850000000001</v>
      </c>
      <c r="D447" s="26">
        <v>5.486111111111111E-2</v>
      </c>
      <c r="E447" s="55">
        <v>-23.059681999999999</v>
      </c>
      <c r="F447" s="55">
        <v>-46.995100999999998</v>
      </c>
      <c r="G447" s="55">
        <v>-23.290824000000001</v>
      </c>
      <c r="H447" s="55">
        <v>-46.846291999999998</v>
      </c>
      <c r="I447" s="55">
        <v>-23.472767000000001</v>
      </c>
      <c r="J447" s="55">
        <v>-46.747973999999999</v>
      </c>
      <c r="L447" s="61" t="str">
        <f t="shared" si="7"/>
        <v>Cliente6-Cliente10</v>
      </c>
      <c r="M447">
        <v>51.588850000000001</v>
      </c>
    </row>
    <row r="448" spans="1:13" x14ac:dyDescent="0.25">
      <c r="A448" s="15" t="s">
        <v>4276</v>
      </c>
      <c r="B448" s="15" t="s">
        <v>4281</v>
      </c>
      <c r="C448" s="52">
        <v>52.822896</v>
      </c>
      <c r="D448" s="25">
        <v>4.3750000000000004E-2</v>
      </c>
      <c r="E448" s="53">
        <v>-23.012001999999999</v>
      </c>
      <c r="F448" s="53">
        <v>-47.084690000000002</v>
      </c>
      <c r="G448" s="53">
        <v>-22.912385</v>
      </c>
      <c r="H448" s="53">
        <v>-47.188764999999997</v>
      </c>
      <c r="I448" s="53">
        <v>-22.792667999999999</v>
      </c>
      <c r="J448" s="53">
        <v>-47.414895999999999</v>
      </c>
      <c r="L448" s="61" t="str">
        <f t="shared" si="7"/>
        <v>Cliente6-Cliente11</v>
      </c>
      <c r="M448">
        <v>52.822896</v>
      </c>
    </row>
    <row r="449" spans="1:13" x14ac:dyDescent="0.25">
      <c r="A449" s="15" t="s">
        <v>4276</v>
      </c>
      <c r="B449" s="15" t="s">
        <v>4282</v>
      </c>
      <c r="C449" s="54">
        <v>87.523456999999993</v>
      </c>
      <c r="D449" s="26">
        <v>7.4305555555555555E-2</v>
      </c>
      <c r="E449" s="55">
        <v>-22.955891999999999</v>
      </c>
      <c r="F449" s="55">
        <v>-46.856689000000003</v>
      </c>
      <c r="G449" s="55">
        <v>-23.165825999999999</v>
      </c>
      <c r="H449" s="55">
        <v>-46.405991</v>
      </c>
      <c r="I449" s="55">
        <v>-23.205166999999999</v>
      </c>
      <c r="J449" s="55">
        <v>-46.160350999999999</v>
      </c>
      <c r="L449" s="61" t="str">
        <f t="shared" si="7"/>
        <v>Cliente6-Cliente12</v>
      </c>
      <c r="M449">
        <v>87.523456999999993</v>
      </c>
    </row>
    <row r="450" spans="1:13" x14ac:dyDescent="0.25">
      <c r="A450" s="15" t="s">
        <v>4276</v>
      </c>
      <c r="B450" s="15" t="s">
        <v>4283</v>
      </c>
      <c r="C450" s="52">
        <v>95.407433999999995</v>
      </c>
      <c r="D450" s="25">
        <v>7.9861111111111105E-2</v>
      </c>
      <c r="E450" s="53">
        <v>-22.974385999999999</v>
      </c>
      <c r="F450" s="53">
        <v>-46.835890999999997</v>
      </c>
      <c r="G450" s="53">
        <v>-23.173731</v>
      </c>
      <c r="H450" s="53">
        <v>-46.384884999999997</v>
      </c>
      <c r="I450" s="53">
        <v>-23.238574</v>
      </c>
      <c r="J450" s="53">
        <v>-46.123764999999999</v>
      </c>
      <c r="L450" s="61" t="str">
        <f t="shared" si="7"/>
        <v>Cliente6-Cliente13</v>
      </c>
      <c r="M450">
        <v>95.407433999999995</v>
      </c>
    </row>
    <row r="451" spans="1:13" x14ac:dyDescent="0.25">
      <c r="A451" s="15" t="s">
        <v>4276</v>
      </c>
      <c r="B451" s="15" t="s">
        <v>4284</v>
      </c>
      <c r="C451" s="54">
        <v>93.469994</v>
      </c>
      <c r="D451" s="26">
        <v>7.7083333333333337E-2</v>
      </c>
      <c r="E451" s="55">
        <v>-22.948504</v>
      </c>
      <c r="F451" s="55">
        <v>-46.868555999999998</v>
      </c>
      <c r="G451" s="55">
        <v>-23.170189000000001</v>
      </c>
      <c r="H451" s="55">
        <v>-46.439157000000002</v>
      </c>
      <c r="I451" s="55">
        <v>-23.197413000000001</v>
      </c>
      <c r="J451" s="55">
        <v>-46.183745000000002</v>
      </c>
      <c r="L451" s="61" t="str">
        <f t="shared" si="7"/>
        <v>Cliente6-Cliente14</v>
      </c>
      <c r="M451">
        <v>93.469994</v>
      </c>
    </row>
    <row r="452" spans="1:13" x14ac:dyDescent="0.25">
      <c r="A452" s="15" t="s">
        <v>4276</v>
      </c>
      <c r="B452" s="15" t="s">
        <v>4285</v>
      </c>
      <c r="C452" s="52">
        <v>95.848608999999996</v>
      </c>
      <c r="D452" s="25">
        <v>8.3333333333333329E-2</v>
      </c>
      <c r="E452" s="53">
        <v>-22.974385999999999</v>
      </c>
      <c r="F452" s="53">
        <v>-46.835890999999997</v>
      </c>
      <c r="G452" s="53">
        <v>-23.173731</v>
      </c>
      <c r="H452" s="53">
        <v>-46.384884999999997</v>
      </c>
      <c r="I452" s="53">
        <v>-23.238574</v>
      </c>
      <c r="J452" s="53">
        <v>-46.123764999999999</v>
      </c>
      <c r="L452" s="61" t="str">
        <f t="shared" si="7"/>
        <v>Cliente6-Cliente15</v>
      </c>
      <c r="M452">
        <v>95.848608999999996</v>
      </c>
    </row>
    <row r="453" spans="1:13" x14ac:dyDescent="0.25">
      <c r="A453" s="15" t="s">
        <v>4276</v>
      </c>
      <c r="B453" s="15" t="s">
        <v>4286</v>
      </c>
      <c r="C453" s="54">
        <v>94.779225999999994</v>
      </c>
      <c r="D453" s="26">
        <v>8.1250000000000003E-2</v>
      </c>
      <c r="E453" s="55">
        <v>-22.973634000000001</v>
      </c>
      <c r="F453" s="55">
        <v>-46.836722999999999</v>
      </c>
      <c r="G453" s="55">
        <v>-23.172415000000001</v>
      </c>
      <c r="H453" s="55">
        <v>-46.387013000000003</v>
      </c>
      <c r="I453" s="55">
        <v>-23.233698</v>
      </c>
      <c r="J453" s="55">
        <v>-46.128397</v>
      </c>
      <c r="L453" s="61" t="str">
        <f t="shared" si="7"/>
        <v>Cliente6-Cliente16</v>
      </c>
      <c r="M453">
        <v>94.779225999999994</v>
      </c>
    </row>
    <row r="454" spans="1:13" x14ac:dyDescent="0.25">
      <c r="A454" s="15" t="s">
        <v>4276</v>
      </c>
      <c r="B454" s="15" t="s">
        <v>4287</v>
      </c>
      <c r="C454" s="52">
        <v>95.834939000000006</v>
      </c>
      <c r="D454" s="25">
        <v>7.9861111111111105E-2</v>
      </c>
      <c r="E454" s="53">
        <v>-22.974385999999999</v>
      </c>
      <c r="F454" s="53">
        <v>-46.835890999999997</v>
      </c>
      <c r="G454" s="53">
        <v>-23.173731</v>
      </c>
      <c r="H454" s="53">
        <v>-46.384884999999997</v>
      </c>
      <c r="I454" s="53">
        <v>-23.238574</v>
      </c>
      <c r="J454" s="53">
        <v>-46.123764999999999</v>
      </c>
      <c r="L454" s="61" t="str">
        <f t="shared" si="7"/>
        <v>Cliente6-Cliente17</v>
      </c>
      <c r="M454">
        <v>95.834939000000006</v>
      </c>
    </row>
    <row r="455" spans="1:13" x14ac:dyDescent="0.25">
      <c r="A455" s="15" t="s">
        <v>4276</v>
      </c>
      <c r="B455" s="15" t="s">
        <v>4288</v>
      </c>
      <c r="C455" s="54">
        <v>100.663005</v>
      </c>
      <c r="D455" s="26">
        <v>8.4722222222222213E-2</v>
      </c>
      <c r="E455" s="55">
        <v>-22.962316000000001</v>
      </c>
      <c r="F455" s="55">
        <v>-46.846612999999998</v>
      </c>
      <c r="G455" s="55">
        <v>-23.167746999999999</v>
      </c>
      <c r="H455" s="55">
        <v>-46.396025000000002</v>
      </c>
      <c r="I455" s="55">
        <v>-23.215617999999999</v>
      </c>
      <c r="J455" s="55">
        <v>-46.148643999999997</v>
      </c>
      <c r="L455" s="61" t="str">
        <f t="shared" si="7"/>
        <v>Cliente6-Cliente18</v>
      </c>
      <c r="M455">
        <v>100.663005</v>
      </c>
    </row>
    <row r="456" spans="1:13" x14ac:dyDescent="0.25">
      <c r="A456" s="15" t="s">
        <v>4276</v>
      </c>
      <c r="B456" s="15" t="s">
        <v>4289</v>
      </c>
      <c r="C456" s="52">
        <v>48.368896999999997</v>
      </c>
      <c r="D456" s="25">
        <v>4.6527777777777779E-2</v>
      </c>
      <c r="E456" s="53">
        <v>-23.013439999999999</v>
      </c>
      <c r="F456" s="53">
        <v>-47.023181999999998</v>
      </c>
      <c r="G456" s="53">
        <v>-23.263261</v>
      </c>
      <c r="H456" s="53">
        <v>-46.866415000000003</v>
      </c>
      <c r="I456" s="53">
        <v>-23.379718</v>
      </c>
      <c r="J456" s="53">
        <v>-46.771113</v>
      </c>
      <c r="L456" s="61" t="str">
        <f t="shared" si="7"/>
        <v>Cliente6-Cliente19</v>
      </c>
      <c r="M456">
        <v>48.368896999999997</v>
      </c>
    </row>
    <row r="457" spans="1:13" x14ac:dyDescent="0.25">
      <c r="A457" s="15" t="s">
        <v>4276</v>
      </c>
      <c r="B457" s="15" t="s">
        <v>4290</v>
      </c>
      <c r="C457" s="54">
        <v>49.94097</v>
      </c>
      <c r="D457" s="26">
        <v>4.9305555555555554E-2</v>
      </c>
      <c r="E457" s="55">
        <v>-23.036318999999999</v>
      </c>
      <c r="F457" s="55">
        <v>-47.009796999999999</v>
      </c>
      <c r="G457" s="55">
        <v>-23.276305000000001</v>
      </c>
      <c r="H457" s="55">
        <v>-46.850282999999997</v>
      </c>
      <c r="I457" s="55">
        <v>-23.423141999999999</v>
      </c>
      <c r="J457" s="55">
        <v>-46.761167999999998</v>
      </c>
      <c r="L457" s="61" t="str">
        <f t="shared" si="7"/>
        <v>Cliente6-Cliente20</v>
      </c>
      <c r="M457">
        <v>49.94097</v>
      </c>
    </row>
    <row r="458" spans="1:13" x14ac:dyDescent="0.25">
      <c r="A458" s="15" t="s">
        <v>4276</v>
      </c>
      <c r="B458" s="15" t="s">
        <v>4291</v>
      </c>
      <c r="C458" s="52">
        <v>49.540806000000003</v>
      </c>
      <c r="D458" s="25">
        <v>4.9999999999999996E-2</v>
      </c>
      <c r="E458" s="53">
        <v>-23.059681999999999</v>
      </c>
      <c r="F458" s="53">
        <v>-46.995100999999998</v>
      </c>
      <c r="G458" s="53">
        <v>-23.290824000000001</v>
      </c>
      <c r="H458" s="53">
        <v>-46.846291999999998</v>
      </c>
      <c r="I458" s="53">
        <v>-23.472767000000001</v>
      </c>
      <c r="J458" s="53">
        <v>-46.747973999999999</v>
      </c>
      <c r="L458" s="61" t="str">
        <f t="shared" si="7"/>
        <v>Cliente6-Cliente21</v>
      </c>
      <c r="M458">
        <v>49.540806000000003</v>
      </c>
    </row>
    <row r="459" spans="1:13" x14ac:dyDescent="0.25">
      <c r="A459" s="15" t="s">
        <v>4276</v>
      </c>
      <c r="B459" s="15" t="s">
        <v>4292</v>
      </c>
      <c r="C459" s="54">
        <v>48.665913000000003</v>
      </c>
      <c r="D459" s="26">
        <v>4.8611111111111112E-2</v>
      </c>
      <c r="E459" s="55">
        <v>-23.054033</v>
      </c>
      <c r="F459" s="55">
        <v>-46.999084000000003</v>
      </c>
      <c r="G459" s="55">
        <v>-23.279641000000002</v>
      </c>
      <c r="H459" s="55">
        <v>-46.848571</v>
      </c>
      <c r="I459" s="55">
        <v>-23.442567</v>
      </c>
      <c r="J459" s="55">
        <v>-46.756507999999997</v>
      </c>
      <c r="L459" s="61" t="str">
        <f t="shared" si="7"/>
        <v>Cliente6-Cliente22</v>
      </c>
      <c r="M459">
        <v>48.665913000000003</v>
      </c>
    </row>
    <row r="460" spans="1:13" x14ac:dyDescent="0.25">
      <c r="A460" s="15" t="s">
        <v>4276</v>
      </c>
      <c r="B460" s="15" t="s">
        <v>4293</v>
      </c>
      <c r="C460" s="52">
        <v>57.816248000000002</v>
      </c>
      <c r="D460" s="25">
        <v>5.6250000000000001E-2</v>
      </c>
      <c r="E460" s="53">
        <v>-23.127616</v>
      </c>
      <c r="F460" s="53">
        <v>-46.952393999999998</v>
      </c>
      <c r="G460" s="53">
        <v>-23.335425999999998</v>
      </c>
      <c r="H460" s="53">
        <v>-46.822848999999998</v>
      </c>
      <c r="I460" s="53">
        <v>-23.521470000000001</v>
      </c>
      <c r="J460" s="53">
        <v>-46.816243999999998</v>
      </c>
      <c r="L460" s="61" t="str">
        <f t="shared" si="7"/>
        <v>Cliente6-Cliente23</v>
      </c>
      <c r="M460">
        <v>57.816248000000002</v>
      </c>
    </row>
    <row r="461" spans="1:13" x14ac:dyDescent="0.25">
      <c r="A461" s="15" t="s">
        <v>4276</v>
      </c>
      <c r="B461" s="15" t="s">
        <v>4294</v>
      </c>
      <c r="C461" s="54">
        <v>58.795530999999997</v>
      </c>
      <c r="D461" s="26">
        <v>5.8333333333333327E-2</v>
      </c>
      <c r="E461" s="55">
        <v>-23.129142999999999</v>
      </c>
      <c r="F461" s="55">
        <v>-46.951495000000001</v>
      </c>
      <c r="G461" s="55">
        <v>-23.338241</v>
      </c>
      <c r="H461" s="55">
        <v>-46.821655</v>
      </c>
      <c r="I461" s="55">
        <v>-23.537672000000001</v>
      </c>
      <c r="J461" s="55">
        <v>-46.817822999999997</v>
      </c>
      <c r="L461" s="61" t="str">
        <f t="shared" si="7"/>
        <v>Cliente6-Cliente24</v>
      </c>
      <c r="M461">
        <v>58.795530999999997</v>
      </c>
    </row>
    <row r="462" spans="1:13" x14ac:dyDescent="0.25">
      <c r="A462" s="15" t="s">
        <v>4276</v>
      </c>
      <c r="B462" s="15" t="s">
        <v>4295</v>
      </c>
      <c r="C462" s="52">
        <v>61.615941999999997</v>
      </c>
      <c r="D462" s="25">
        <v>6.1111111111111116E-2</v>
      </c>
      <c r="E462" s="53">
        <v>-23.130877999999999</v>
      </c>
      <c r="F462" s="53">
        <v>-46.950200000000002</v>
      </c>
      <c r="G462" s="53">
        <v>-23.341251</v>
      </c>
      <c r="H462" s="53">
        <v>-46.819246</v>
      </c>
      <c r="I462" s="53">
        <v>-23.544218999999998</v>
      </c>
      <c r="J462" s="53">
        <v>-46.819251000000001</v>
      </c>
      <c r="L462" s="61" t="str">
        <f t="shared" si="7"/>
        <v>Cliente6-Cliente25</v>
      </c>
      <c r="M462">
        <v>61.615941999999997</v>
      </c>
    </row>
    <row r="463" spans="1:13" x14ac:dyDescent="0.25">
      <c r="A463" s="15" t="s">
        <v>4276</v>
      </c>
      <c r="B463" s="15" t="s">
        <v>4296</v>
      </c>
      <c r="C463" s="54">
        <v>53.278362999999999</v>
      </c>
      <c r="D463" s="26">
        <v>5.1388888888888894E-2</v>
      </c>
      <c r="E463" s="55">
        <v>-23.117201999999999</v>
      </c>
      <c r="F463" s="55">
        <v>-46.955871999999999</v>
      </c>
      <c r="G463" s="55">
        <v>-23.312888999999998</v>
      </c>
      <c r="H463" s="55">
        <v>-46.825960000000002</v>
      </c>
      <c r="I463" s="55">
        <v>-23.500717000000002</v>
      </c>
      <c r="J463" s="55">
        <v>-46.820785000000001</v>
      </c>
      <c r="L463" s="61" t="str">
        <f t="shared" si="7"/>
        <v>Cliente6-Cliente26</v>
      </c>
      <c r="M463">
        <v>53.278362999999999</v>
      </c>
    </row>
    <row r="464" spans="1:13" x14ac:dyDescent="0.25">
      <c r="A464" s="15" t="s">
        <v>4276</v>
      </c>
      <c r="B464" s="15" t="s">
        <v>4297</v>
      </c>
      <c r="C464" s="52">
        <v>59.595238000000002</v>
      </c>
      <c r="D464" s="25">
        <v>5.9027777777777783E-2</v>
      </c>
      <c r="E464" s="53">
        <v>-23.130877999999999</v>
      </c>
      <c r="F464" s="53">
        <v>-46.950200000000002</v>
      </c>
      <c r="G464" s="53">
        <v>-23.341251</v>
      </c>
      <c r="H464" s="53">
        <v>-46.819246</v>
      </c>
      <c r="I464" s="53">
        <v>-23.544218999999998</v>
      </c>
      <c r="J464" s="53">
        <v>-46.819251000000001</v>
      </c>
      <c r="L464" s="61" t="str">
        <f t="shared" si="7"/>
        <v>Cliente6-Cliente27</v>
      </c>
      <c r="M464">
        <v>59.595238000000002</v>
      </c>
    </row>
    <row r="465" spans="1:13" x14ac:dyDescent="0.25">
      <c r="A465" s="15" t="s">
        <v>4276</v>
      </c>
      <c r="B465" s="15" t="s">
        <v>4298</v>
      </c>
      <c r="C465" s="54">
        <v>60.926839999999999</v>
      </c>
      <c r="D465" s="26">
        <v>6.5277777777777782E-2</v>
      </c>
      <c r="E465" s="55">
        <v>-23.130877999999999</v>
      </c>
      <c r="F465" s="55">
        <v>-46.950200000000002</v>
      </c>
      <c r="G465" s="55">
        <v>-23.341251</v>
      </c>
      <c r="H465" s="55">
        <v>-46.819246</v>
      </c>
      <c r="I465" s="55">
        <v>-23.520104</v>
      </c>
      <c r="J465" s="55">
        <v>-46.747501</v>
      </c>
      <c r="L465" s="61" t="str">
        <f t="shared" si="7"/>
        <v>Cliente6-Cliente28</v>
      </c>
      <c r="M465">
        <v>60.926839999999999</v>
      </c>
    </row>
    <row r="466" spans="1:13" x14ac:dyDescent="0.25">
      <c r="A466" s="15" t="s">
        <v>4276</v>
      </c>
      <c r="B466" s="15" t="s">
        <v>4299</v>
      </c>
      <c r="C466" s="52">
        <v>63.189258000000002</v>
      </c>
      <c r="D466" s="25">
        <v>6.9444444444444434E-2</v>
      </c>
      <c r="E466" s="53">
        <v>-23.140750000000001</v>
      </c>
      <c r="F466" s="53">
        <v>-46.941228000000002</v>
      </c>
      <c r="G466" s="53">
        <v>-23.350614</v>
      </c>
      <c r="H466" s="53">
        <v>-46.807232999999997</v>
      </c>
      <c r="I466" s="53">
        <v>-23.520681</v>
      </c>
      <c r="J466" s="53">
        <v>-46.643639999999998</v>
      </c>
      <c r="L466" s="61" t="str">
        <f t="shared" ref="L466:L529" si="8">_xlfn.CONCAT(A466,"-",B466)</f>
        <v>Cliente6-Cliente29</v>
      </c>
      <c r="M466">
        <v>63.189258000000002</v>
      </c>
    </row>
    <row r="467" spans="1:13" x14ac:dyDescent="0.25">
      <c r="A467" s="15" t="s">
        <v>4276</v>
      </c>
      <c r="B467" s="15" t="s">
        <v>4300</v>
      </c>
      <c r="C467" s="54">
        <v>67.248686000000006</v>
      </c>
      <c r="D467" s="26">
        <v>7.8472222222222221E-2</v>
      </c>
      <c r="E467" s="55">
        <v>-23.185880000000001</v>
      </c>
      <c r="F467" s="55">
        <v>-46.908085999999997</v>
      </c>
      <c r="G467" s="55">
        <v>-23.383962</v>
      </c>
      <c r="H467" s="55">
        <v>-46.769461999999997</v>
      </c>
      <c r="I467" s="55">
        <v>-23.570951999999998</v>
      </c>
      <c r="J467" s="55">
        <v>-46.604725999999999</v>
      </c>
      <c r="L467" s="61" t="str">
        <f t="shared" si="8"/>
        <v>Cliente6-Cliente30</v>
      </c>
      <c r="M467">
        <v>67.248686000000006</v>
      </c>
    </row>
    <row r="468" spans="1:13" x14ac:dyDescent="0.25">
      <c r="A468" s="15" t="s">
        <v>4276</v>
      </c>
      <c r="B468" s="15" t="s">
        <v>4301</v>
      </c>
      <c r="C468" s="52">
        <v>52.651397000000003</v>
      </c>
      <c r="D468" s="25">
        <v>5.486111111111111E-2</v>
      </c>
      <c r="E468" s="53">
        <v>-23.117201999999999</v>
      </c>
      <c r="F468" s="53">
        <v>-46.955871999999999</v>
      </c>
      <c r="G468" s="53">
        <v>-23.312888999999998</v>
      </c>
      <c r="H468" s="53">
        <v>-46.825960000000002</v>
      </c>
      <c r="I468" s="53">
        <v>-23.509889999999999</v>
      </c>
      <c r="J468" s="53">
        <v>-46.721870000000003</v>
      </c>
      <c r="L468" s="61" t="str">
        <f t="shared" si="8"/>
        <v>Cliente6-Cliente31</v>
      </c>
      <c r="M468">
        <v>52.651397000000003</v>
      </c>
    </row>
    <row r="469" spans="1:13" x14ac:dyDescent="0.25">
      <c r="A469" s="15" t="s">
        <v>4276</v>
      </c>
      <c r="B469" s="15" t="s">
        <v>4302</v>
      </c>
      <c r="C469" s="54">
        <v>48.01285</v>
      </c>
      <c r="D469" s="26">
        <v>4.9999999999999996E-2</v>
      </c>
      <c r="E469" s="55">
        <v>-23.137429000000001</v>
      </c>
      <c r="F469" s="55">
        <v>-46.943807999999997</v>
      </c>
      <c r="G469" s="55">
        <v>-23.315180999999999</v>
      </c>
      <c r="H469" s="55">
        <v>-46.856693</v>
      </c>
      <c r="I469" s="55">
        <v>-23.447268999999999</v>
      </c>
      <c r="J469" s="55">
        <v>-46.787565000000001</v>
      </c>
      <c r="L469" s="61" t="str">
        <f t="shared" si="8"/>
        <v>Cliente6-Cliente32</v>
      </c>
      <c r="M469">
        <v>48.01285</v>
      </c>
    </row>
    <row r="470" spans="1:13" x14ac:dyDescent="0.25">
      <c r="A470" s="15" t="s">
        <v>4276</v>
      </c>
      <c r="B470" s="15" t="s">
        <v>4303</v>
      </c>
      <c r="C470" s="52">
        <v>61.272323</v>
      </c>
      <c r="D470" s="25">
        <v>6.25E-2</v>
      </c>
      <c r="E470" s="53">
        <v>-23.129142999999999</v>
      </c>
      <c r="F470" s="53">
        <v>-46.951495000000001</v>
      </c>
      <c r="G470" s="53">
        <v>-23.338241</v>
      </c>
      <c r="H470" s="53">
        <v>-46.821655</v>
      </c>
      <c r="I470" s="53">
        <v>-23.513693</v>
      </c>
      <c r="J470" s="53">
        <v>-46.679369999999999</v>
      </c>
      <c r="L470" s="61" t="str">
        <f t="shared" si="8"/>
        <v>Cliente6-Cliente33</v>
      </c>
      <c r="M470">
        <v>61.272323</v>
      </c>
    </row>
    <row r="471" spans="1:13" x14ac:dyDescent="0.25">
      <c r="A471" s="15" t="s">
        <v>4276</v>
      </c>
      <c r="B471" s="15" t="s">
        <v>4304</v>
      </c>
      <c r="C471" s="54">
        <v>43.978276999999999</v>
      </c>
      <c r="D471" s="26">
        <v>4.9999999999999996E-2</v>
      </c>
      <c r="E471" s="55">
        <v>-23.143591000000001</v>
      </c>
      <c r="F471" s="55">
        <v>-46.939709999999998</v>
      </c>
      <c r="G471" s="55">
        <v>-23.323215999999999</v>
      </c>
      <c r="H471" s="55">
        <v>-46.847434999999997</v>
      </c>
      <c r="I471" s="55">
        <v>-23.422488999999999</v>
      </c>
      <c r="J471" s="55">
        <v>-46.824627999999997</v>
      </c>
      <c r="L471" s="61" t="str">
        <f t="shared" si="8"/>
        <v>Cliente6-Cliente34</v>
      </c>
      <c r="M471">
        <v>43.978276999999999</v>
      </c>
    </row>
    <row r="472" spans="1:13" x14ac:dyDescent="0.25">
      <c r="A472" s="15" t="s">
        <v>4276</v>
      </c>
      <c r="B472" s="15" t="s">
        <v>4305</v>
      </c>
      <c r="C472" s="52">
        <v>44.510171999999997</v>
      </c>
      <c r="D472" s="25">
        <v>5.1388888888888894E-2</v>
      </c>
      <c r="E472" s="53">
        <v>-23.156952</v>
      </c>
      <c r="F472" s="53">
        <v>-46.933937999999998</v>
      </c>
      <c r="G472" s="53">
        <v>-23.327673000000001</v>
      </c>
      <c r="H472" s="53">
        <v>-46.839582999999998</v>
      </c>
      <c r="I472" s="53">
        <v>-23.425453000000001</v>
      </c>
      <c r="J472" s="53">
        <v>-46.829047000000003</v>
      </c>
      <c r="L472" s="61" t="str">
        <f t="shared" si="8"/>
        <v>Cliente6-Cliente35</v>
      </c>
      <c r="M472">
        <v>44.510171999999997</v>
      </c>
    </row>
    <row r="473" spans="1:13" x14ac:dyDescent="0.25">
      <c r="A473" s="15" t="s">
        <v>4276</v>
      </c>
      <c r="B473" s="15" t="s">
        <v>4306</v>
      </c>
      <c r="C473" s="54">
        <v>97.187667000000005</v>
      </c>
      <c r="D473" s="26">
        <v>8.4027777777777771E-2</v>
      </c>
      <c r="E473" s="55">
        <v>-22.832039999999999</v>
      </c>
      <c r="F473" s="55">
        <v>-47.177745999999999</v>
      </c>
      <c r="G473" s="55">
        <v>-22.505077</v>
      </c>
      <c r="H473" s="55">
        <v>-47.399107999999998</v>
      </c>
      <c r="I473" s="55">
        <v>-22.293782</v>
      </c>
      <c r="J473" s="55">
        <v>-47.675685000000001</v>
      </c>
      <c r="L473" s="61" t="str">
        <f t="shared" si="8"/>
        <v>Cliente6-Cliente36</v>
      </c>
      <c r="M473">
        <v>97.187667000000005</v>
      </c>
    </row>
    <row r="474" spans="1:13" x14ac:dyDescent="0.25">
      <c r="A474" s="15" t="s">
        <v>4276</v>
      </c>
      <c r="B474" s="15" t="s">
        <v>4307</v>
      </c>
      <c r="C474" s="52">
        <v>96.090943999999993</v>
      </c>
      <c r="D474" s="25">
        <v>8.2638888888888887E-2</v>
      </c>
      <c r="E474" s="53">
        <v>-22.828955000000001</v>
      </c>
      <c r="F474" s="53">
        <v>-47.181308999999999</v>
      </c>
      <c r="G474" s="53">
        <v>-22.501201999999999</v>
      </c>
      <c r="H474" s="53">
        <v>-47.399346999999999</v>
      </c>
      <c r="I474" s="53">
        <v>-22.279026000000002</v>
      </c>
      <c r="J474" s="53">
        <v>-47.683962000000001</v>
      </c>
      <c r="L474" s="61" t="str">
        <f t="shared" si="8"/>
        <v>Cliente6-Cliente37</v>
      </c>
      <c r="M474">
        <v>96.090943999999993</v>
      </c>
    </row>
    <row r="475" spans="1:13" x14ac:dyDescent="0.25">
      <c r="A475" s="15" t="s">
        <v>4276</v>
      </c>
      <c r="B475" s="15" t="s">
        <v>4308</v>
      </c>
      <c r="C475" s="54">
        <v>94.314438999999993</v>
      </c>
      <c r="D475" s="26">
        <v>8.0555555555555561E-2</v>
      </c>
      <c r="E475" s="55">
        <v>-22.848213999999999</v>
      </c>
      <c r="F475" s="55">
        <v>-47.162035000000003</v>
      </c>
      <c r="G475" s="55">
        <v>-22.556640999999999</v>
      </c>
      <c r="H475" s="55">
        <v>-47.368212</v>
      </c>
      <c r="I475" s="55">
        <v>-22.313302</v>
      </c>
      <c r="J475" s="55">
        <v>-47.663258999999996</v>
      </c>
      <c r="L475" s="61" t="str">
        <f t="shared" si="8"/>
        <v>Cliente6-Cliente38</v>
      </c>
      <c r="M475">
        <v>94.314438999999993</v>
      </c>
    </row>
    <row r="476" spans="1:13" x14ac:dyDescent="0.25">
      <c r="A476" s="15" t="s">
        <v>4276</v>
      </c>
      <c r="B476" s="15" t="s">
        <v>4309</v>
      </c>
      <c r="C476" s="52">
        <v>121.66913099999999</v>
      </c>
      <c r="D476" s="25">
        <v>0.10416666666666667</v>
      </c>
      <c r="E476" s="53">
        <v>-22.986961000000001</v>
      </c>
      <c r="F476" s="53">
        <v>-46.808838000000002</v>
      </c>
      <c r="G476" s="53">
        <v>-23.185528000000001</v>
      </c>
      <c r="H476" s="53">
        <v>-46.361981</v>
      </c>
      <c r="I476" s="53">
        <v>-23.255351000000001</v>
      </c>
      <c r="J476" s="53">
        <v>-46.088121999999998</v>
      </c>
      <c r="L476" s="61" t="str">
        <f t="shared" si="8"/>
        <v>Cliente6-Cliente39</v>
      </c>
      <c r="M476">
        <v>121.66913099999999</v>
      </c>
    </row>
    <row r="477" spans="1:13" x14ac:dyDescent="0.25">
      <c r="A477" s="15" t="s">
        <v>4276</v>
      </c>
      <c r="B477" s="15" t="s">
        <v>4310</v>
      </c>
      <c r="C477" s="54">
        <v>123.23064100000001</v>
      </c>
      <c r="D477" s="26">
        <v>0.10694444444444444</v>
      </c>
      <c r="E477" s="55">
        <v>-22.9908</v>
      </c>
      <c r="F477" s="55">
        <v>-46.797552000000003</v>
      </c>
      <c r="G477" s="55">
        <v>-23.189931000000001</v>
      </c>
      <c r="H477" s="55">
        <v>-46.357652000000002</v>
      </c>
      <c r="I477" s="55">
        <v>-23.247568999999999</v>
      </c>
      <c r="J477" s="55">
        <v>-46.080482000000003</v>
      </c>
      <c r="L477" s="61" t="str">
        <f t="shared" si="8"/>
        <v>Cliente6-Cliente40</v>
      </c>
      <c r="M477">
        <v>123.23064100000001</v>
      </c>
    </row>
    <row r="478" spans="1:13" x14ac:dyDescent="0.25">
      <c r="A478" s="15" t="s">
        <v>4276</v>
      </c>
      <c r="B478" s="15" t="s">
        <v>4311</v>
      </c>
      <c r="C478" s="52">
        <v>112.524389</v>
      </c>
      <c r="D478" s="25">
        <v>9.7916666666666666E-2</v>
      </c>
      <c r="E478" s="53">
        <v>-22.989681999999998</v>
      </c>
      <c r="F478" s="53">
        <v>-46.799691000000003</v>
      </c>
      <c r="G478" s="53">
        <v>-23.188707999999998</v>
      </c>
      <c r="H478" s="53">
        <v>-46.358916999999998</v>
      </c>
      <c r="I478" s="53">
        <v>-23.247890999999999</v>
      </c>
      <c r="J478" s="53">
        <v>-46.083412000000003</v>
      </c>
      <c r="L478" s="61" t="str">
        <f t="shared" si="8"/>
        <v>Cliente6-Cliente41</v>
      </c>
      <c r="M478">
        <v>112.524389</v>
      </c>
    </row>
    <row r="479" spans="1:13" x14ac:dyDescent="0.25">
      <c r="A479" s="15" t="s">
        <v>4276</v>
      </c>
      <c r="B479" s="15" t="s">
        <v>4312</v>
      </c>
      <c r="C479" s="54">
        <v>109.236706</v>
      </c>
      <c r="D479" s="26">
        <v>9.0972222222222218E-2</v>
      </c>
      <c r="E479" s="55">
        <v>-22.962316000000001</v>
      </c>
      <c r="F479" s="55">
        <v>-46.846612999999998</v>
      </c>
      <c r="G479" s="55">
        <v>-23.167746999999999</v>
      </c>
      <c r="H479" s="55">
        <v>-46.396025000000002</v>
      </c>
      <c r="I479" s="55">
        <v>-23.215617999999999</v>
      </c>
      <c r="J479" s="55">
        <v>-46.148643999999997</v>
      </c>
      <c r="L479" s="61" t="str">
        <f t="shared" si="8"/>
        <v>Cliente6-Cliente42</v>
      </c>
      <c r="M479">
        <v>109.236706</v>
      </c>
    </row>
    <row r="480" spans="1:13" x14ac:dyDescent="0.25">
      <c r="A480" s="15" t="s">
        <v>4276</v>
      </c>
      <c r="B480" s="15" t="s">
        <v>4313</v>
      </c>
      <c r="C480" s="52">
        <v>127.910821</v>
      </c>
      <c r="D480" s="25">
        <v>0.10972222222222222</v>
      </c>
      <c r="E480" s="53">
        <v>-23.005476000000002</v>
      </c>
      <c r="F480" s="53">
        <v>-46.768071999999997</v>
      </c>
      <c r="G480" s="53">
        <v>-23.180489999999999</v>
      </c>
      <c r="H480" s="53">
        <v>-46.322249999999997</v>
      </c>
      <c r="I480" s="53">
        <v>-23.287030000000001</v>
      </c>
      <c r="J480" s="53">
        <v>-46.047826000000001</v>
      </c>
      <c r="L480" s="61" t="str">
        <f t="shared" si="8"/>
        <v>Cliente6-Cliente43</v>
      </c>
      <c r="M480">
        <v>127.910821</v>
      </c>
    </row>
    <row r="481" spans="1:13" x14ac:dyDescent="0.25">
      <c r="A481" s="15" t="s">
        <v>4276</v>
      </c>
      <c r="B481" s="15" t="s">
        <v>4314</v>
      </c>
      <c r="C481" s="54">
        <v>68.787825999999995</v>
      </c>
      <c r="D481" s="26">
        <v>6.1111111111111116E-2</v>
      </c>
      <c r="E481" s="55">
        <v>-22.992864000000001</v>
      </c>
      <c r="F481" s="55">
        <v>-47.109423999999997</v>
      </c>
      <c r="G481" s="55">
        <v>-23.180705</v>
      </c>
      <c r="H481" s="55">
        <v>-47.302424000000002</v>
      </c>
      <c r="I481" s="55">
        <v>-23.349571000000001</v>
      </c>
      <c r="J481" s="55">
        <v>-47.529404999999997</v>
      </c>
      <c r="L481" s="61" t="str">
        <f t="shared" si="8"/>
        <v>Cliente6-Cliente44</v>
      </c>
      <c r="M481">
        <v>68.787825999999995</v>
      </c>
    </row>
    <row r="482" spans="1:13" x14ac:dyDescent="0.25">
      <c r="A482" s="15" t="s">
        <v>4276</v>
      </c>
      <c r="B482" s="15" t="s">
        <v>4315</v>
      </c>
      <c r="C482" s="52">
        <v>60.266942</v>
      </c>
      <c r="D482" s="25">
        <v>6.0416666666666667E-2</v>
      </c>
      <c r="E482" s="53">
        <v>-22.992255</v>
      </c>
      <c r="F482" s="53">
        <v>-47.110019000000001</v>
      </c>
      <c r="G482" s="53">
        <v>-23.184348</v>
      </c>
      <c r="H482" s="53">
        <v>-47.308393000000002</v>
      </c>
      <c r="I482" s="53">
        <v>-23.483930000000001</v>
      </c>
      <c r="J482" s="53">
        <v>-47.454211999999998</v>
      </c>
      <c r="L482" s="61" t="str">
        <f t="shared" si="8"/>
        <v>Cliente6-Cliente45</v>
      </c>
      <c r="M482">
        <v>60.266942</v>
      </c>
    </row>
    <row r="483" spans="1:13" x14ac:dyDescent="0.25">
      <c r="A483" s="15" t="s">
        <v>4276</v>
      </c>
      <c r="B483" s="15" t="s">
        <v>4316</v>
      </c>
      <c r="C483" s="54">
        <v>57.570183999999998</v>
      </c>
      <c r="D483" s="26">
        <v>5.4166666666666669E-2</v>
      </c>
      <c r="E483" s="55">
        <v>-23.012799999999999</v>
      </c>
      <c r="F483" s="55">
        <v>-47.085483000000004</v>
      </c>
      <c r="G483" s="55">
        <v>-23.112463000000002</v>
      </c>
      <c r="H483" s="55">
        <v>-47.211364000000003</v>
      </c>
      <c r="I483" s="55">
        <v>-23.382839000000001</v>
      </c>
      <c r="J483" s="55">
        <v>-47.328001</v>
      </c>
      <c r="L483" s="61" t="str">
        <f t="shared" si="8"/>
        <v>Cliente6-Cliente46</v>
      </c>
      <c r="M483">
        <v>57.570183999999998</v>
      </c>
    </row>
    <row r="484" spans="1:13" x14ac:dyDescent="0.25">
      <c r="A484" s="15" t="s">
        <v>4276</v>
      </c>
      <c r="B484" s="15" t="s">
        <v>4317</v>
      </c>
      <c r="C484" s="52">
        <v>143.643978</v>
      </c>
      <c r="D484" s="25">
        <v>0.11805555555555557</v>
      </c>
      <c r="E484" s="53">
        <v>-22.803522999999998</v>
      </c>
      <c r="F484" s="53">
        <v>-47.219754999999999</v>
      </c>
      <c r="G484" s="53">
        <v>-22.414328999999999</v>
      </c>
      <c r="H484" s="53">
        <v>-47.389870999999999</v>
      </c>
      <c r="I484" s="53">
        <v>-21.670172999999998</v>
      </c>
      <c r="J484" s="53">
        <v>-47.606836999999999</v>
      </c>
      <c r="L484" s="61" t="str">
        <f t="shared" si="8"/>
        <v>Cliente6-Cliente47</v>
      </c>
      <c r="M484">
        <v>143.643978</v>
      </c>
    </row>
    <row r="485" spans="1:13" x14ac:dyDescent="0.25">
      <c r="A485" s="15" t="s">
        <v>4276</v>
      </c>
      <c r="B485" s="15" t="s">
        <v>4318</v>
      </c>
      <c r="C485" s="54">
        <v>152.755167</v>
      </c>
      <c r="D485" s="26">
        <v>0.12638888888888888</v>
      </c>
      <c r="E485" s="55">
        <v>-22.732436</v>
      </c>
      <c r="F485" s="55">
        <v>-47.288780000000003</v>
      </c>
      <c r="G485" s="55">
        <v>-22.270962999999998</v>
      </c>
      <c r="H485" s="55">
        <v>-47.391627999999997</v>
      </c>
      <c r="I485" s="55">
        <v>-21.353262999999998</v>
      </c>
      <c r="J485" s="55">
        <v>-47.724013999999997</v>
      </c>
      <c r="L485" s="61" t="str">
        <f t="shared" si="8"/>
        <v>Cliente6-Cliente48</v>
      </c>
      <c r="M485">
        <v>152.755167</v>
      </c>
    </row>
    <row r="486" spans="1:13" x14ac:dyDescent="0.25">
      <c r="A486" s="15" t="s">
        <v>4276</v>
      </c>
      <c r="B486" s="15" t="s">
        <v>4319</v>
      </c>
      <c r="C486" s="52">
        <v>146.392931</v>
      </c>
      <c r="D486" s="25">
        <v>0.12222222222222223</v>
      </c>
      <c r="E486" s="53">
        <v>-22.763501000000002</v>
      </c>
      <c r="F486" s="53">
        <v>-47.247579000000002</v>
      </c>
      <c r="G486" s="53">
        <v>-22.344252000000001</v>
      </c>
      <c r="H486" s="53">
        <v>-47.393180999999998</v>
      </c>
      <c r="I486" s="53">
        <v>-21.416139999999999</v>
      </c>
      <c r="J486" s="53">
        <v>-47.662692</v>
      </c>
      <c r="L486" s="61" t="str">
        <f t="shared" si="8"/>
        <v>Cliente6-Cliente49</v>
      </c>
      <c r="M486">
        <v>146.392931</v>
      </c>
    </row>
    <row r="487" spans="1:13" x14ac:dyDescent="0.25">
      <c r="A487" s="15" t="s">
        <v>4276</v>
      </c>
      <c r="B487" s="15" t="s">
        <v>4320</v>
      </c>
      <c r="C487" s="54">
        <v>171.15090699999999</v>
      </c>
      <c r="D487" s="26">
        <v>0.1451388888888889</v>
      </c>
      <c r="E487" s="55">
        <v>-22.646929</v>
      </c>
      <c r="F487" s="55">
        <v>-47.326261000000002</v>
      </c>
      <c r="G487" s="55">
        <v>-22.268336000000001</v>
      </c>
      <c r="H487" s="55">
        <v>-47.703960000000002</v>
      </c>
      <c r="I487" s="55">
        <v>-22.246995999999999</v>
      </c>
      <c r="J487" s="55">
        <v>-48.351047000000001</v>
      </c>
      <c r="L487" s="61" t="str">
        <f t="shared" si="8"/>
        <v>Cliente6-Cliente50</v>
      </c>
      <c r="M487">
        <v>171.15090699999999</v>
      </c>
    </row>
    <row r="488" spans="1:13" x14ac:dyDescent="0.25">
      <c r="A488" s="15" t="s">
        <v>4276</v>
      </c>
      <c r="B488" s="15" t="s">
        <v>4321</v>
      </c>
      <c r="C488" s="52">
        <v>170.97008700000001</v>
      </c>
      <c r="D488" s="25">
        <v>0.14444444444444446</v>
      </c>
      <c r="E488" s="53">
        <v>-22.648876000000001</v>
      </c>
      <c r="F488" s="53">
        <v>-47.325572999999999</v>
      </c>
      <c r="G488" s="53">
        <v>-22.269907</v>
      </c>
      <c r="H488" s="53">
        <v>-47.703609999999998</v>
      </c>
      <c r="I488" s="53">
        <v>-22.247857</v>
      </c>
      <c r="J488" s="53">
        <v>-48.347951000000002</v>
      </c>
      <c r="L488" s="61" t="str">
        <f t="shared" si="8"/>
        <v>Cliente6-Cliente51</v>
      </c>
      <c r="M488">
        <v>170.97008700000001</v>
      </c>
    </row>
    <row r="489" spans="1:13" x14ac:dyDescent="0.25">
      <c r="A489" s="15" t="s">
        <v>4277</v>
      </c>
      <c r="B489" s="15" t="s">
        <v>4268</v>
      </c>
      <c r="C489" s="54">
        <v>29.338114000000001</v>
      </c>
      <c r="D489" s="26">
        <v>2.6388888888888889E-2</v>
      </c>
      <c r="E489" s="55">
        <v>-22.993708000000002</v>
      </c>
      <c r="F489" s="55">
        <v>-47.110517000000002</v>
      </c>
      <c r="G489" s="55">
        <v>-23.112463000000002</v>
      </c>
      <c r="H489" s="55">
        <v>-47.211364000000003</v>
      </c>
      <c r="I489" s="55">
        <v>-23.195330999999999</v>
      </c>
      <c r="J489" s="55">
        <v>-47.324115999999997</v>
      </c>
      <c r="L489" s="61" t="str">
        <f t="shared" si="8"/>
        <v>Cliente7-depósito A</v>
      </c>
      <c r="M489">
        <v>29.338114000000001</v>
      </c>
    </row>
    <row r="490" spans="1:13" x14ac:dyDescent="0.25">
      <c r="A490" s="15" t="s">
        <v>4277</v>
      </c>
      <c r="B490" s="15" t="s">
        <v>4269</v>
      </c>
      <c r="C490" s="52">
        <v>114.07719899999999</v>
      </c>
      <c r="D490" s="25">
        <v>9.4444444444444442E-2</v>
      </c>
      <c r="E490" s="53">
        <v>-22.808198000000001</v>
      </c>
      <c r="F490" s="53">
        <v>-47.215293000000003</v>
      </c>
      <c r="G490" s="53">
        <v>-22.500387</v>
      </c>
      <c r="H490" s="53">
        <v>-47.397807</v>
      </c>
      <c r="I490" s="53">
        <v>-22.277826000000001</v>
      </c>
      <c r="J490" s="53">
        <v>-47.688125999999997</v>
      </c>
      <c r="L490" s="61" t="str">
        <f t="shared" si="8"/>
        <v>Cliente7-depósito B</v>
      </c>
      <c r="M490">
        <v>114.07719899999999</v>
      </c>
    </row>
    <row r="491" spans="1:13" x14ac:dyDescent="0.25">
      <c r="A491" s="15" t="s">
        <v>4277</v>
      </c>
      <c r="B491" s="15" t="s">
        <v>4270</v>
      </c>
      <c r="C491" s="54">
        <v>94.779225999999994</v>
      </c>
      <c r="D491" s="26">
        <v>8.1250000000000003E-2</v>
      </c>
      <c r="E491" s="55">
        <v>-22.932058000000001</v>
      </c>
      <c r="F491" s="55">
        <v>-46.934918000000003</v>
      </c>
      <c r="G491" s="55">
        <v>-23.117349999999998</v>
      </c>
      <c r="H491" s="55">
        <v>-46.479610999999998</v>
      </c>
      <c r="I491" s="55">
        <v>-23.188860999999999</v>
      </c>
      <c r="J491" s="55">
        <v>-46.190967999999998</v>
      </c>
      <c r="L491" s="61" t="str">
        <f t="shared" si="8"/>
        <v>Cliente7-depósito C</v>
      </c>
      <c r="M491">
        <v>94.779225999999994</v>
      </c>
    </row>
    <row r="492" spans="1:13" x14ac:dyDescent="0.25">
      <c r="A492" s="15" t="s">
        <v>4277</v>
      </c>
      <c r="B492" s="15" t="s">
        <v>4271</v>
      </c>
      <c r="C492" s="52">
        <v>6.4554410000000004</v>
      </c>
      <c r="D492" s="25">
        <v>1.3194444444444444E-2</v>
      </c>
      <c r="E492" s="53">
        <v>-22.940802000000001</v>
      </c>
      <c r="F492" s="53">
        <v>-47.086863999999998</v>
      </c>
      <c r="G492" s="53">
        <v>-22.924319000000001</v>
      </c>
      <c r="H492" s="53">
        <v>-47.066487000000002</v>
      </c>
      <c r="I492" s="53">
        <v>-22.929608000000002</v>
      </c>
      <c r="J492" s="53">
        <v>-47.049337000000001</v>
      </c>
      <c r="L492" s="61" t="str">
        <f t="shared" si="8"/>
        <v>Cliente7-Cliente1</v>
      </c>
      <c r="M492">
        <v>6.4554410000000004</v>
      </c>
    </row>
    <row r="493" spans="1:13" x14ac:dyDescent="0.25">
      <c r="A493" s="15" t="s">
        <v>4277</v>
      </c>
      <c r="B493" s="15" t="s">
        <v>4272</v>
      </c>
      <c r="C493" s="54">
        <v>5.8868850000000004</v>
      </c>
      <c r="D493" s="26">
        <v>1.2499999999999999E-2</v>
      </c>
      <c r="E493" s="55">
        <v>-22.937260999999999</v>
      </c>
      <c r="F493" s="55">
        <v>-47.084856000000002</v>
      </c>
      <c r="G493" s="55">
        <v>-22.91826</v>
      </c>
      <c r="H493" s="55">
        <v>-47.064354999999999</v>
      </c>
      <c r="I493" s="55">
        <v>-22.904812</v>
      </c>
      <c r="J493" s="55">
        <v>-47.055129999999998</v>
      </c>
      <c r="L493" s="61" t="str">
        <f t="shared" si="8"/>
        <v>Cliente7-Cliente2</v>
      </c>
      <c r="M493">
        <v>5.8868850000000004</v>
      </c>
    </row>
    <row r="494" spans="1:13" x14ac:dyDescent="0.25">
      <c r="A494" s="15" t="s">
        <v>4277</v>
      </c>
      <c r="B494" s="15" t="s">
        <v>4273</v>
      </c>
      <c r="C494" s="52">
        <v>5.4047000000000001</v>
      </c>
      <c r="D494" s="25">
        <v>1.2499999999999999E-2</v>
      </c>
      <c r="E494" s="53">
        <v>-22.940802000000001</v>
      </c>
      <c r="F494" s="53">
        <v>-47.086863999999998</v>
      </c>
      <c r="G494" s="53">
        <v>-22.924319000000001</v>
      </c>
      <c r="H494" s="53">
        <v>-47.066487000000002</v>
      </c>
      <c r="I494" s="53">
        <v>-22.929608000000002</v>
      </c>
      <c r="J494" s="53">
        <v>-47.049337000000001</v>
      </c>
      <c r="L494" s="61" t="str">
        <f t="shared" si="8"/>
        <v>Cliente7-Cliente3</v>
      </c>
      <c r="M494">
        <v>5.4047000000000001</v>
      </c>
    </row>
    <row r="495" spans="1:13" x14ac:dyDescent="0.25">
      <c r="A495" s="15" t="s">
        <v>4277</v>
      </c>
      <c r="B495" s="15" t="s">
        <v>4274</v>
      </c>
      <c r="C495" s="54">
        <v>15.697739</v>
      </c>
      <c r="D495" s="26">
        <v>1.8749999999999999E-2</v>
      </c>
      <c r="E495" s="55">
        <v>-22.934253999999999</v>
      </c>
      <c r="F495" s="55">
        <v>-47.080123999999998</v>
      </c>
      <c r="G495" s="55">
        <v>-22.892275999999999</v>
      </c>
      <c r="H495" s="55">
        <v>-47.111778000000001</v>
      </c>
      <c r="I495" s="55">
        <v>-22.845483000000002</v>
      </c>
      <c r="J495" s="55">
        <v>-47.078028000000003</v>
      </c>
      <c r="L495" s="61" t="str">
        <f t="shared" si="8"/>
        <v>Cliente7-Cliente4</v>
      </c>
      <c r="M495">
        <v>15.697739</v>
      </c>
    </row>
    <row r="496" spans="1:13" x14ac:dyDescent="0.25">
      <c r="A496" s="15" t="s">
        <v>4277</v>
      </c>
      <c r="B496" s="15" t="s">
        <v>4275</v>
      </c>
      <c r="C496" s="52">
        <v>15.790945000000001</v>
      </c>
      <c r="D496" s="25">
        <v>1.9444444444444445E-2</v>
      </c>
      <c r="E496" s="53">
        <v>-22.934538</v>
      </c>
      <c r="F496" s="53">
        <v>-47.080962</v>
      </c>
      <c r="G496" s="53">
        <v>-22.894161</v>
      </c>
      <c r="H496" s="53">
        <v>-47.111224999999997</v>
      </c>
      <c r="I496" s="53">
        <v>-22.847729999999999</v>
      </c>
      <c r="J496" s="53">
        <v>-47.093870000000003</v>
      </c>
      <c r="L496" s="61" t="str">
        <f t="shared" si="8"/>
        <v>Cliente7-Cliente5</v>
      </c>
      <c r="M496">
        <v>15.790945000000001</v>
      </c>
    </row>
    <row r="497" spans="1:13" x14ac:dyDescent="0.25">
      <c r="A497" s="15" t="s">
        <v>4277</v>
      </c>
      <c r="B497" s="15" t="s">
        <v>4276</v>
      </c>
      <c r="C497" s="54">
        <v>10.251407</v>
      </c>
      <c r="D497" s="26">
        <v>1.3888888888888888E-2</v>
      </c>
      <c r="E497" s="55">
        <v>-22.937260999999999</v>
      </c>
      <c r="F497" s="55">
        <v>-47.084856000000002</v>
      </c>
      <c r="G497" s="55">
        <v>-22.981701999999999</v>
      </c>
      <c r="H497" s="55">
        <v>-47.044708999999997</v>
      </c>
      <c r="I497" s="55">
        <v>-22.956979</v>
      </c>
      <c r="J497" s="55">
        <v>-47.021484000000001</v>
      </c>
      <c r="L497" s="61" t="str">
        <f t="shared" si="8"/>
        <v>Cliente7-Cliente6</v>
      </c>
      <c r="M497">
        <v>10.251407</v>
      </c>
    </row>
    <row r="498" spans="1:13" x14ac:dyDescent="0.25">
      <c r="A498" s="15" t="s">
        <v>4277</v>
      </c>
      <c r="B498" s="15" t="s">
        <v>4277</v>
      </c>
      <c r="C498" s="52">
        <v>0</v>
      </c>
      <c r="D498" s="25">
        <v>0</v>
      </c>
      <c r="E498" s="53">
        <f>'1. Locais'!D11</f>
        <v>-22.949560000000002</v>
      </c>
      <c r="F498" s="53">
        <f>'1. Locais'!E11</f>
        <v>-47.092680000000001</v>
      </c>
      <c r="G498" s="53">
        <f>'1. Locais'!D11</f>
        <v>-22.949560000000002</v>
      </c>
      <c r="H498" s="53">
        <f>'1. Locais'!E11</f>
        <v>-47.092680000000001</v>
      </c>
      <c r="I498" s="53">
        <f>'1. Locais'!D11</f>
        <v>-22.949560000000002</v>
      </c>
      <c r="J498" s="53">
        <f>'1. Locais'!E11</f>
        <v>-47.092680000000001</v>
      </c>
      <c r="L498" s="61" t="str">
        <f t="shared" si="8"/>
        <v>Cliente7-Cliente7</v>
      </c>
      <c r="M498">
        <v>0</v>
      </c>
    </row>
    <row r="499" spans="1:13" x14ac:dyDescent="0.25">
      <c r="A499" s="15" t="s">
        <v>4277</v>
      </c>
      <c r="B499" s="15" t="s">
        <v>4278</v>
      </c>
      <c r="C499" s="54">
        <v>10.544695000000001</v>
      </c>
      <c r="D499" s="26">
        <v>1.8749999999999999E-2</v>
      </c>
      <c r="E499" s="55">
        <v>-22.935110000000002</v>
      </c>
      <c r="F499" s="55">
        <v>-47.082189</v>
      </c>
      <c r="G499" s="55">
        <v>-22.917729999999999</v>
      </c>
      <c r="H499" s="55">
        <v>-47.061892999999998</v>
      </c>
      <c r="I499" s="55">
        <v>-22.902591000000001</v>
      </c>
      <c r="J499" s="55">
        <v>-47.028733000000003</v>
      </c>
      <c r="L499" s="61" t="str">
        <f t="shared" si="8"/>
        <v>Cliente7-Cliente8</v>
      </c>
      <c r="M499">
        <v>10.544695000000001</v>
      </c>
    </row>
    <row r="500" spans="1:13" x14ac:dyDescent="0.25">
      <c r="A500" s="15" t="s">
        <v>4277</v>
      </c>
      <c r="B500" s="15" t="s">
        <v>4279</v>
      </c>
      <c r="C500" s="52">
        <v>24.295674000000002</v>
      </c>
      <c r="D500" s="25">
        <v>2.7083333333333334E-2</v>
      </c>
      <c r="E500" s="53">
        <v>-22.933181000000001</v>
      </c>
      <c r="F500" s="53">
        <v>-47.074323999999997</v>
      </c>
      <c r="G500" s="53">
        <v>-22.88111</v>
      </c>
      <c r="H500" s="53">
        <v>-47.116847</v>
      </c>
      <c r="I500" s="53">
        <v>-22.765263000000001</v>
      </c>
      <c r="J500" s="53">
        <v>-47.245572000000003</v>
      </c>
      <c r="L500" s="61" t="str">
        <f t="shared" si="8"/>
        <v>Cliente7-Cliente9</v>
      </c>
      <c r="M500">
        <v>24.295674000000002</v>
      </c>
    </row>
    <row r="501" spans="1:13" x14ac:dyDescent="0.25">
      <c r="A501" s="15" t="s">
        <v>4277</v>
      </c>
      <c r="B501" s="15" t="s">
        <v>4280</v>
      </c>
      <c r="C501" s="54">
        <v>55.452545999999998</v>
      </c>
      <c r="D501" s="26">
        <v>5.2777777777777778E-2</v>
      </c>
      <c r="E501" s="55">
        <v>-23.112259000000002</v>
      </c>
      <c r="F501" s="55">
        <v>-47.002482000000001</v>
      </c>
      <c r="G501" s="55">
        <v>-23.312118999999999</v>
      </c>
      <c r="H501" s="55">
        <v>-46.827396999999998</v>
      </c>
      <c r="I501" s="55">
        <v>-23.479970999999999</v>
      </c>
      <c r="J501" s="55">
        <v>-46.738467999999997</v>
      </c>
      <c r="L501" s="61" t="str">
        <f t="shared" si="8"/>
        <v>Cliente7-Cliente10</v>
      </c>
      <c r="M501">
        <v>55.452545999999998</v>
      </c>
    </row>
    <row r="502" spans="1:13" x14ac:dyDescent="0.25">
      <c r="A502" s="15" t="s">
        <v>4277</v>
      </c>
      <c r="B502" s="15" t="s">
        <v>4281</v>
      </c>
      <c r="C502" s="52">
        <v>45.146458000000003</v>
      </c>
      <c r="D502" s="25">
        <v>3.7499999999999999E-2</v>
      </c>
      <c r="E502" s="53">
        <v>-22.941772</v>
      </c>
      <c r="F502" s="53">
        <v>-47.125838000000002</v>
      </c>
      <c r="G502" s="53">
        <v>-22.885287999999999</v>
      </c>
      <c r="H502" s="53">
        <v>-47.230432</v>
      </c>
      <c r="I502" s="53">
        <v>-22.764783999999999</v>
      </c>
      <c r="J502" s="53">
        <v>-47.445380999999998</v>
      </c>
      <c r="L502" s="61" t="str">
        <f t="shared" si="8"/>
        <v>Cliente7-Cliente11</v>
      </c>
      <c r="M502">
        <v>45.146458000000003</v>
      </c>
    </row>
    <row r="503" spans="1:13" x14ac:dyDescent="0.25">
      <c r="A503" s="15" t="s">
        <v>4277</v>
      </c>
      <c r="B503" s="15" t="s">
        <v>4282</v>
      </c>
      <c r="C503" s="54">
        <v>93.820447999999999</v>
      </c>
      <c r="D503" s="26">
        <v>8.1250000000000003E-2</v>
      </c>
      <c r="E503" s="55">
        <v>-22.932604999999999</v>
      </c>
      <c r="F503" s="55">
        <v>-46.933577</v>
      </c>
      <c r="G503" s="55">
        <v>-23.120362</v>
      </c>
      <c r="H503" s="55">
        <v>-46.474874999999997</v>
      </c>
      <c r="I503" s="55">
        <v>-23.196577999999999</v>
      </c>
      <c r="J503" s="55">
        <v>-46.184575000000002</v>
      </c>
      <c r="L503" s="61" t="str">
        <f t="shared" si="8"/>
        <v>Cliente7-Cliente12</v>
      </c>
      <c r="M503">
        <v>93.820447999999999</v>
      </c>
    </row>
    <row r="504" spans="1:13" x14ac:dyDescent="0.25">
      <c r="A504" s="15" t="s">
        <v>4277</v>
      </c>
      <c r="B504" s="15" t="s">
        <v>4283</v>
      </c>
      <c r="C504" s="52">
        <v>101.704425</v>
      </c>
      <c r="D504" s="25">
        <v>8.6805555555555566E-2</v>
      </c>
      <c r="E504" s="53">
        <v>-22.928719000000001</v>
      </c>
      <c r="F504" s="53">
        <v>-46.913853000000003</v>
      </c>
      <c r="G504" s="53">
        <v>-23.169851999999999</v>
      </c>
      <c r="H504" s="53">
        <v>-46.440689999999996</v>
      </c>
      <c r="I504" s="53">
        <v>-23.220222</v>
      </c>
      <c r="J504" s="53">
        <v>-46.143115999999999</v>
      </c>
      <c r="L504" s="61" t="str">
        <f t="shared" si="8"/>
        <v>Cliente7-Cliente13</v>
      </c>
      <c r="M504">
        <v>101.704425</v>
      </c>
    </row>
    <row r="505" spans="1:13" x14ac:dyDescent="0.25">
      <c r="A505" s="15" t="s">
        <v>4277</v>
      </c>
      <c r="B505" s="15" t="s">
        <v>4284</v>
      </c>
      <c r="C505" s="54">
        <v>99.766985000000005</v>
      </c>
      <c r="D505" s="26">
        <v>8.3333333333333329E-2</v>
      </c>
      <c r="E505" s="55">
        <v>-22.929247</v>
      </c>
      <c r="F505" s="55">
        <v>-46.940328999999998</v>
      </c>
      <c r="G505" s="55">
        <v>-23.110296999999999</v>
      </c>
      <c r="H505" s="55">
        <v>-46.495376</v>
      </c>
      <c r="I505" s="55">
        <v>-23.177226999999998</v>
      </c>
      <c r="J505" s="55">
        <v>-46.210563999999998</v>
      </c>
      <c r="L505" s="61" t="str">
        <f t="shared" si="8"/>
        <v>Cliente7-Cliente14</v>
      </c>
      <c r="M505">
        <v>99.766985000000005</v>
      </c>
    </row>
    <row r="506" spans="1:13" x14ac:dyDescent="0.25">
      <c r="A506" s="15" t="s">
        <v>4277</v>
      </c>
      <c r="B506" s="15" t="s">
        <v>4285</v>
      </c>
      <c r="C506" s="52">
        <v>102.1456</v>
      </c>
      <c r="D506" s="25">
        <v>8.9583333333333334E-2</v>
      </c>
      <c r="E506" s="53">
        <v>-22.928719000000001</v>
      </c>
      <c r="F506" s="53">
        <v>-46.913853000000003</v>
      </c>
      <c r="G506" s="53">
        <v>-23.169851999999999</v>
      </c>
      <c r="H506" s="53">
        <v>-46.440689999999996</v>
      </c>
      <c r="I506" s="53">
        <v>-23.220222</v>
      </c>
      <c r="J506" s="53">
        <v>-46.143115999999999</v>
      </c>
      <c r="L506" s="61" t="str">
        <f t="shared" si="8"/>
        <v>Cliente7-Cliente15</v>
      </c>
      <c r="M506">
        <v>102.1456</v>
      </c>
    </row>
    <row r="507" spans="1:13" x14ac:dyDescent="0.25">
      <c r="A507" s="15" t="s">
        <v>4277</v>
      </c>
      <c r="B507" s="15" t="s">
        <v>4286</v>
      </c>
      <c r="C507" s="54">
        <v>101.076218</v>
      </c>
      <c r="D507" s="26">
        <v>8.819444444444445E-2</v>
      </c>
      <c r="E507" s="55">
        <v>-22.928719000000001</v>
      </c>
      <c r="F507" s="55">
        <v>-46.913853000000003</v>
      </c>
      <c r="G507" s="55">
        <v>-23.169851999999999</v>
      </c>
      <c r="H507" s="55">
        <v>-46.440689999999996</v>
      </c>
      <c r="I507" s="55">
        <v>-23.220222</v>
      </c>
      <c r="J507" s="55">
        <v>-46.143115999999999</v>
      </c>
      <c r="L507" s="61" t="str">
        <f t="shared" si="8"/>
        <v>Cliente7-Cliente16</v>
      </c>
      <c r="M507">
        <v>101.076218</v>
      </c>
    </row>
    <row r="508" spans="1:13" x14ac:dyDescent="0.25">
      <c r="A508" s="15" t="s">
        <v>4277</v>
      </c>
      <c r="B508" s="15" t="s">
        <v>4287</v>
      </c>
      <c r="C508" s="52">
        <v>102.13193</v>
      </c>
      <c r="D508" s="25">
        <v>8.6111111111111124E-2</v>
      </c>
      <c r="E508" s="53">
        <v>-22.928719000000001</v>
      </c>
      <c r="F508" s="53">
        <v>-46.913853000000003</v>
      </c>
      <c r="G508" s="53">
        <v>-23.169851999999999</v>
      </c>
      <c r="H508" s="53">
        <v>-46.440689999999996</v>
      </c>
      <c r="I508" s="53">
        <v>-23.220222</v>
      </c>
      <c r="J508" s="53">
        <v>-46.143115999999999</v>
      </c>
      <c r="L508" s="61" t="str">
        <f t="shared" si="8"/>
        <v>Cliente7-Cliente17</v>
      </c>
      <c r="M508">
        <v>102.13193</v>
      </c>
    </row>
    <row r="509" spans="1:13" x14ac:dyDescent="0.25">
      <c r="A509" s="15" t="s">
        <v>4277</v>
      </c>
      <c r="B509" s="15" t="s">
        <v>4288</v>
      </c>
      <c r="C509" s="54">
        <v>106.959996</v>
      </c>
      <c r="D509" s="26">
        <v>9.0972222222222218E-2</v>
      </c>
      <c r="E509" s="55">
        <v>-22.932938</v>
      </c>
      <c r="F509" s="55">
        <v>-46.930787000000002</v>
      </c>
      <c r="G509" s="55">
        <v>-23.131833</v>
      </c>
      <c r="H509" s="55">
        <v>-46.461863000000001</v>
      </c>
      <c r="I509" s="55">
        <v>-23.202511000000001</v>
      </c>
      <c r="J509" s="55">
        <v>-46.165004000000003</v>
      </c>
      <c r="L509" s="61" t="str">
        <f t="shared" si="8"/>
        <v>Cliente7-Cliente18</v>
      </c>
      <c r="M509">
        <v>106.959996</v>
      </c>
    </row>
    <row r="510" spans="1:13" x14ac:dyDescent="0.25">
      <c r="A510" s="15" t="s">
        <v>4277</v>
      </c>
      <c r="B510" s="15" t="s">
        <v>4289</v>
      </c>
      <c r="C510" s="52" t="s">
        <v>7284</v>
      </c>
      <c r="D510" s="25">
        <v>4.4444444444444446E-2</v>
      </c>
      <c r="E510" s="53">
        <v>-23.088802000000001</v>
      </c>
      <c r="F510" s="53">
        <v>-47.018971000000001</v>
      </c>
      <c r="G510" s="53">
        <v>-23.279109999999999</v>
      </c>
      <c r="H510" s="53">
        <v>-46.848669000000001</v>
      </c>
      <c r="I510" s="53">
        <v>-23.407332</v>
      </c>
      <c r="J510" s="53">
        <v>-46.767837999999998</v>
      </c>
      <c r="L510" s="61" t="str">
        <f t="shared" si="8"/>
        <v>Cliente7-Cliente19</v>
      </c>
      <c r="M510" t="s">
        <v>7284</v>
      </c>
    </row>
    <row r="511" spans="1:13" x14ac:dyDescent="0.25">
      <c r="A511" s="15" t="s">
        <v>4277</v>
      </c>
      <c r="B511" s="15" t="s">
        <v>4290</v>
      </c>
      <c r="C511" s="54">
        <v>53.804665</v>
      </c>
      <c r="D511" s="26">
        <v>4.7916666666666663E-2</v>
      </c>
      <c r="E511" s="55">
        <v>-23.096958000000001</v>
      </c>
      <c r="F511" s="55">
        <v>-47.015706999999999</v>
      </c>
      <c r="G511" s="55">
        <v>-23.301579</v>
      </c>
      <c r="H511" s="55">
        <v>-46.840843</v>
      </c>
      <c r="I511" s="55">
        <v>-23.448405000000001</v>
      </c>
      <c r="J511" s="55">
        <v>-46.755271</v>
      </c>
      <c r="L511" s="61" t="str">
        <f t="shared" si="8"/>
        <v>Cliente7-Cliente20</v>
      </c>
      <c r="M511">
        <v>53.804665</v>
      </c>
    </row>
    <row r="512" spans="1:13" x14ac:dyDescent="0.25">
      <c r="A512" s="15" t="s">
        <v>4277</v>
      </c>
      <c r="B512" s="15" t="s">
        <v>4291</v>
      </c>
      <c r="C512" s="52">
        <v>53.406365000000001</v>
      </c>
      <c r="D512" s="25">
        <v>4.7916666666666663E-2</v>
      </c>
      <c r="E512" s="53">
        <v>-23.114526999999999</v>
      </c>
      <c r="F512" s="53">
        <v>-46.99832</v>
      </c>
      <c r="G512" s="53">
        <v>-23.312888999999998</v>
      </c>
      <c r="H512" s="53">
        <v>-46.825960000000002</v>
      </c>
      <c r="I512" s="53">
        <v>-23.488751000000001</v>
      </c>
      <c r="J512" s="53">
        <v>-46.736656000000004</v>
      </c>
      <c r="L512" s="61" t="str">
        <f t="shared" si="8"/>
        <v>Cliente7-Cliente21</v>
      </c>
      <c r="M512">
        <v>53.406365000000001</v>
      </c>
    </row>
    <row r="513" spans="1:13" x14ac:dyDescent="0.25">
      <c r="A513" s="15" t="s">
        <v>4277</v>
      </c>
      <c r="B513" s="15" t="s">
        <v>4292</v>
      </c>
      <c r="C513" s="54">
        <v>52.529608000000003</v>
      </c>
      <c r="D513" s="26">
        <v>4.7222222222222221E-2</v>
      </c>
      <c r="E513" s="55">
        <v>-23.109161</v>
      </c>
      <c r="F513" s="55">
        <v>-47.005662000000001</v>
      </c>
      <c r="G513" s="55">
        <v>-23.307891000000001</v>
      </c>
      <c r="H513" s="55">
        <v>-46.835746999999998</v>
      </c>
      <c r="I513" s="55">
        <v>-23.474169</v>
      </c>
      <c r="J513" s="55">
        <v>-46.746786</v>
      </c>
      <c r="L513" s="61" t="str">
        <f t="shared" si="8"/>
        <v>Cliente7-Cliente22</v>
      </c>
      <c r="M513">
        <v>52.529608000000003</v>
      </c>
    </row>
    <row r="514" spans="1:13" x14ac:dyDescent="0.25">
      <c r="A514" s="15" t="s">
        <v>4277</v>
      </c>
      <c r="B514" s="15" t="s">
        <v>4293</v>
      </c>
      <c r="C514" s="52">
        <v>61.679943000000002</v>
      </c>
      <c r="D514" s="25">
        <v>5.4166666666666669E-2</v>
      </c>
      <c r="E514" s="53">
        <v>-23.140409999999999</v>
      </c>
      <c r="F514" s="53">
        <v>-46.975451</v>
      </c>
      <c r="G514" s="53">
        <v>-23.351400999999999</v>
      </c>
      <c r="H514" s="53">
        <v>-46.800193</v>
      </c>
      <c r="I514" s="53">
        <v>-23.541467999999998</v>
      </c>
      <c r="J514" s="53">
        <v>-46.818336000000002</v>
      </c>
      <c r="L514" s="61" t="str">
        <f t="shared" si="8"/>
        <v>Cliente7-Cliente23</v>
      </c>
      <c r="M514">
        <v>61.679943000000002</v>
      </c>
    </row>
    <row r="515" spans="1:13" x14ac:dyDescent="0.25">
      <c r="A515" s="15" t="s">
        <v>4277</v>
      </c>
      <c r="B515" s="15" t="s">
        <v>4294</v>
      </c>
      <c r="C515" s="54">
        <v>62.659227000000001</v>
      </c>
      <c r="D515" s="26">
        <v>5.6944444444444443E-2</v>
      </c>
      <c r="E515" s="55">
        <v>-23.141089000000001</v>
      </c>
      <c r="F515" s="55">
        <v>-46.974406999999999</v>
      </c>
      <c r="G515" s="55">
        <v>-23.352311</v>
      </c>
      <c r="H515" s="55">
        <v>-46.797023000000003</v>
      </c>
      <c r="I515" s="55">
        <v>-23.547757000000001</v>
      </c>
      <c r="J515" s="55">
        <v>-46.820459</v>
      </c>
      <c r="L515" s="61" t="str">
        <f t="shared" si="8"/>
        <v>Cliente7-Cliente24</v>
      </c>
      <c r="M515">
        <v>62.659227000000001</v>
      </c>
    </row>
    <row r="516" spans="1:13" x14ac:dyDescent="0.25">
      <c r="A516" s="15" t="s">
        <v>4277</v>
      </c>
      <c r="B516" s="15" t="s">
        <v>4295</v>
      </c>
      <c r="C516" s="52">
        <v>65.479637999999994</v>
      </c>
      <c r="D516" s="25">
        <v>5.9027777777777783E-2</v>
      </c>
      <c r="E516" s="53">
        <v>-23.146992000000001</v>
      </c>
      <c r="F516" s="53">
        <v>-46.964075999999999</v>
      </c>
      <c r="G516" s="53">
        <v>-23.356265</v>
      </c>
      <c r="H516" s="53">
        <v>-46.791043000000002</v>
      </c>
      <c r="I516" s="53">
        <v>-23.563814000000001</v>
      </c>
      <c r="J516" s="53">
        <v>-46.820239000000001</v>
      </c>
      <c r="L516" s="61" t="str">
        <f t="shared" si="8"/>
        <v>Cliente7-Cliente25</v>
      </c>
      <c r="M516">
        <v>65.479637999999994</v>
      </c>
    </row>
    <row r="517" spans="1:13" x14ac:dyDescent="0.25">
      <c r="A517" s="15" t="s">
        <v>4277</v>
      </c>
      <c r="B517" s="15" t="s">
        <v>4296</v>
      </c>
      <c r="C517" s="54">
        <v>57.142057999999999</v>
      </c>
      <c r="D517" s="26">
        <v>4.9305555555555554E-2</v>
      </c>
      <c r="E517" s="55">
        <v>-23.131572999999999</v>
      </c>
      <c r="F517" s="55">
        <v>-46.980249999999998</v>
      </c>
      <c r="G517" s="55">
        <v>-23.340634000000001</v>
      </c>
      <c r="H517" s="55">
        <v>-46.819858000000004</v>
      </c>
      <c r="I517" s="55">
        <v>-23.509135000000001</v>
      </c>
      <c r="J517" s="55">
        <v>-46.821576999999998</v>
      </c>
      <c r="L517" s="61" t="str">
        <f t="shared" si="8"/>
        <v>Cliente7-Cliente26</v>
      </c>
      <c r="M517">
        <v>57.142057999999999</v>
      </c>
    </row>
    <row r="518" spans="1:13" x14ac:dyDescent="0.25">
      <c r="A518" s="15" t="s">
        <v>4277</v>
      </c>
      <c r="B518" s="15" t="s">
        <v>4297</v>
      </c>
      <c r="C518" s="52">
        <v>63.458933000000002</v>
      </c>
      <c r="D518" s="25">
        <v>5.6944444444444443E-2</v>
      </c>
      <c r="E518" s="53">
        <v>-23.145439</v>
      </c>
      <c r="F518" s="53">
        <v>-46.966591999999999</v>
      </c>
      <c r="G518" s="53">
        <v>-23.355129000000002</v>
      </c>
      <c r="H518" s="53">
        <v>-46.793132999999997</v>
      </c>
      <c r="I518" s="53">
        <v>-23.553996000000001</v>
      </c>
      <c r="J518" s="53">
        <v>-46.819595</v>
      </c>
      <c r="L518" s="61" t="str">
        <f t="shared" si="8"/>
        <v>Cliente7-Cliente27</v>
      </c>
      <c r="M518">
        <v>63.458933000000002</v>
      </c>
    </row>
    <row r="519" spans="1:13" x14ac:dyDescent="0.25">
      <c r="A519" s="15" t="s">
        <v>4277</v>
      </c>
      <c r="B519" s="15" t="s">
        <v>4298</v>
      </c>
      <c r="C519" s="54">
        <v>64.790535000000006</v>
      </c>
      <c r="D519" s="26">
        <v>6.3888888888888884E-2</v>
      </c>
      <c r="E519" s="55">
        <v>-23.145439</v>
      </c>
      <c r="F519" s="55">
        <v>-46.966591999999999</v>
      </c>
      <c r="G519" s="55">
        <v>-23.355129000000002</v>
      </c>
      <c r="H519" s="55">
        <v>-46.793132999999997</v>
      </c>
      <c r="I519" s="55">
        <v>-23.529993999999999</v>
      </c>
      <c r="J519" s="55">
        <v>-46.750461000000001</v>
      </c>
      <c r="L519" s="61" t="str">
        <f t="shared" si="8"/>
        <v>Cliente7-Cliente28</v>
      </c>
      <c r="M519">
        <v>64.790535000000006</v>
      </c>
    </row>
    <row r="520" spans="1:13" x14ac:dyDescent="0.25">
      <c r="A520" s="15" t="s">
        <v>4277</v>
      </c>
      <c r="B520" s="15" t="s">
        <v>4299</v>
      </c>
      <c r="C520" s="52">
        <v>67.052953000000002</v>
      </c>
      <c r="D520" s="25">
        <v>6.7361111111111108E-2</v>
      </c>
      <c r="E520" s="53">
        <v>-23.150924</v>
      </c>
      <c r="F520" s="53">
        <v>-46.959715000000003</v>
      </c>
      <c r="G520" s="53">
        <v>-23.359839000000001</v>
      </c>
      <c r="H520" s="53">
        <v>-46.784889999999997</v>
      </c>
      <c r="I520" s="53">
        <v>-23.526823</v>
      </c>
      <c r="J520" s="53">
        <v>-46.628717000000002</v>
      </c>
      <c r="L520" s="61" t="str">
        <f t="shared" si="8"/>
        <v>Cliente7-Cliente29</v>
      </c>
      <c r="M520">
        <v>67.052953000000002</v>
      </c>
    </row>
    <row r="521" spans="1:13" x14ac:dyDescent="0.25">
      <c r="A521" s="15" t="s">
        <v>4277</v>
      </c>
      <c r="B521" s="15" t="s">
        <v>4300</v>
      </c>
      <c r="C521" s="54">
        <v>71.112380999999999</v>
      </c>
      <c r="D521" s="26">
        <v>7.6388888888888895E-2</v>
      </c>
      <c r="E521" s="55">
        <v>-23.208615999999999</v>
      </c>
      <c r="F521" s="55">
        <v>-46.924672999999999</v>
      </c>
      <c r="G521" s="55">
        <v>-23.424029999999998</v>
      </c>
      <c r="H521" s="55">
        <v>-46.761023999999999</v>
      </c>
      <c r="I521" s="55">
        <v>-23.576060999999999</v>
      </c>
      <c r="J521" s="55">
        <v>-46.601799999999997</v>
      </c>
      <c r="L521" s="61" t="str">
        <f t="shared" si="8"/>
        <v>Cliente7-Cliente30</v>
      </c>
      <c r="M521">
        <v>71.112380999999999</v>
      </c>
    </row>
    <row r="522" spans="1:13" x14ac:dyDescent="0.25">
      <c r="A522" s="15" t="s">
        <v>4277</v>
      </c>
      <c r="B522" s="15" t="s">
        <v>4301</v>
      </c>
      <c r="C522" s="52">
        <v>56.515093</v>
      </c>
      <c r="D522" s="25">
        <v>5.2777777777777778E-2</v>
      </c>
      <c r="E522" s="53">
        <v>-23.136664</v>
      </c>
      <c r="F522" s="53">
        <v>-46.978520000000003</v>
      </c>
      <c r="G522" s="53">
        <v>-23.347618000000001</v>
      </c>
      <c r="H522" s="53">
        <v>-46.812711</v>
      </c>
      <c r="I522" s="53">
        <v>-23.516618999999999</v>
      </c>
      <c r="J522" s="53">
        <v>-46.731670000000001</v>
      </c>
      <c r="L522" s="61" t="str">
        <f t="shared" si="8"/>
        <v>Cliente7-Cliente31</v>
      </c>
      <c r="M522">
        <v>56.515093</v>
      </c>
    </row>
    <row r="523" spans="1:13" x14ac:dyDescent="0.25">
      <c r="A523" s="15" t="s">
        <v>4277</v>
      </c>
      <c r="B523" s="15" t="s">
        <v>4302</v>
      </c>
      <c r="C523" s="54">
        <v>51.978451</v>
      </c>
      <c r="D523" s="26">
        <v>4.8611111111111112E-2</v>
      </c>
      <c r="E523" s="55">
        <v>-23.130544</v>
      </c>
      <c r="F523" s="55">
        <v>-46.980670000000003</v>
      </c>
      <c r="G523" s="55">
        <v>-23.338241</v>
      </c>
      <c r="H523" s="55">
        <v>-46.821655</v>
      </c>
      <c r="I523" s="55">
        <v>-23.470894999999999</v>
      </c>
      <c r="J523" s="55">
        <v>-46.778796</v>
      </c>
      <c r="L523" s="61" t="str">
        <f t="shared" si="8"/>
        <v>Cliente7-Cliente32</v>
      </c>
      <c r="M523">
        <v>51.978451</v>
      </c>
    </row>
    <row r="524" spans="1:13" x14ac:dyDescent="0.25">
      <c r="A524" s="15" t="s">
        <v>4277</v>
      </c>
      <c r="B524" s="15" t="s">
        <v>4303</v>
      </c>
      <c r="C524" s="52">
        <v>65.136018000000007</v>
      </c>
      <c r="D524" s="25">
        <v>6.0416666666666667E-2</v>
      </c>
      <c r="E524" s="53">
        <v>-23.141089000000001</v>
      </c>
      <c r="F524" s="53">
        <v>-46.974406999999999</v>
      </c>
      <c r="G524" s="53">
        <v>-23.352162</v>
      </c>
      <c r="H524" s="53">
        <v>-46.797348</v>
      </c>
      <c r="I524" s="53">
        <v>-23.517282999999999</v>
      </c>
      <c r="J524" s="53">
        <v>-46.654156999999998</v>
      </c>
      <c r="L524" s="61" t="str">
        <f t="shared" si="8"/>
        <v>Cliente7-Cliente33</v>
      </c>
      <c r="M524">
        <v>65.136018000000007</v>
      </c>
    </row>
    <row r="525" spans="1:13" x14ac:dyDescent="0.25">
      <c r="A525" s="15" t="s">
        <v>4277</v>
      </c>
      <c r="B525" s="15" t="s">
        <v>4304</v>
      </c>
      <c r="C525" s="54">
        <v>47.851914000000001</v>
      </c>
      <c r="D525" s="26">
        <v>4.8611111111111112E-2</v>
      </c>
      <c r="E525" s="55">
        <v>-23.166378999999999</v>
      </c>
      <c r="F525" s="55">
        <v>-46.943733999999999</v>
      </c>
      <c r="G525" s="55">
        <v>-23.343112000000001</v>
      </c>
      <c r="H525" s="55">
        <v>-46.838709999999999</v>
      </c>
      <c r="I525" s="55">
        <v>-23.426551</v>
      </c>
      <c r="J525" s="55">
        <v>-46.829059000000001</v>
      </c>
      <c r="L525" s="61" t="str">
        <f t="shared" si="8"/>
        <v>Cliente7-Cliente34</v>
      </c>
      <c r="M525">
        <v>47.851914000000001</v>
      </c>
    </row>
    <row r="526" spans="1:13" x14ac:dyDescent="0.25">
      <c r="A526" s="15" t="s">
        <v>4277</v>
      </c>
      <c r="B526" s="15" t="s">
        <v>4305</v>
      </c>
      <c r="C526" s="52">
        <v>48.383809999999997</v>
      </c>
      <c r="D526" s="25">
        <v>4.9999999999999996E-2</v>
      </c>
      <c r="E526" s="53">
        <v>-23.170065000000001</v>
      </c>
      <c r="F526" s="53">
        <v>-46.940288000000002</v>
      </c>
      <c r="G526" s="53">
        <v>-23.345635999999999</v>
      </c>
      <c r="H526" s="53">
        <v>-46.843266999999997</v>
      </c>
      <c r="I526" s="53">
        <v>-23.433962999999999</v>
      </c>
      <c r="J526" s="53">
        <v>-46.830288000000003</v>
      </c>
      <c r="L526" s="61" t="str">
        <f t="shared" si="8"/>
        <v>Cliente7-Cliente35</v>
      </c>
      <c r="M526">
        <v>48.383809999999997</v>
      </c>
    </row>
    <row r="527" spans="1:13" x14ac:dyDescent="0.25">
      <c r="A527" s="15" t="s">
        <v>4277</v>
      </c>
      <c r="B527" s="15" t="s">
        <v>4306</v>
      </c>
      <c r="C527" s="54">
        <v>91.013086000000001</v>
      </c>
      <c r="D527" s="26">
        <v>7.9166666666666663E-2</v>
      </c>
      <c r="E527" s="55">
        <v>-22.813075000000001</v>
      </c>
      <c r="F527" s="55">
        <v>-47.209868999999998</v>
      </c>
      <c r="G527" s="55">
        <v>-22.501201999999999</v>
      </c>
      <c r="H527" s="55">
        <v>-47.399346999999999</v>
      </c>
      <c r="I527" s="55">
        <v>-22.289511999999998</v>
      </c>
      <c r="J527" s="55">
        <v>-47.676524999999998</v>
      </c>
      <c r="L527" s="61" t="str">
        <f t="shared" si="8"/>
        <v>Cliente7-Cliente36</v>
      </c>
      <c r="M527">
        <v>91.013086000000001</v>
      </c>
    </row>
    <row r="528" spans="1:13" x14ac:dyDescent="0.25">
      <c r="A528" s="15" t="s">
        <v>4277</v>
      </c>
      <c r="B528" s="15" t="s">
        <v>4307</v>
      </c>
      <c r="C528" s="52">
        <v>89.916363000000004</v>
      </c>
      <c r="D528" s="25">
        <v>7.7777777777777779E-2</v>
      </c>
      <c r="E528" s="53">
        <v>-22.808198000000001</v>
      </c>
      <c r="F528" s="53">
        <v>-47.215293000000003</v>
      </c>
      <c r="G528" s="53">
        <v>-22.500387</v>
      </c>
      <c r="H528" s="53">
        <v>-47.397807</v>
      </c>
      <c r="I528" s="53">
        <v>-22.278445999999999</v>
      </c>
      <c r="J528" s="53">
        <v>-47.685183000000002</v>
      </c>
      <c r="L528" s="61" t="str">
        <f t="shared" si="8"/>
        <v>Cliente7-Cliente37</v>
      </c>
      <c r="M528">
        <v>89.916363000000004</v>
      </c>
    </row>
    <row r="529" spans="1:13" x14ac:dyDescent="0.25">
      <c r="A529" s="15" t="s">
        <v>4277</v>
      </c>
      <c r="B529" s="15" t="s">
        <v>4308</v>
      </c>
      <c r="C529" s="54">
        <v>88.139859000000001</v>
      </c>
      <c r="D529" s="26">
        <v>7.5694444444444439E-2</v>
      </c>
      <c r="E529" s="55">
        <v>-22.827233</v>
      </c>
      <c r="F529" s="55">
        <v>-47.184015000000002</v>
      </c>
      <c r="G529" s="55">
        <v>-22.515336000000001</v>
      </c>
      <c r="H529" s="55">
        <v>-47.394720999999997</v>
      </c>
      <c r="I529" s="55">
        <v>-22.312367999999999</v>
      </c>
      <c r="J529" s="55">
        <v>-47.665697000000002</v>
      </c>
      <c r="L529" s="61" t="str">
        <f t="shared" si="8"/>
        <v>Cliente7-Cliente38</v>
      </c>
      <c r="M529">
        <v>88.139859000000001</v>
      </c>
    </row>
    <row r="530" spans="1:13" x14ac:dyDescent="0.25">
      <c r="A530" s="15" t="s">
        <v>4277</v>
      </c>
      <c r="B530" s="15" t="s">
        <v>4309</v>
      </c>
      <c r="C530" s="52">
        <v>127.966123</v>
      </c>
      <c r="D530" s="25">
        <v>0.11041666666666666</v>
      </c>
      <c r="E530" s="53">
        <v>-22.933365999999999</v>
      </c>
      <c r="F530" s="53">
        <v>-46.899569999999997</v>
      </c>
      <c r="G530" s="53">
        <v>-23.169267000000001</v>
      </c>
      <c r="H530" s="53">
        <v>-46.392791000000003</v>
      </c>
      <c r="I530" s="53">
        <v>-23.258293999999999</v>
      </c>
      <c r="J530" s="53">
        <v>-46.098849999999999</v>
      </c>
      <c r="L530" s="61" t="str">
        <f t="shared" ref="L530:L593" si="9">_xlfn.CONCAT(A530,"-",B530)</f>
        <v>Cliente7-Cliente39</v>
      </c>
      <c r="M530">
        <v>127.966123</v>
      </c>
    </row>
    <row r="531" spans="1:13" x14ac:dyDescent="0.25">
      <c r="A531" s="15" t="s">
        <v>4277</v>
      </c>
      <c r="B531" s="15" t="s">
        <v>4310</v>
      </c>
      <c r="C531" s="54">
        <v>129.52763200000001</v>
      </c>
      <c r="D531" s="26">
        <v>0.11388888888888889</v>
      </c>
      <c r="E531" s="55">
        <v>-22.935320999999998</v>
      </c>
      <c r="F531" s="55">
        <v>-46.896419999999999</v>
      </c>
      <c r="G531" s="55">
        <v>-23.175464999999999</v>
      </c>
      <c r="H531" s="55">
        <v>-46.383257</v>
      </c>
      <c r="I531" s="55">
        <v>-23.256999</v>
      </c>
      <c r="J531" s="55">
        <v>-46.089643000000002</v>
      </c>
      <c r="L531" s="61" t="str">
        <f t="shared" si="9"/>
        <v>Cliente7-Cliente40</v>
      </c>
      <c r="M531">
        <v>129.52763200000001</v>
      </c>
    </row>
    <row r="532" spans="1:13" x14ac:dyDescent="0.25">
      <c r="A532" s="15" t="s">
        <v>4277</v>
      </c>
      <c r="B532" s="15" t="s">
        <v>4311</v>
      </c>
      <c r="C532" s="52">
        <v>118.82138</v>
      </c>
      <c r="D532" s="25">
        <v>0.10486111111111111</v>
      </c>
      <c r="E532" s="53">
        <v>-22.934896999999999</v>
      </c>
      <c r="F532" s="53">
        <v>-46.897517999999998</v>
      </c>
      <c r="G532" s="53">
        <v>-23.173099000000001</v>
      </c>
      <c r="H532" s="53">
        <v>-46.385699000000002</v>
      </c>
      <c r="I532" s="53">
        <v>-23.258814999999998</v>
      </c>
      <c r="J532" s="53">
        <v>-46.092838999999998</v>
      </c>
      <c r="L532" s="61" t="str">
        <f t="shared" si="9"/>
        <v>Cliente7-Cliente41</v>
      </c>
      <c r="M532">
        <v>118.82138</v>
      </c>
    </row>
    <row r="533" spans="1:13" x14ac:dyDescent="0.25">
      <c r="A533" s="15" t="s">
        <v>4277</v>
      </c>
      <c r="B533" s="15" t="s">
        <v>4312</v>
      </c>
      <c r="C533" s="54">
        <v>115.533697</v>
      </c>
      <c r="D533" s="26">
        <v>9.7222222222222224E-2</v>
      </c>
      <c r="E533" s="55">
        <v>-22.932938</v>
      </c>
      <c r="F533" s="55">
        <v>-46.930787000000002</v>
      </c>
      <c r="G533" s="55">
        <v>-23.131833</v>
      </c>
      <c r="H533" s="55">
        <v>-46.461863000000001</v>
      </c>
      <c r="I533" s="55">
        <v>-23.202511000000001</v>
      </c>
      <c r="J533" s="55">
        <v>-46.165004000000003</v>
      </c>
      <c r="L533" s="61" t="str">
        <f t="shared" si="9"/>
        <v>Cliente7-Cliente42</v>
      </c>
      <c r="M533">
        <v>115.533697</v>
      </c>
    </row>
    <row r="534" spans="1:13" x14ac:dyDescent="0.25">
      <c r="A534" s="15" t="s">
        <v>4277</v>
      </c>
      <c r="B534" s="15" t="s">
        <v>4313</v>
      </c>
      <c r="C534" s="52">
        <v>134.20781199999999</v>
      </c>
      <c r="D534" s="25">
        <v>0.11666666666666665</v>
      </c>
      <c r="E534" s="53">
        <v>-22.945516000000001</v>
      </c>
      <c r="F534" s="53">
        <v>-46.872473999999997</v>
      </c>
      <c r="G534" s="53">
        <v>-23.185866000000001</v>
      </c>
      <c r="H534" s="53">
        <v>-46.361266999999998</v>
      </c>
      <c r="I534" s="53">
        <v>-23.264901999999999</v>
      </c>
      <c r="J534" s="53">
        <v>-46.06438</v>
      </c>
      <c r="L534" s="61" t="str">
        <f t="shared" si="9"/>
        <v>Cliente7-Cliente43</v>
      </c>
      <c r="M534">
        <v>134.20781199999999</v>
      </c>
    </row>
    <row r="535" spans="1:13" x14ac:dyDescent="0.25">
      <c r="A535" s="15" t="s">
        <v>4277</v>
      </c>
      <c r="B535" s="15" t="s">
        <v>4314</v>
      </c>
      <c r="C535" s="54">
        <v>51.724308999999998</v>
      </c>
      <c r="D535" s="26">
        <v>4.9999999999999996E-2</v>
      </c>
      <c r="E535" s="55">
        <v>-23.035430999999999</v>
      </c>
      <c r="F535" s="55">
        <v>-47.134428999999997</v>
      </c>
      <c r="G535" s="55">
        <v>-23.194327000000001</v>
      </c>
      <c r="H535" s="55">
        <v>-47.323366</v>
      </c>
      <c r="I535" s="55">
        <v>-23.477339000000001</v>
      </c>
      <c r="J535" s="55">
        <v>-47.439357999999999</v>
      </c>
      <c r="L535" s="61" t="str">
        <f t="shared" si="9"/>
        <v>Cliente7-Cliente44</v>
      </c>
      <c r="M535">
        <v>51.724308999999998</v>
      </c>
    </row>
    <row r="536" spans="1:13" x14ac:dyDescent="0.25">
      <c r="A536" s="15" t="s">
        <v>4277</v>
      </c>
      <c r="B536" s="15" t="s">
        <v>4315</v>
      </c>
      <c r="C536" s="52">
        <v>52.502268000000001</v>
      </c>
      <c r="D536" s="25">
        <v>5.2777777777777778E-2</v>
      </c>
      <c r="E536" s="53">
        <v>-23.064197</v>
      </c>
      <c r="F536" s="53">
        <v>-47.156011999999997</v>
      </c>
      <c r="G536" s="53">
        <v>-23.305422</v>
      </c>
      <c r="H536" s="53">
        <v>-47.331955000000001</v>
      </c>
      <c r="I536" s="53">
        <v>-23.486892999999998</v>
      </c>
      <c r="J536" s="53">
        <v>-47.469779000000003</v>
      </c>
      <c r="L536" s="61" t="str">
        <f t="shared" si="9"/>
        <v>Cliente7-Cliente45</v>
      </c>
      <c r="M536">
        <v>52.502268000000001</v>
      </c>
    </row>
    <row r="537" spans="1:13" x14ac:dyDescent="0.25">
      <c r="A537" s="15" t="s">
        <v>4277</v>
      </c>
      <c r="B537" s="15" t="s">
        <v>4316</v>
      </c>
      <c r="C537" s="54">
        <v>49.796810999999998</v>
      </c>
      <c r="D537" s="26">
        <v>4.7222222222222221E-2</v>
      </c>
      <c r="E537" s="55">
        <v>-23.034279999999999</v>
      </c>
      <c r="F537" s="55">
        <v>-47.133853000000002</v>
      </c>
      <c r="G537" s="55">
        <v>-23.192772000000001</v>
      </c>
      <c r="H537" s="55">
        <v>-47.320543999999998</v>
      </c>
      <c r="I537" s="55">
        <v>-23.475899999999999</v>
      </c>
      <c r="J537" s="55">
        <v>-47.436031</v>
      </c>
      <c r="L537" s="61" t="str">
        <f t="shared" si="9"/>
        <v>Cliente7-Cliente46</v>
      </c>
      <c r="M537">
        <v>49.796810999999998</v>
      </c>
    </row>
    <row r="538" spans="1:13" x14ac:dyDescent="0.25">
      <c r="A538" s="15" t="s">
        <v>4277</v>
      </c>
      <c r="B538" s="15" t="s">
        <v>4317</v>
      </c>
      <c r="C538" s="52">
        <v>137.46939699999999</v>
      </c>
      <c r="D538" s="25">
        <v>0.11388888888888889</v>
      </c>
      <c r="E538" s="53">
        <v>-22.773023999999999</v>
      </c>
      <c r="F538" s="53">
        <v>-47.236238</v>
      </c>
      <c r="G538" s="53">
        <v>-22.397856000000001</v>
      </c>
      <c r="H538" s="53">
        <v>-47.389935999999999</v>
      </c>
      <c r="I538" s="53">
        <v>-21.661785999999999</v>
      </c>
      <c r="J538" s="53">
        <v>-47.608362</v>
      </c>
      <c r="L538" s="61" t="str">
        <f t="shared" si="9"/>
        <v>Cliente7-Cliente47</v>
      </c>
      <c r="M538">
        <v>137.46939699999999</v>
      </c>
    </row>
    <row r="539" spans="1:13" x14ac:dyDescent="0.25">
      <c r="A539" s="15" t="s">
        <v>4277</v>
      </c>
      <c r="B539" s="15" t="s">
        <v>4318</v>
      </c>
      <c r="C539" s="54">
        <v>146.58058600000001</v>
      </c>
      <c r="D539" s="26">
        <v>0.12152777777777778</v>
      </c>
      <c r="E539" s="55">
        <v>-22.727305999999999</v>
      </c>
      <c r="F539" s="55">
        <v>-47.292259000000001</v>
      </c>
      <c r="G539" s="55">
        <v>-22.249669000000001</v>
      </c>
      <c r="H539" s="55">
        <v>-47.389769000000001</v>
      </c>
      <c r="I539" s="55">
        <v>-21.344076999999999</v>
      </c>
      <c r="J539" s="55">
        <v>-47.723846000000002</v>
      </c>
      <c r="L539" s="61" t="str">
        <f t="shared" si="9"/>
        <v>Cliente7-Cliente48</v>
      </c>
      <c r="M539">
        <v>146.58058600000001</v>
      </c>
    </row>
    <row r="540" spans="1:13" x14ac:dyDescent="0.25">
      <c r="A540" s="15" t="s">
        <v>4277</v>
      </c>
      <c r="B540" s="15" t="s">
        <v>4319</v>
      </c>
      <c r="C540" s="52">
        <v>140.21834999999999</v>
      </c>
      <c r="D540" s="25">
        <v>0.1173611111111111</v>
      </c>
      <c r="E540" s="53">
        <v>-22.732436</v>
      </c>
      <c r="F540" s="53">
        <v>-47.288780000000003</v>
      </c>
      <c r="G540" s="53">
        <v>-22.332377000000001</v>
      </c>
      <c r="H540" s="53">
        <v>-47.388902999999999</v>
      </c>
      <c r="I540" s="53">
        <v>-21.413988</v>
      </c>
      <c r="J540" s="53">
        <v>-47.664216000000003</v>
      </c>
      <c r="L540" s="61" t="str">
        <f t="shared" si="9"/>
        <v>Cliente7-Cliente49</v>
      </c>
      <c r="M540">
        <v>140.21834999999999</v>
      </c>
    </row>
    <row r="541" spans="1:13" x14ac:dyDescent="0.25">
      <c r="A541" s="15" t="s">
        <v>4277</v>
      </c>
      <c r="B541" s="15" t="s">
        <v>4320</v>
      </c>
      <c r="C541" s="54">
        <v>164.976326</v>
      </c>
      <c r="D541" s="26">
        <v>0.14027777777777778</v>
      </c>
      <c r="E541" s="55">
        <v>-22.612962</v>
      </c>
      <c r="F541" s="55">
        <v>-47.353290999999999</v>
      </c>
      <c r="G541" s="55">
        <v>-22.250129999999999</v>
      </c>
      <c r="H541" s="55">
        <v>-47.703864000000003</v>
      </c>
      <c r="I541" s="55">
        <v>-22.247001999999998</v>
      </c>
      <c r="J541" s="55">
        <v>-48.351973999999998</v>
      </c>
      <c r="L541" s="61" t="str">
        <f t="shared" si="9"/>
        <v>Cliente7-Cliente50</v>
      </c>
      <c r="M541">
        <v>164.976326</v>
      </c>
    </row>
    <row r="542" spans="1:13" x14ac:dyDescent="0.25">
      <c r="A542" s="15" t="s">
        <v>4277</v>
      </c>
      <c r="B542" s="15" t="s">
        <v>4321</v>
      </c>
      <c r="C542" s="52">
        <v>164.79550599999999</v>
      </c>
      <c r="D542" s="25">
        <v>0.13958333333333334</v>
      </c>
      <c r="E542" s="53">
        <v>-22.627230000000001</v>
      </c>
      <c r="F542" s="53">
        <v>-47.339827999999997</v>
      </c>
      <c r="G542" s="53">
        <v>-22.253565999999999</v>
      </c>
      <c r="H542" s="53">
        <v>-47.702934999999997</v>
      </c>
      <c r="I542" s="53">
        <v>-22.247503999999999</v>
      </c>
      <c r="J542" s="53">
        <v>-48.349994000000002</v>
      </c>
      <c r="L542" s="61" t="str">
        <f t="shared" si="9"/>
        <v>Cliente7-Cliente51</v>
      </c>
      <c r="M542">
        <v>164.79550599999999</v>
      </c>
    </row>
    <row r="543" spans="1:13" x14ac:dyDescent="0.25">
      <c r="A543" s="15" t="s">
        <v>4278</v>
      </c>
      <c r="B543" s="15" t="s">
        <v>4268</v>
      </c>
      <c r="C543" s="54">
        <v>39.535462000000003</v>
      </c>
      <c r="D543" s="26">
        <v>4.027777777777778E-2</v>
      </c>
      <c r="E543" s="55">
        <v>-22.908928</v>
      </c>
      <c r="F543" s="55">
        <v>-47.051625999999999</v>
      </c>
      <c r="G543" s="55">
        <v>-22.980606999999999</v>
      </c>
      <c r="H543" s="55">
        <v>-47.104757999999997</v>
      </c>
      <c r="I543" s="55">
        <v>-23.168652000000002</v>
      </c>
      <c r="J543" s="55">
        <v>-47.267718000000002</v>
      </c>
      <c r="L543" s="61" t="str">
        <f t="shared" si="9"/>
        <v>Cliente8-depósito A</v>
      </c>
      <c r="M543">
        <v>39.535462000000003</v>
      </c>
    </row>
    <row r="544" spans="1:13" x14ac:dyDescent="0.25">
      <c r="A544" s="15" t="s">
        <v>4278</v>
      </c>
      <c r="B544" s="15" t="s">
        <v>4269</v>
      </c>
      <c r="C544" s="52">
        <v>118.691513</v>
      </c>
      <c r="D544" s="25">
        <v>9.8611111111111108E-2</v>
      </c>
      <c r="E544" s="53">
        <v>-22.773023999999999</v>
      </c>
      <c r="F544" s="53">
        <v>-47.236238</v>
      </c>
      <c r="G544" s="53">
        <v>-22.502466999999999</v>
      </c>
      <c r="H544" s="53">
        <v>-47.398080999999998</v>
      </c>
      <c r="I544" s="53">
        <v>-22.278634</v>
      </c>
      <c r="J544" s="53">
        <v>-47.691977999999999</v>
      </c>
      <c r="L544" s="61" t="str">
        <f t="shared" si="9"/>
        <v>Cliente8-depósito B</v>
      </c>
      <c r="M544">
        <v>118.691513</v>
      </c>
    </row>
    <row r="545" spans="1:13" x14ac:dyDescent="0.25">
      <c r="A545" s="15" t="s">
        <v>4278</v>
      </c>
      <c r="B545" s="15" t="s">
        <v>4270</v>
      </c>
      <c r="C545" s="54">
        <v>87.068612000000002</v>
      </c>
      <c r="D545" s="26">
        <v>7.4305555555555555E-2</v>
      </c>
      <c r="E545" s="55">
        <v>-22.947379000000002</v>
      </c>
      <c r="F545" s="55">
        <v>-46.870196999999997</v>
      </c>
      <c r="G545" s="55">
        <v>-23.171296000000002</v>
      </c>
      <c r="H545" s="55">
        <v>-46.425024999999998</v>
      </c>
      <c r="I545" s="55">
        <v>-23.202511000000001</v>
      </c>
      <c r="J545" s="55">
        <v>-46.165004000000003</v>
      </c>
      <c r="L545" s="61" t="str">
        <f t="shared" si="9"/>
        <v>Cliente8-depósito C</v>
      </c>
      <c r="M545">
        <v>87.068612000000002</v>
      </c>
    </row>
    <row r="546" spans="1:13" x14ac:dyDescent="0.25">
      <c r="A546" s="15" t="s">
        <v>4278</v>
      </c>
      <c r="B546" s="15" t="s">
        <v>4271</v>
      </c>
      <c r="C546" s="52">
        <v>9.9326430000000006</v>
      </c>
      <c r="D546" s="25">
        <v>1.4583333333333332E-2</v>
      </c>
      <c r="E546" s="53">
        <v>-22.896087999999999</v>
      </c>
      <c r="F546" s="53">
        <v>-47.004303</v>
      </c>
      <c r="G546" s="53">
        <v>-22.885432999999999</v>
      </c>
      <c r="H546" s="53">
        <v>-47.013201000000002</v>
      </c>
      <c r="I546" s="53">
        <v>-22.931287000000001</v>
      </c>
      <c r="J546" s="53">
        <v>-47.011221999999997</v>
      </c>
      <c r="L546" s="61" t="str">
        <f t="shared" si="9"/>
        <v>Cliente8-Cliente1</v>
      </c>
      <c r="M546">
        <v>9.9326430000000006</v>
      </c>
    </row>
    <row r="547" spans="1:13" x14ac:dyDescent="0.25">
      <c r="A547" s="15" t="s">
        <v>4278</v>
      </c>
      <c r="B547" s="15" t="s">
        <v>4272</v>
      </c>
      <c r="C547" s="54">
        <v>7.3458680000000003</v>
      </c>
      <c r="D547" s="26">
        <v>1.3194444444444444E-2</v>
      </c>
      <c r="E547" s="55">
        <v>-22.887276</v>
      </c>
      <c r="F547" s="55">
        <v>-46.977409999999999</v>
      </c>
      <c r="G547" s="55">
        <v>-22.899407</v>
      </c>
      <c r="H547" s="55">
        <v>-47.017305</v>
      </c>
      <c r="I547" s="55">
        <v>-22.906175999999999</v>
      </c>
      <c r="J547" s="55">
        <v>-47.055408</v>
      </c>
      <c r="L547" s="61" t="str">
        <f t="shared" si="9"/>
        <v>Cliente8-Cliente2</v>
      </c>
      <c r="M547">
        <v>7.3458680000000003</v>
      </c>
    </row>
    <row r="548" spans="1:13" x14ac:dyDescent="0.25">
      <c r="A548" s="15" t="s">
        <v>4278</v>
      </c>
      <c r="B548" s="15" t="s">
        <v>4273</v>
      </c>
      <c r="C548" s="52">
        <v>7.4123549999999998</v>
      </c>
      <c r="D548" s="25">
        <v>1.3888888888888888E-2</v>
      </c>
      <c r="E548" s="53">
        <v>-22.894216</v>
      </c>
      <c r="F548" s="53">
        <v>-46.998015000000002</v>
      </c>
      <c r="G548" s="53">
        <v>-22.905901</v>
      </c>
      <c r="H548" s="53">
        <v>-47.045392</v>
      </c>
      <c r="I548" s="53">
        <v>-22.918882</v>
      </c>
      <c r="J548" s="53">
        <v>-47.044716000000001</v>
      </c>
      <c r="L548" s="61" t="str">
        <f t="shared" si="9"/>
        <v>Cliente8-Cliente3</v>
      </c>
      <c r="M548">
        <v>7.4123549999999998</v>
      </c>
    </row>
    <row r="549" spans="1:13" x14ac:dyDescent="0.25">
      <c r="A549" s="15" t="s">
        <v>4278</v>
      </c>
      <c r="B549" s="15" t="s">
        <v>4274</v>
      </c>
      <c r="C549" s="54">
        <v>11.446306999999999</v>
      </c>
      <c r="D549" s="26">
        <v>1.5277777777777777E-2</v>
      </c>
      <c r="E549" s="55">
        <v>-22.888152000000002</v>
      </c>
      <c r="F549" s="55">
        <v>-46.979995000000002</v>
      </c>
      <c r="G549" s="55">
        <v>-22.851106999999999</v>
      </c>
      <c r="H549" s="55">
        <v>-47.027149000000001</v>
      </c>
      <c r="I549" s="55">
        <v>-22.840938999999999</v>
      </c>
      <c r="J549" s="55">
        <v>-47.079177999999999</v>
      </c>
      <c r="L549" s="61" t="str">
        <f t="shared" si="9"/>
        <v>Cliente8-Cliente4</v>
      </c>
      <c r="M549">
        <v>11.446306999999999</v>
      </c>
    </row>
    <row r="550" spans="1:13" x14ac:dyDescent="0.25">
      <c r="A550" s="15" t="s">
        <v>4278</v>
      </c>
      <c r="B550" s="15" t="s">
        <v>4275</v>
      </c>
      <c r="C550" s="52">
        <v>11.539512999999999</v>
      </c>
      <c r="D550" s="25">
        <v>1.5972222222222224E-2</v>
      </c>
      <c r="E550" s="53">
        <v>-22.887654999999999</v>
      </c>
      <c r="F550" s="53">
        <v>-46.978997999999997</v>
      </c>
      <c r="G550" s="53">
        <v>-22.853788000000002</v>
      </c>
      <c r="H550" s="53">
        <v>-47.025160999999997</v>
      </c>
      <c r="I550" s="53">
        <v>-22.843546</v>
      </c>
      <c r="J550" s="53">
        <v>-47.078372999999999</v>
      </c>
      <c r="L550" s="61" t="str">
        <f t="shared" si="9"/>
        <v>Cliente8-Cliente5</v>
      </c>
      <c r="M550">
        <v>11.539512999999999</v>
      </c>
    </row>
    <row r="551" spans="1:13" x14ac:dyDescent="0.25">
      <c r="A551" s="15" t="s">
        <v>4278</v>
      </c>
      <c r="B551" s="15" t="s">
        <v>4276</v>
      </c>
      <c r="C551" s="54">
        <v>11.496638000000001</v>
      </c>
      <c r="D551" s="26">
        <v>1.5277777777777777E-2</v>
      </c>
      <c r="E551" s="55">
        <v>-22.894126</v>
      </c>
      <c r="F551" s="55">
        <v>-47.008158000000002</v>
      </c>
      <c r="G551" s="55">
        <v>-22.899111999999999</v>
      </c>
      <c r="H551" s="55">
        <v>-47.006394</v>
      </c>
      <c r="I551" s="55">
        <v>-22.956213999999999</v>
      </c>
      <c r="J551" s="55">
        <v>-47.023330000000001</v>
      </c>
      <c r="L551" s="61" t="str">
        <f t="shared" si="9"/>
        <v>Cliente8-Cliente6</v>
      </c>
      <c r="M551">
        <v>11.496638000000001</v>
      </c>
    </row>
    <row r="552" spans="1:13" x14ac:dyDescent="0.25">
      <c r="A552" s="15" t="s">
        <v>4278</v>
      </c>
      <c r="B552" s="15" t="s">
        <v>4277</v>
      </c>
      <c r="C552" s="52">
        <v>10.407992999999999</v>
      </c>
      <c r="D552" s="25">
        <v>1.7361111111111112E-2</v>
      </c>
      <c r="E552" s="53">
        <v>-22.895911999999999</v>
      </c>
      <c r="F552" s="53">
        <v>-47.003404000000003</v>
      </c>
      <c r="G552" s="53">
        <v>-22.911518999999998</v>
      </c>
      <c r="H552" s="53">
        <v>-47.058087999999998</v>
      </c>
      <c r="I552" s="53">
        <v>-22.931381999999999</v>
      </c>
      <c r="J552" s="53">
        <v>-47.07132</v>
      </c>
      <c r="L552" s="61" t="str">
        <f t="shared" si="9"/>
        <v>Cliente8-Cliente7</v>
      </c>
      <c r="M552">
        <v>10.407992999999999</v>
      </c>
    </row>
    <row r="553" spans="1:13" x14ac:dyDescent="0.25">
      <c r="A553" s="15" t="s">
        <v>4278</v>
      </c>
      <c r="B553" s="15" t="s">
        <v>4278</v>
      </c>
      <c r="C553" s="54">
        <v>0</v>
      </c>
      <c r="D553" s="26">
        <v>0</v>
      </c>
      <c r="E553" s="55">
        <f>'1. Locais'!D12</f>
        <v>-22.88062</v>
      </c>
      <c r="F553" s="55">
        <f>'1. Locais'!E12</f>
        <v>-46.969439999999999</v>
      </c>
      <c r="G553" s="55">
        <f>'1. Locais'!D12</f>
        <v>-22.88062</v>
      </c>
      <c r="H553" s="55">
        <f>'1. Locais'!E12</f>
        <v>-46.969439999999999</v>
      </c>
      <c r="I553" s="55">
        <f>'1. Locais'!D12</f>
        <v>-22.88062</v>
      </c>
      <c r="J553" s="55">
        <f>'1. Locais'!E12</f>
        <v>-46.969439999999999</v>
      </c>
      <c r="L553" s="61" t="str">
        <f t="shared" si="9"/>
        <v>Cliente8-Cliente8</v>
      </c>
      <c r="M553">
        <v>0</v>
      </c>
    </row>
    <row r="554" spans="1:13" x14ac:dyDescent="0.25">
      <c r="A554" s="15" t="s">
        <v>4278</v>
      </c>
      <c r="B554" s="15" t="s">
        <v>4279</v>
      </c>
      <c r="C554" s="52">
        <v>28.909987999999998</v>
      </c>
      <c r="D554" s="25">
        <v>3.0555555555555555E-2</v>
      </c>
      <c r="E554" s="53">
        <v>-22.896024000000001</v>
      </c>
      <c r="F554" s="53">
        <v>-47.005040000000001</v>
      </c>
      <c r="G554" s="53">
        <v>-22.857859999999999</v>
      </c>
      <c r="H554" s="53">
        <v>-47.145806999999998</v>
      </c>
      <c r="I554" s="53">
        <v>-22.741872999999998</v>
      </c>
      <c r="J554" s="53">
        <v>-47.270297999999997</v>
      </c>
      <c r="L554" s="61" t="str">
        <f t="shared" si="9"/>
        <v>Cliente8-Cliente9</v>
      </c>
      <c r="M554">
        <v>28.909987999999998</v>
      </c>
    </row>
    <row r="555" spans="1:13" x14ac:dyDescent="0.25">
      <c r="A555" s="15" t="s">
        <v>4278</v>
      </c>
      <c r="B555" s="15" t="s">
        <v>4280</v>
      </c>
      <c r="C555" s="54">
        <v>65.483986999999999</v>
      </c>
      <c r="D555" s="26">
        <v>6.3888888888888884E-2</v>
      </c>
      <c r="E555" s="55">
        <v>-22.968592000000001</v>
      </c>
      <c r="F555" s="55">
        <v>-47.028140999999998</v>
      </c>
      <c r="G555" s="55">
        <v>-23.206911999999999</v>
      </c>
      <c r="H555" s="55">
        <v>-46.925704000000003</v>
      </c>
      <c r="I555" s="55">
        <v>-23.410412000000001</v>
      </c>
      <c r="J555" s="55">
        <v>-46.767440000000001</v>
      </c>
      <c r="L555" s="61" t="str">
        <f t="shared" si="9"/>
        <v>Cliente8-Cliente10</v>
      </c>
      <c r="M555">
        <v>65.483986999999999</v>
      </c>
    </row>
    <row r="556" spans="1:13" x14ac:dyDescent="0.25">
      <c r="A556" s="15" t="s">
        <v>4278</v>
      </c>
      <c r="B556" s="15" t="s">
        <v>4281</v>
      </c>
      <c r="C556" s="52">
        <v>49.460026999999997</v>
      </c>
      <c r="D556" s="25">
        <v>4.5138888888888888E-2</v>
      </c>
      <c r="E556" s="53">
        <v>-22.853102</v>
      </c>
      <c r="F556" s="53">
        <v>-47.025494999999999</v>
      </c>
      <c r="G556" s="53">
        <v>-22.800584000000001</v>
      </c>
      <c r="H556" s="53">
        <v>-47.221882000000001</v>
      </c>
      <c r="I556" s="53">
        <v>-22.767554000000001</v>
      </c>
      <c r="J556" s="53">
        <v>-47.437286999999998</v>
      </c>
      <c r="L556" s="61" t="str">
        <f t="shared" si="9"/>
        <v>Cliente8-Cliente11</v>
      </c>
      <c r="M556">
        <v>49.460026999999997</v>
      </c>
    </row>
    <row r="557" spans="1:13" x14ac:dyDescent="0.25">
      <c r="A557" s="15" t="s">
        <v>4278</v>
      </c>
      <c r="B557" s="15" t="s">
        <v>4282</v>
      </c>
      <c r="C557" s="54">
        <v>86.109834000000006</v>
      </c>
      <c r="D557" s="26">
        <v>7.4305555555555555E-2</v>
      </c>
      <c r="E557" s="55">
        <v>-22.948504</v>
      </c>
      <c r="F557" s="55">
        <v>-46.868555999999998</v>
      </c>
      <c r="G557" s="55">
        <v>-23.170741</v>
      </c>
      <c r="H557" s="55">
        <v>-46.421501999999997</v>
      </c>
      <c r="I557" s="55">
        <v>-23.204423999999999</v>
      </c>
      <c r="J557" s="55">
        <v>-46.161239999999999</v>
      </c>
      <c r="L557" s="61" t="str">
        <f t="shared" si="9"/>
        <v>Cliente8-Cliente12</v>
      </c>
      <c r="M557">
        <v>86.109834000000006</v>
      </c>
    </row>
    <row r="558" spans="1:13" x14ac:dyDescent="0.25">
      <c r="A558" s="15" t="s">
        <v>4278</v>
      </c>
      <c r="B558" s="15" t="s">
        <v>4283</v>
      </c>
      <c r="C558" s="52">
        <v>93.993810999999994</v>
      </c>
      <c r="D558" s="25">
        <v>7.9861111111111105E-2</v>
      </c>
      <c r="E558" s="53">
        <v>-22.963591999999998</v>
      </c>
      <c r="F558" s="53">
        <v>-46.845143999999998</v>
      </c>
      <c r="G558" s="53">
        <v>-23.172415000000001</v>
      </c>
      <c r="H558" s="53">
        <v>-46.387013000000003</v>
      </c>
      <c r="I558" s="53">
        <v>-23.236111000000001</v>
      </c>
      <c r="J558" s="53">
        <v>-46.125599000000001</v>
      </c>
      <c r="L558" s="61" t="str">
        <f t="shared" si="9"/>
        <v>Cliente8-Cliente13</v>
      </c>
      <c r="M558">
        <v>93.993810999999994</v>
      </c>
    </row>
    <row r="559" spans="1:13" x14ac:dyDescent="0.25">
      <c r="A559" s="15" t="s">
        <v>4278</v>
      </c>
      <c r="B559" s="15" t="s">
        <v>4284</v>
      </c>
      <c r="C559" s="54">
        <v>92.056370999999999</v>
      </c>
      <c r="D559" s="26">
        <v>7.7083333333333337E-2</v>
      </c>
      <c r="E559" s="55">
        <v>-22.936585999999998</v>
      </c>
      <c r="F559" s="55">
        <v>-46.882278999999997</v>
      </c>
      <c r="G559" s="55">
        <v>-23.169471000000001</v>
      </c>
      <c r="H559" s="55">
        <v>-46.441606</v>
      </c>
      <c r="I559" s="55">
        <v>-23.196577999999999</v>
      </c>
      <c r="J559" s="55">
        <v>-46.184575000000002</v>
      </c>
      <c r="L559" s="61" t="str">
        <f t="shared" si="9"/>
        <v>Cliente8-Cliente14</v>
      </c>
      <c r="M559">
        <v>92.056370999999999</v>
      </c>
    </row>
    <row r="560" spans="1:13" x14ac:dyDescent="0.25">
      <c r="A560" s="15" t="s">
        <v>4278</v>
      </c>
      <c r="B560" s="15" t="s">
        <v>4285</v>
      </c>
      <c r="C560" s="52">
        <v>94.434985999999995</v>
      </c>
      <c r="D560" s="25">
        <v>8.3333333333333329E-2</v>
      </c>
      <c r="E560" s="53">
        <v>-22.963591999999998</v>
      </c>
      <c r="F560" s="53">
        <v>-46.845143999999998</v>
      </c>
      <c r="G560" s="53">
        <v>-23.172415000000001</v>
      </c>
      <c r="H560" s="53">
        <v>-46.387013000000003</v>
      </c>
      <c r="I560" s="53">
        <v>-23.236111000000001</v>
      </c>
      <c r="J560" s="53">
        <v>-46.125599000000001</v>
      </c>
      <c r="L560" s="61" t="str">
        <f t="shared" si="9"/>
        <v>Cliente8-Cliente15</v>
      </c>
      <c r="M560">
        <v>94.434985999999995</v>
      </c>
    </row>
    <row r="561" spans="1:13" x14ac:dyDescent="0.25">
      <c r="A561" s="15" t="s">
        <v>4278</v>
      </c>
      <c r="B561" s="15" t="s">
        <v>4286</v>
      </c>
      <c r="C561" s="54">
        <v>93.365602999999993</v>
      </c>
      <c r="D561" s="26">
        <v>8.1250000000000003E-2</v>
      </c>
      <c r="E561" s="55">
        <v>-22.962316000000001</v>
      </c>
      <c r="F561" s="55">
        <v>-46.846612999999998</v>
      </c>
      <c r="G561" s="55">
        <v>-23.170774000000002</v>
      </c>
      <c r="H561" s="55">
        <v>-46.390999000000001</v>
      </c>
      <c r="I561" s="55" t="s">
        <v>7297</v>
      </c>
      <c r="J561" s="55">
        <v>-46.129123999999997</v>
      </c>
      <c r="L561" s="61" t="str">
        <f t="shared" si="9"/>
        <v>Cliente8-Cliente16</v>
      </c>
      <c r="M561">
        <v>93.365602999999993</v>
      </c>
    </row>
    <row r="562" spans="1:13" x14ac:dyDescent="0.25">
      <c r="A562" s="15" t="s">
        <v>4278</v>
      </c>
      <c r="B562" s="15" t="s">
        <v>4287</v>
      </c>
      <c r="C562" s="52">
        <v>94.421316000000004</v>
      </c>
      <c r="D562" s="25">
        <v>7.9861111111111105E-2</v>
      </c>
      <c r="E562" s="53">
        <v>-22.963591999999998</v>
      </c>
      <c r="F562" s="53">
        <v>-46.845143999999998</v>
      </c>
      <c r="G562" s="53">
        <v>-23.172415000000001</v>
      </c>
      <c r="H562" s="53">
        <v>-46.387013000000003</v>
      </c>
      <c r="I562" s="53">
        <v>-23.236111000000001</v>
      </c>
      <c r="J562" s="53">
        <v>-46.125599000000001</v>
      </c>
      <c r="L562" s="61" t="str">
        <f t="shared" si="9"/>
        <v>Cliente8-Cliente17</v>
      </c>
      <c r="M562">
        <v>94.421316000000004</v>
      </c>
    </row>
    <row r="563" spans="1:13" x14ac:dyDescent="0.25">
      <c r="A563" s="15" t="s">
        <v>4278</v>
      </c>
      <c r="B563" s="15" t="s">
        <v>4288</v>
      </c>
      <c r="C563" s="54">
        <v>99.249381999999997</v>
      </c>
      <c r="D563" s="26">
        <v>8.4722222222222213E-2</v>
      </c>
      <c r="E563" s="55">
        <v>-22.954253999999999</v>
      </c>
      <c r="F563" s="55">
        <v>-46.859864000000002</v>
      </c>
      <c r="G563" s="55">
        <v>-23.165773999999999</v>
      </c>
      <c r="H563" s="55">
        <v>-46.404429999999998</v>
      </c>
      <c r="I563" s="55">
        <v>-23.211559000000001</v>
      </c>
      <c r="J563" s="55">
        <v>-46.155158999999998</v>
      </c>
      <c r="L563" s="61" t="str">
        <f t="shared" si="9"/>
        <v>Cliente8-Cliente18</v>
      </c>
      <c r="M563">
        <v>99.249381999999997</v>
      </c>
    </row>
    <row r="564" spans="1:13" x14ac:dyDescent="0.25">
      <c r="A564" s="15" t="s">
        <v>4278</v>
      </c>
      <c r="B564" s="15" t="s">
        <v>4289</v>
      </c>
      <c r="C564" s="52">
        <v>62.264034000000002</v>
      </c>
      <c r="D564" s="25">
        <v>5.5555555555555552E-2</v>
      </c>
      <c r="E564" s="53">
        <v>-22.949172999999998</v>
      </c>
      <c r="F564" s="53">
        <v>-47.016751999999997</v>
      </c>
      <c r="G564" s="53">
        <v>-23.139607999999999</v>
      </c>
      <c r="H564" s="53">
        <v>-46.976407999999999</v>
      </c>
      <c r="I564" s="53">
        <v>-23.353031000000001</v>
      </c>
      <c r="J564" s="53">
        <v>-46.795738999999998</v>
      </c>
      <c r="L564" s="61" t="str">
        <f t="shared" si="9"/>
        <v>Cliente8-Cliente19</v>
      </c>
      <c r="M564">
        <v>62.264034000000002</v>
      </c>
    </row>
    <row r="565" spans="1:13" x14ac:dyDescent="0.25">
      <c r="A565" s="15" t="s">
        <v>4278</v>
      </c>
      <c r="B565" s="15" t="s">
        <v>4290</v>
      </c>
      <c r="C565" s="54">
        <v>63.836106999999998</v>
      </c>
      <c r="D565" s="26">
        <v>5.8333333333333327E-2</v>
      </c>
      <c r="E565" s="55">
        <v>-22.954902000000001</v>
      </c>
      <c r="F565" s="55">
        <v>-47.021872999999999</v>
      </c>
      <c r="G565" s="55">
        <v>-23.166378999999999</v>
      </c>
      <c r="H565" s="55">
        <v>-46.943733999999999</v>
      </c>
      <c r="I565" s="55">
        <v>-23.374680999999999</v>
      </c>
      <c r="J565" s="55">
        <v>-46.777056999999999</v>
      </c>
      <c r="L565" s="61" t="str">
        <f t="shared" si="9"/>
        <v>Cliente8-Cliente20</v>
      </c>
      <c r="M565">
        <v>63.836106999999998</v>
      </c>
    </row>
    <row r="566" spans="1:13" x14ac:dyDescent="0.25">
      <c r="A566" s="15" t="s">
        <v>4278</v>
      </c>
      <c r="B566" s="15" t="s">
        <v>4291</v>
      </c>
      <c r="C566" s="52">
        <v>63.437806999999999</v>
      </c>
      <c r="D566" s="25">
        <v>5.9027777777777783E-2</v>
      </c>
      <c r="E566" s="53">
        <v>-22.969301000000002</v>
      </c>
      <c r="F566" s="53">
        <v>-47.028601000000002</v>
      </c>
      <c r="G566" s="53">
        <v>-23.209886000000001</v>
      </c>
      <c r="H566" s="53">
        <v>-46.923786</v>
      </c>
      <c r="I566" s="53">
        <v>-23.414634</v>
      </c>
      <c r="J566" s="53">
        <v>-46.765898999999997</v>
      </c>
      <c r="L566" s="61" t="str">
        <f t="shared" si="9"/>
        <v>Cliente8-Cliente21</v>
      </c>
      <c r="M566">
        <v>63.437806999999999</v>
      </c>
    </row>
    <row r="567" spans="1:13" x14ac:dyDescent="0.25">
      <c r="A567" s="15" t="s">
        <v>4278</v>
      </c>
      <c r="B567" s="15" t="s">
        <v>4292</v>
      </c>
      <c r="C567" s="54">
        <v>62.561050000000002</v>
      </c>
      <c r="D567" s="26">
        <v>5.7638888888888885E-2</v>
      </c>
      <c r="E567" s="55">
        <v>-22.957104000000001</v>
      </c>
      <c r="F567" s="55">
        <v>-47.023009000000002</v>
      </c>
      <c r="G567" s="55">
        <v>-23.174133000000001</v>
      </c>
      <c r="H567" s="55">
        <v>-46.937530000000002</v>
      </c>
      <c r="I567" s="55">
        <v>-23.383962</v>
      </c>
      <c r="J567" s="55">
        <v>-46.769461999999997</v>
      </c>
      <c r="L567" s="61" t="str">
        <f t="shared" si="9"/>
        <v>Cliente8-Cliente22</v>
      </c>
      <c r="M567">
        <v>62.561050000000002</v>
      </c>
    </row>
    <row r="568" spans="1:13" x14ac:dyDescent="0.25">
      <c r="A568" s="15" t="s">
        <v>4278</v>
      </c>
      <c r="B568" s="15" t="s">
        <v>4293</v>
      </c>
      <c r="C568" s="52">
        <v>71.711385000000007</v>
      </c>
      <c r="D568" s="25">
        <v>6.5277777777777782E-2</v>
      </c>
      <c r="E568" s="53">
        <v>-22.988790000000002</v>
      </c>
      <c r="F568" s="53">
        <v>-47.059694</v>
      </c>
      <c r="G568" s="53">
        <v>-23.266528999999998</v>
      </c>
      <c r="H568" s="53">
        <v>-46.860360999999997</v>
      </c>
      <c r="I568" s="53">
        <v>-23.484406</v>
      </c>
      <c r="J568" s="53">
        <v>-46.803812000000001</v>
      </c>
      <c r="L568" s="61" t="str">
        <f t="shared" si="9"/>
        <v>Cliente8-Cliente23</v>
      </c>
      <c r="M568">
        <v>71.711385000000007</v>
      </c>
    </row>
    <row r="569" spans="1:13" x14ac:dyDescent="0.25">
      <c r="A569" s="15" t="s">
        <v>4278</v>
      </c>
      <c r="B569" s="15" t="s">
        <v>4294</v>
      </c>
      <c r="C569" s="54">
        <v>72.690668000000002</v>
      </c>
      <c r="D569" s="26">
        <v>6.7361111111111108E-2</v>
      </c>
      <c r="E569" s="55">
        <v>-22.989906000000001</v>
      </c>
      <c r="F569" s="55">
        <v>-47.064870999999997</v>
      </c>
      <c r="G569" s="55">
        <v>-23.268625</v>
      </c>
      <c r="H569" s="55">
        <v>-46.857863999999999</v>
      </c>
      <c r="I569" s="55">
        <v>-23.489854000000001</v>
      </c>
      <c r="J569" s="55">
        <v>-46.807833000000002</v>
      </c>
      <c r="L569" s="61" t="str">
        <f t="shared" si="9"/>
        <v>Cliente8-Cliente24</v>
      </c>
      <c r="M569">
        <v>72.690668000000002</v>
      </c>
    </row>
    <row r="570" spans="1:13" x14ac:dyDescent="0.25">
      <c r="A570" s="15" t="s">
        <v>4278</v>
      </c>
      <c r="B570" s="15" t="s">
        <v>4295</v>
      </c>
      <c r="C570" s="52">
        <v>75.511078999999995</v>
      </c>
      <c r="D570" s="25">
        <v>7.013888888888889E-2</v>
      </c>
      <c r="E570" s="53">
        <v>-22.991274000000001</v>
      </c>
      <c r="F570" s="53">
        <v>-47.068429999999999</v>
      </c>
      <c r="G570" s="53">
        <v>-23.275825000000001</v>
      </c>
      <c r="H570" s="53">
        <v>-46.850839000000001</v>
      </c>
      <c r="I570" s="53">
        <v>-23.501730999999999</v>
      </c>
      <c r="J570" s="53">
        <v>-46.821258999999998</v>
      </c>
      <c r="L570" s="61" t="str">
        <f t="shared" si="9"/>
        <v>Cliente8-Cliente25</v>
      </c>
      <c r="M570">
        <v>75.511078999999995</v>
      </c>
    </row>
    <row r="571" spans="1:13" x14ac:dyDescent="0.25">
      <c r="A571" s="15" t="s">
        <v>4278</v>
      </c>
      <c r="B571" s="15" t="s">
        <v>4296</v>
      </c>
      <c r="C571" s="54">
        <v>67.173500000000004</v>
      </c>
      <c r="D571" s="26">
        <v>6.0416666666666667E-2</v>
      </c>
      <c r="E571" s="55">
        <v>-22.981186999999998</v>
      </c>
      <c r="F571" s="55">
        <v>-47.04562</v>
      </c>
      <c r="G571" s="55">
        <v>-23.253205000000001</v>
      </c>
      <c r="H571" s="55">
        <v>-46.872154999999999</v>
      </c>
      <c r="I571" s="55">
        <v>-23.455441</v>
      </c>
      <c r="J571" s="55">
        <v>-46.791482999999999</v>
      </c>
      <c r="L571" s="61" t="str">
        <f t="shared" si="9"/>
        <v>Cliente8-Cliente26</v>
      </c>
      <c r="M571">
        <v>67.173500000000004</v>
      </c>
    </row>
    <row r="572" spans="1:13" x14ac:dyDescent="0.25">
      <c r="A572" s="15" t="s">
        <v>4278</v>
      </c>
      <c r="B572" s="15" t="s">
        <v>4297</v>
      </c>
      <c r="C572" s="52">
        <v>73.490375</v>
      </c>
      <c r="D572" s="25">
        <v>6.805555555555555E-2</v>
      </c>
      <c r="E572" s="53">
        <v>-22.990514000000001</v>
      </c>
      <c r="F572" s="53">
        <v>-47.066696999999998</v>
      </c>
      <c r="G572" s="53">
        <v>-23.272414000000001</v>
      </c>
      <c r="H572" s="53">
        <v>-46.854965</v>
      </c>
      <c r="I572" s="53">
        <v>-23.498956</v>
      </c>
      <c r="J572" s="53">
        <v>-46.819313000000001</v>
      </c>
      <c r="L572" s="61" t="str">
        <f t="shared" si="9"/>
        <v>Cliente8-Cliente27</v>
      </c>
      <c r="M572">
        <v>73.490375</v>
      </c>
    </row>
    <row r="573" spans="1:13" x14ac:dyDescent="0.25">
      <c r="A573" s="15" t="s">
        <v>4278</v>
      </c>
      <c r="B573" s="15" t="s">
        <v>4298</v>
      </c>
      <c r="C573" s="54">
        <v>74.821977000000004</v>
      </c>
      <c r="D573" s="26">
        <v>7.4305555555555555E-2</v>
      </c>
      <c r="E573" s="55">
        <v>-22.990514000000001</v>
      </c>
      <c r="F573" s="55">
        <v>-47.066696999999998</v>
      </c>
      <c r="G573" s="55">
        <v>-23.272414000000001</v>
      </c>
      <c r="H573" s="55">
        <v>-46.854965</v>
      </c>
      <c r="I573" s="55">
        <v>-23.508434000000001</v>
      </c>
      <c r="J573" s="55">
        <v>-46.721432</v>
      </c>
      <c r="L573" s="61" t="str">
        <f t="shared" si="9"/>
        <v>Cliente8-Cliente28</v>
      </c>
      <c r="M573">
        <v>74.821977000000004</v>
      </c>
    </row>
    <row r="574" spans="1:13" x14ac:dyDescent="0.25">
      <c r="A574" s="15" t="s">
        <v>4278</v>
      </c>
      <c r="B574" s="15" t="s">
        <v>4299</v>
      </c>
      <c r="C574" s="52">
        <v>77.084395000000001</v>
      </c>
      <c r="D574" s="25">
        <v>7.8472222222222221E-2</v>
      </c>
      <c r="E574" s="53">
        <v>-22.993691999999999</v>
      </c>
      <c r="F574" s="53">
        <v>-47.072166000000003</v>
      </c>
      <c r="G574" s="53">
        <v>-23.290033999999999</v>
      </c>
      <c r="H574" s="53">
        <v>-46.846899999999998</v>
      </c>
      <c r="I574" s="53">
        <v>-23.510888999999999</v>
      </c>
      <c r="J574" s="53">
        <v>-46.683996999999998</v>
      </c>
      <c r="L574" s="61" t="str">
        <f t="shared" si="9"/>
        <v>Cliente8-Cliente29</v>
      </c>
      <c r="M574">
        <v>77.084395000000001</v>
      </c>
    </row>
    <row r="575" spans="1:13" x14ac:dyDescent="0.25">
      <c r="A575" s="15" t="s">
        <v>4278</v>
      </c>
      <c r="B575" s="15" t="s">
        <v>4300</v>
      </c>
      <c r="C575" s="54">
        <v>81.143822999999998</v>
      </c>
      <c r="D575" s="26">
        <v>8.7500000000000008E-2</v>
      </c>
      <c r="E575" s="55">
        <v>-23.015834999999999</v>
      </c>
      <c r="F575" s="55">
        <v>-47.085518</v>
      </c>
      <c r="G575" s="55">
        <v>-23.333697000000001</v>
      </c>
      <c r="H575" s="55">
        <v>-46.823217</v>
      </c>
      <c r="I575" s="55">
        <v>-23.548137000000001</v>
      </c>
      <c r="J575" s="55">
        <v>-46.628678000000001</v>
      </c>
      <c r="L575" s="61" t="str">
        <f t="shared" si="9"/>
        <v>Cliente8-Cliente30</v>
      </c>
      <c r="M575">
        <v>81.143822999999998</v>
      </c>
    </row>
    <row r="576" spans="1:13" x14ac:dyDescent="0.25">
      <c r="A576" s="15" t="s">
        <v>4278</v>
      </c>
      <c r="B576" s="15" t="s">
        <v>4301</v>
      </c>
      <c r="C576" s="52">
        <v>66.546535000000006</v>
      </c>
      <c r="D576" s="25">
        <v>6.3888888888888884E-2</v>
      </c>
      <c r="E576" s="53">
        <v>-22.986637000000002</v>
      </c>
      <c r="F576" s="53">
        <v>-47.054383000000001</v>
      </c>
      <c r="G576" s="53">
        <v>-23.255313000000001</v>
      </c>
      <c r="H576" s="53">
        <v>-46.870173000000001</v>
      </c>
      <c r="I576" s="53">
        <v>-23.478933999999999</v>
      </c>
      <c r="J576" s="53">
        <v>-46.739049000000001</v>
      </c>
      <c r="L576" s="61" t="str">
        <f t="shared" si="9"/>
        <v>Cliente8-Cliente31</v>
      </c>
      <c r="M576">
        <v>66.546535000000006</v>
      </c>
    </row>
    <row r="577" spans="1:13" x14ac:dyDescent="0.25">
      <c r="A577" s="15" t="s">
        <v>4278</v>
      </c>
      <c r="B577" s="15" t="s">
        <v>4302</v>
      </c>
      <c r="C577" s="54">
        <v>62.009892000000001</v>
      </c>
      <c r="D577" s="26">
        <v>5.9722222222222225E-2</v>
      </c>
      <c r="E577" s="55">
        <v>-22.981006000000001</v>
      </c>
      <c r="F577" s="55">
        <v>-47.045377000000002</v>
      </c>
      <c r="G577" s="55">
        <v>-23.247883000000002</v>
      </c>
      <c r="H577" s="55">
        <v>-46.878694000000003</v>
      </c>
      <c r="I577" s="55">
        <v>-23.444385</v>
      </c>
      <c r="J577" s="55">
        <v>-46.777731000000003</v>
      </c>
      <c r="L577" s="61" t="str">
        <f t="shared" si="9"/>
        <v>Cliente8-Cliente32</v>
      </c>
      <c r="M577">
        <v>62.009892000000001</v>
      </c>
    </row>
    <row r="578" spans="1:13" x14ac:dyDescent="0.25">
      <c r="A578" s="15" t="s">
        <v>4278</v>
      </c>
      <c r="B578" s="15" t="s">
        <v>4303</v>
      </c>
      <c r="C578" s="52">
        <v>69.602446</v>
      </c>
      <c r="D578" s="25">
        <v>6.7361111111111108E-2</v>
      </c>
      <c r="E578" s="53">
        <v>-22.935320999999998</v>
      </c>
      <c r="F578" s="53">
        <v>-46.896419999999999</v>
      </c>
      <c r="G578" s="53">
        <v>-23.233733999999998</v>
      </c>
      <c r="H578" s="53">
        <v>-46.602102000000002</v>
      </c>
      <c r="I578" s="53">
        <v>-23.354094</v>
      </c>
      <c r="J578" s="53">
        <v>-46.550835999999997</v>
      </c>
      <c r="L578" s="61" t="str">
        <f t="shared" si="9"/>
        <v>Cliente8-Cliente33</v>
      </c>
      <c r="M578">
        <v>69.602446</v>
      </c>
    </row>
    <row r="579" spans="1:13" x14ac:dyDescent="0.25">
      <c r="A579" s="15" t="s">
        <v>4278</v>
      </c>
      <c r="B579" s="15" t="s">
        <v>4304</v>
      </c>
      <c r="C579" s="54">
        <v>54.645383000000002</v>
      </c>
      <c r="D579" s="26">
        <v>5.9027777777777783E-2</v>
      </c>
      <c r="E579" s="55">
        <v>-22.980181999999999</v>
      </c>
      <c r="F579" s="55">
        <v>-47.046042999999997</v>
      </c>
      <c r="G579" s="55">
        <v>-23.298148999999999</v>
      </c>
      <c r="H579" s="55">
        <v>-46.861569000000003</v>
      </c>
      <c r="I579" s="55">
        <v>-23.418272999999999</v>
      </c>
      <c r="J579" s="55">
        <v>-46.820982000000001</v>
      </c>
      <c r="L579" s="61" t="str">
        <f t="shared" si="9"/>
        <v>Cliente8-Cliente34</v>
      </c>
      <c r="M579">
        <v>54.645383000000002</v>
      </c>
    </row>
    <row r="580" spans="1:13" x14ac:dyDescent="0.25">
      <c r="A580" s="15" t="s">
        <v>4278</v>
      </c>
      <c r="B580" s="15" t="s">
        <v>4305</v>
      </c>
      <c r="C580" s="52">
        <v>55.177278000000001</v>
      </c>
      <c r="D580" s="25">
        <v>6.0416666666666667E-2</v>
      </c>
      <c r="E580" s="53">
        <v>-22.980370000000001</v>
      </c>
      <c r="F580" s="53">
        <v>-47.045546000000002</v>
      </c>
      <c r="G580" s="53">
        <v>-23.302682999999998</v>
      </c>
      <c r="H580" s="53">
        <v>-46.856502999999996</v>
      </c>
      <c r="I580" s="53">
        <v>-23.421206999999999</v>
      </c>
      <c r="J580" s="53">
        <v>-46.822113999999999</v>
      </c>
      <c r="L580" s="61" t="str">
        <f t="shared" si="9"/>
        <v>Cliente8-Cliente35</v>
      </c>
      <c r="M580">
        <v>55.177278000000001</v>
      </c>
    </row>
    <row r="581" spans="1:13" x14ac:dyDescent="0.25">
      <c r="A581" s="15" t="s">
        <v>4278</v>
      </c>
      <c r="B581" s="15" t="s">
        <v>4306</v>
      </c>
      <c r="C581" s="54">
        <v>95.627399999999994</v>
      </c>
      <c r="D581" s="26">
        <v>8.3333333333333329E-2</v>
      </c>
      <c r="E581" s="55">
        <v>-22.799621999999999</v>
      </c>
      <c r="F581" s="55">
        <v>-47.222423999999997</v>
      </c>
      <c r="G581" s="55">
        <v>-22.500194</v>
      </c>
      <c r="H581" s="55">
        <v>-47.398474999999998</v>
      </c>
      <c r="I581" s="55">
        <v>-22.289511999999998</v>
      </c>
      <c r="J581" s="55">
        <v>-47.676524999999998</v>
      </c>
      <c r="L581" s="61" t="str">
        <f t="shared" si="9"/>
        <v>Cliente8-Cliente36</v>
      </c>
      <c r="M581">
        <v>95.627399999999994</v>
      </c>
    </row>
    <row r="582" spans="1:13" x14ac:dyDescent="0.25">
      <c r="A582" s="15" t="s">
        <v>4278</v>
      </c>
      <c r="B582" s="15" t="s">
        <v>4307</v>
      </c>
      <c r="C582" s="52">
        <v>94.530676999999997</v>
      </c>
      <c r="D582" s="25">
        <v>8.1944444444444445E-2</v>
      </c>
      <c r="E582" s="53">
        <v>-22.773023999999999</v>
      </c>
      <c r="F582" s="53">
        <v>-47.236238</v>
      </c>
      <c r="G582" s="53">
        <v>-22.502466999999999</v>
      </c>
      <c r="H582" s="53">
        <v>-47.398080999999998</v>
      </c>
      <c r="I582" s="53">
        <v>-22.278566999999999</v>
      </c>
      <c r="J582" s="53">
        <v>-47.690787</v>
      </c>
      <c r="L582" s="61" t="str">
        <f t="shared" si="9"/>
        <v>Cliente8-Cliente37</v>
      </c>
      <c r="M582">
        <v>94.530676999999997</v>
      </c>
    </row>
    <row r="583" spans="1:13" x14ac:dyDescent="0.25">
      <c r="A583" s="15" t="s">
        <v>4278</v>
      </c>
      <c r="B583" s="15" t="s">
        <v>4308</v>
      </c>
      <c r="C583" s="54">
        <v>92.754172999999994</v>
      </c>
      <c r="D583" s="26">
        <v>7.9166666666666663E-2</v>
      </c>
      <c r="E583" s="55">
        <v>-22.802451000000001</v>
      </c>
      <c r="F583" s="55">
        <v>-47.220654000000003</v>
      </c>
      <c r="G583" s="55">
        <v>-22.501370999999999</v>
      </c>
      <c r="H583" s="55">
        <v>-47.399406999999997</v>
      </c>
      <c r="I583" s="55">
        <v>-22.309577000000001</v>
      </c>
      <c r="J583" s="55">
        <v>-47.667712000000002</v>
      </c>
      <c r="L583" s="61" t="str">
        <f t="shared" si="9"/>
        <v>Cliente8-Cliente38</v>
      </c>
      <c r="M583">
        <v>92.754172999999994</v>
      </c>
    </row>
    <row r="584" spans="1:13" x14ac:dyDescent="0.25">
      <c r="A584" s="15" t="s">
        <v>4278</v>
      </c>
      <c r="B584" s="15" t="s">
        <v>4309</v>
      </c>
      <c r="C584" s="52">
        <v>120.25550800000001</v>
      </c>
      <c r="D584" s="25">
        <v>0.10416666666666667</v>
      </c>
      <c r="E584" s="53">
        <v>-22.986369</v>
      </c>
      <c r="F584" s="53">
        <v>-46.813611999999999</v>
      </c>
      <c r="G584" s="53">
        <v>-23.185244999999998</v>
      </c>
      <c r="H584" s="53">
        <v>-46.363543999999997</v>
      </c>
      <c r="I584" s="53">
        <v>-23.256999</v>
      </c>
      <c r="J584" s="53">
        <v>-46.089643000000002</v>
      </c>
      <c r="L584" s="61" t="str">
        <f t="shared" si="9"/>
        <v>Cliente8-Cliente39</v>
      </c>
      <c r="M584">
        <v>120.25550800000001</v>
      </c>
    </row>
    <row r="585" spans="1:13" x14ac:dyDescent="0.25">
      <c r="A585" s="15" t="s">
        <v>4278</v>
      </c>
      <c r="B585" s="15" t="s">
        <v>4310</v>
      </c>
      <c r="C585" s="54">
        <v>121.817018</v>
      </c>
      <c r="D585" s="26">
        <v>0.10694444444444444</v>
      </c>
      <c r="E585" s="55">
        <v>-22.986961000000001</v>
      </c>
      <c r="F585" s="55">
        <v>-46.808838000000002</v>
      </c>
      <c r="G585" s="55">
        <v>-23.188707999999998</v>
      </c>
      <c r="H585" s="55">
        <v>-46.358916999999998</v>
      </c>
      <c r="I585" s="55">
        <v>-23.247465999999999</v>
      </c>
      <c r="J585" s="55">
        <v>-46.081451000000001</v>
      </c>
      <c r="L585" s="61" t="str">
        <f t="shared" si="9"/>
        <v>Cliente8-Cliente40</v>
      </c>
      <c r="M585">
        <v>121.817018</v>
      </c>
    </row>
    <row r="586" spans="1:13" x14ac:dyDescent="0.25">
      <c r="A586" s="15" t="s">
        <v>4278</v>
      </c>
      <c r="B586" s="15" t="s">
        <v>4311</v>
      </c>
      <c r="C586" s="52">
        <v>111.110766</v>
      </c>
      <c r="D586" s="25">
        <v>9.7916666666666666E-2</v>
      </c>
      <c r="E586" s="53">
        <v>-22.986733999999998</v>
      </c>
      <c r="F586" s="53">
        <v>-46.810080999999997</v>
      </c>
      <c r="G586" s="53">
        <v>-23.186458999999999</v>
      </c>
      <c r="H586" s="53">
        <v>-46.360492000000001</v>
      </c>
      <c r="I586" s="53">
        <v>-23.248401000000001</v>
      </c>
      <c r="J586" s="53">
        <v>-46.084232</v>
      </c>
      <c r="L586" s="61" t="str">
        <f t="shared" si="9"/>
        <v>Cliente8-Cliente41</v>
      </c>
      <c r="M586">
        <v>111.110766</v>
      </c>
    </row>
    <row r="587" spans="1:13" x14ac:dyDescent="0.25">
      <c r="A587" s="15" t="s">
        <v>4278</v>
      </c>
      <c r="B587" s="15" t="s">
        <v>4312</v>
      </c>
      <c r="C587" s="54">
        <v>107.823083</v>
      </c>
      <c r="D587" s="26">
        <v>9.0972222222222218E-2</v>
      </c>
      <c r="E587" s="55">
        <v>-22.954253999999999</v>
      </c>
      <c r="F587" s="55">
        <v>-46.859864000000002</v>
      </c>
      <c r="G587" s="55">
        <v>-23.165773999999999</v>
      </c>
      <c r="H587" s="55">
        <v>-46.404429999999998</v>
      </c>
      <c r="I587" s="55">
        <v>-23.211559000000001</v>
      </c>
      <c r="J587" s="55">
        <v>-46.155158999999998</v>
      </c>
      <c r="L587" s="61" t="str">
        <f t="shared" si="9"/>
        <v>Cliente8-Cliente42</v>
      </c>
      <c r="M587">
        <v>107.823083</v>
      </c>
    </row>
    <row r="588" spans="1:13" x14ac:dyDescent="0.25">
      <c r="A588" s="15" t="s">
        <v>4278</v>
      </c>
      <c r="B588" s="15" t="s">
        <v>4313</v>
      </c>
      <c r="C588" s="52">
        <v>126.497198</v>
      </c>
      <c r="D588" s="25">
        <v>0.10972222222222222</v>
      </c>
      <c r="E588" s="53">
        <v>-23.003291999999998</v>
      </c>
      <c r="F588" s="53">
        <v>-46.775557999999997</v>
      </c>
      <c r="G588" s="53">
        <v>-23.186128</v>
      </c>
      <c r="H588" s="53">
        <v>-46.328819000000003</v>
      </c>
      <c r="I588" s="53">
        <v>-23.281479000000001</v>
      </c>
      <c r="J588" s="53">
        <v>-46.049410000000002</v>
      </c>
      <c r="L588" s="61" t="str">
        <f t="shared" si="9"/>
        <v>Cliente8-Cliente43</v>
      </c>
      <c r="M588">
        <v>126.497198</v>
      </c>
    </row>
    <row r="589" spans="1:13" x14ac:dyDescent="0.25">
      <c r="A589" s="15" t="s">
        <v>4278</v>
      </c>
      <c r="B589" s="15" t="s">
        <v>4314</v>
      </c>
      <c r="C589" s="54">
        <v>61.912958000000003</v>
      </c>
      <c r="D589" s="26">
        <v>6.3888888888888884E-2</v>
      </c>
      <c r="E589" s="55">
        <v>-22.917853000000001</v>
      </c>
      <c r="F589" s="55">
        <v>-47.065821999999997</v>
      </c>
      <c r="G589" s="55">
        <v>-23.046854</v>
      </c>
      <c r="H589" s="55">
        <v>-47.138286000000001</v>
      </c>
      <c r="I589" s="55">
        <v>-23.380009000000001</v>
      </c>
      <c r="J589" s="55">
        <v>-47.327601000000001</v>
      </c>
      <c r="L589" s="61" t="str">
        <f t="shared" si="9"/>
        <v>Cliente8-Cliente44</v>
      </c>
      <c r="M589">
        <v>61.912958000000003</v>
      </c>
    </row>
    <row r="590" spans="1:13" x14ac:dyDescent="0.25">
      <c r="A590" s="15" t="s">
        <v>4278</v>
      </c>
      <c r="B590" s="15" t="s">
        <v>4315</v>
      </c>
      <c r="C590" s="52">
        <v>62.699615999999999</v>
      </c>
      <c r="D590" s="25">
        <v>6.6666666666666666E-2</v>
      </c>
      <c r="E590" s="53">
        <v>-22.930748999999999</v>
      </c>
      <c r="F590" s="53">
        <v>-47.070689000000002</v>
      </c>
      <c r="G590" s="53">
        <v>-23.166727000000002</v>
      </c>
      <c r="H590" s="53">
        <v>-47.266658999999997</v>
      </c>
      <c r="I590" s="53">
        <v>-23.479393000000002</v>
      </c>
      <c r="J590" s="53">
        <v>-47.448478999999999</v>
      </c>
      <c r="L590" s="61" t="str">
        <f t="shared" si="9"/>
        <v>Cliente8-Cliente45</v>
      </c>
      <c r="M590">
        <v>62.699615999999999</v>
      </c>
    </row>
    <row r="591" spans="1:13" x14ac:dyDescent="0.25">
      <c r="A591" s="15" t="s">
        <v>4278</v>
      </c>
      <c r="B591" s="15" t="s">
        <v>4316</v>
      </c>
      <c r="C591" s="54">
        <v>59.994159000000003</v>
      </c>
      <c r="D591" s="26">
        <v>6.1111111111111116E-2</v>
      </c>
      <c r="E591" s="55">
        <v>-22.918042</v>
      </c>
      <c r="F591" s="55">
        <v>-47.065171999999997</v>
      </c>
      <c r="G591" s="55">
        <v>-23.041388999999999</v>
      </c>
      <c r="H591" s="55">
        <v>-47.135691000000001</v>
      </c>
      <c r="I591" s="55">
        <v>-23.305422</v>
      </c>
      <c r="J591" s="55">
        <v>-47.331955000000001</v>
      </c>
      <c r="L591" s="61" t="str">
        <f t="shared" si="9"/>
        <v>Cliente8-Cliente46</v>
      </c>
      <c r="M591">
        <v>59.994159000000003</v>
      </c>
    </row>
    <row r="592" spans="1:13" x14ac:dyDescent="0.25">
      <c r="A592" s="15" t="s">
        <v>4278</v>
      </c>
      <c r="B592" s="15" t="s">
        <v>4317</v>
      </c>
      <c r="C592" s="52">
        <v>142.08371099999999</v>
      </c>
      <c r="D592" s="25">
        <v>0.1173611111111111</v>
      </c>
      <c r="E592" s="53">
        <v>-22.739989000000001</v>
      </c>
      <c r="F592" s="53">
        <v>-47.273299999999999</v>
      </c>
      <c r="G592" s="53">
        <v>-22.376725</v>
      </c>
      <c r="H592" s="53">
        <v>-47.394247999999997</v>
      </c>
      <c r="I592" s="53">
        <v>-21.614515000000001</v>
      </c>
      <c r="J592" s="53">
        <v>-47.616148000000003</v>
      </c>
      <c r="L592" s="61" t="str">
        <f t="shared" si="9"/>
        <v>Cliente8-Cliente47</v>
      </c>
      <c r="M592">
        <v>142.08371099999999</v>
      </c>
    </row>
    <row r="593" spans="1:13" x14ac:dyDescent="0.25">
      <c r="A593" s="15" t="s">
        <v>4278</v>
      </c>
      <c r="B593" s="15" t="s">
        <v>4318</v>
      </c>
      <c r="C593" s="54">
        <v>151.19489999999999</v>
      </c>
      <c r="D593" s="26">
        <v>0.12569444444444444</v>
      </c>
      <c r="E593" s="55">
        <v>-22.711048000000002</v>
      </c>
      <c r="F593" s="55">
        <v>-47.297775999999999</v>
      </c>
      <c r="G593" s="55">
        <v>-22.247682999999999</v>
      </c>
      <c r="H593" s="55">
        <v>-47.390053000000002</v>
      </c>
      <c r="I593" s="55">
        <v>-21.339245999999999</v>
      </c>
      <c r="J593" s="55">
        <v>-47.724367999999998</v>
      </c>
      <c r="L593" s="61" t="str">
        <f t="shared" si="9"/>
        <v>Cliente8-Cliente48</v>
      </c>
      <c r="M593">
        <v>151.19489999999999</v>
      </c>
    </row>
    <row r="594" spans="1:13" x14ac:dyDescent="0.25">
      <c r="A594" s="15" t="s">
        <v>4278</v>
      </c>
      <c r="B594" s="15" t="s">
        <v>4319</v>
      </c>
      <c r="C594" s="52">
        <v>144.83266399999999</v>
      </c>
      <c r="D594" s="25">
        <v>0.12152777777777778</v>
      </c>
      <c r="E594" s="53">
        <v>-22.717030000000001</v>
      </c>
      <c r="F594" s="53">
        <v>-47.295408000000002</v>
      </c>
      <c r="G594" s="53">
        <v>-22.283814</v>
      </c>
      <c r="H594" s="53">
        <v>-47.393318000000001</v>
      </c>
      <c r="I594" s="53">
        <v>-21.401729</v>
      </c>
      <c r="J594" s="53">
        <v>-47.674432000000003</v>
      </c>
      <c r="L594" s="61" t="str">
        <f t="shared" ref="L594:L657" si="10">_xlfn.CONCAT(A594,"-",B594)</f>
        <v>Cliente8-Cliente49</v>
      </c>
      <c r="M594">
        <v>144.83266399999999</v>
      </c>
    </row>
    <row r="595" spans="1:13" x14ac:dyDescent="0.25">
      <c r="A595" s="15" t="s">
        <v>4278</v>
      </c>
      <c r="B595" s="15" t="s">
        <v>4320</v>
      </c>
      <c r="C595" s="54">
        <v>170.51089300000001</v>
      </c>
      <c r="D595" s="26">
        <v>0.14583333333333334</v>
      </c>
      <c r="E595" s="55">
        <v>-22.589946999999999</v>
      </c>
      <c r="F595" s="55">
        <v>-47.367457999999999</v>
      </c>
      <c r="G595" s="55">
        <v>-22.219940999999999</v>
      </c>
      <c r="H595" s="55">
        <v>-47.763576999999998</v>
      </c>
      <c r="I595" s="55">
        <v>-22.249770999999999</v>
      </c>
      <c r="J595" s="55">
        <v>-48.359206</v>
      </c>
      <c r="L595" s="61" t="str">
        <f t="shared" si="10"/>
        <v>Cliente8-Cliente50</v>
      </c>
      <c r="M595">
        <v>170.51089300000001</v>
      </c>
    </row>
    <row r="596" spans="1:13" x14ac:dyDescent="0.25">
      <c r="A596" s="15" t="s">
        <v>4278</v>
      </c>
      <c r="B596" s="15" t="s">
        <v>4321</v>
      </c>
      <c r="C596" s="52">
        <v>169.40982</v>
      </c>
      <c r="D596" s="25">
        <v>0.14305555555555557</v>
      </c>
      <c r="E596" s="53">
        <v>-22.607071999999999</v>
      </c>
      <c r="F596" s="53">
        <v>-47.361316000000002</v>
      </c>
      <c r="G596" s="53">
        <v>-22.248835</v>
      </c>
      <c r="H596" s="53">
        <v>-47.704590000000003</v>
      </c>
      <c r="I596" s="53">
        <v>-22.247503999999999</v>
      </c>
      <c r="J596" s="53">
        <v>-48.349994000000002</v>
      </c>
      <c r="L596" s="61" t="str">
        <f t="shared" si="10"/>
        <v>Cliente8-Cliente51</v>
      </c>
      <c r="M596">
        <v>169.40982</v>
      </c>
    </row>
    <row r="597" spans="1:13" x14ac:dyDescent="0.25">
      <c r="A597" s="15" t="s">
        <v>4279</v>
      </c>
      <c r="B597" s="15" t="s">
        <v>4268</v>
      </c>
      <c r="C597" s="54">
        <v>51.181851000000002</v>
      </c>
      <c r="D597" s="26">
        <v>4.5833333333333337E-2</v>
      </c>
      <c r="E597" s="55">
        <v>-22.814119000000002</v>
      </c>
      <c r="F597" s="55">
        <v>-47.208675999999997</v>
      </c>
      <c r="G597" s="55">
        <v>-22.956572999999999</v>
      </c>
      <c r="H597" s="55">
        <v>-47.125914000000002</v>
      </c>
      <c r="I597" s="55">
        <v>-23.166727000000002</v>
      </c>
      <c r="J597" s="55">
        <v>-47.266658999999997</v>
      </c>
      <c r="L597" s="61" t="str">
        <f t="shared" si="10"/>
        <v>Cliente9-depósito A</v>
      </c>
      <c r="M597">
        <v>51.181851000000002</v>
      </c>
    </row>
    <row r="598" spans="1:13" x14ac:dyDescent="0.25">
      <c r="A598" s="15" t="s">
        <v>4279</v>
      </c>
      <c r="B598" s="15" t="s">
        <v>4269</v>
      </c>
      <c r="C598" s="52">
        <v>93.361254000000002</v>
      </c>
      <c r="D598" s="25">
        <v>7.7777777777777779E-2</v>
      </c>
      <c r="E598" s="53">
        <v>-22.5883</v>
      </c>
      <c r="F598" s="53">
        <v>-47.367502000000002</v>
      </c>
      <c r="G598" s="53">
        <v>-22.36215</v>
      </c>
      <c r="H598" s="53">
        <v>-47.633096000000002</v>
      </c>
      <c r="I598" s="53">
        <v>-22.248835</v>
      </c>
      <c r="J598" s="53">
        <v>-47.704590000000003</v>
      </c>
      <c r="L598" s="61" t="str">
        <f t="shared" si="10"/>
        <v>Cliente9-depósito B</v>
      </c>
      <c r="M598">
        <v>93.361254000000002</v>
      </c>
    </row>
    <row r="599" spans="1:13" x14ac:dyDescent="0.25">
      <c r="A599" s="15" t="s">
        <v>4279</v>
      </c>
      <c r="B599" s="15" t="s">
        <v>4270</v>
      </c>
      <c r="C599" s="54">
        <v>108.47801</v>
      </c>
      <c r="D599" s="26">
        <v>9.3055555555555558E-2</v>
      </c>
      <c r="E599" s="55">
        <v>-22.920686</v>
      </c>
      <c r="F599" s="55">
        <v>-46.943182999999998</v>
      </c>
      <c r="G599" s="55">
        <v>-23.109096000000001</v>
      </c>
      <c r="H599" s="55">
        <v>-46.498255999999998</v>
      </c>
      <c r="I599" s="55">
        <v>-23.182245999999999</v>
      </c>
      <c r="J599" s="55">
        <v>-46.205109</v>
      </c>
      <c r="L599" s="61" t="str">
        <f t="shared" si="10"/>
        <v>Cliente9-depósito C</v>
      </c>
      <c r="M599">
        <v>108.47801</v>
      </c>
    </row>
    <row r="600" spans="1:13" x14ac:dyDescent="0.25">
      <c r="A600" s="15" t="s">
        <v>4279</v>
      </c>
      <c r="B600" s="15" t="s">
        <v>4271</v>
      </c>
      <c r="C600" s="52">
        <v>29.650663999999999</v>
      </c>
      <c r="D600" s="25">
        <v>3.125E-2</v>
      </c>
      <c r="E600" s="53">
        <v>-22.770119999999999</v>
      </c>
      <c r="F600" s="53">
        <v>-47.240087000000003</v>
      </c>
      <c r="G600" s="53">
        <v>-22.867446999999999</v>
      </c>
      <c r="H600" s="53">
        <v>-47.133425000000003</v>
      </c>
      <c r="I600" s="53">
        <v>-22.982113999999999</v>
      </c>
      <c r="J600" s="53">
        <v>-47.045762000000003</v>
      </c>
      <c r="L600" s="61" t="str">
        <f t="shared" si="10"/>
        <v>Cliente9-Cliente1</v>
      </c>
      <c r="M600">
        <v>29.650663999999999</v>
      </c>
    </row>
    <row r="601" spans="1:13" x14ac:dyDescent="0.25">
      <c r="A601" s="15" t="s">
        <v>4279</v>
      </c>
      <c r="B601" s="15" t="s">
        <v>4272</v>
      </c>
      <c r="C601" s="54">
        <v>23.206408</v>
      </c>
      <c r="D601" s="26">
        <v>2.6388888888888889E-2</v>
      </c>
      <c r="E601" s="55">
        <v>-22.752943999999999</v>
      </c>
      <c r="F601" s="55">
        <v>-47.258844000000003</v>
      </c>
      <c r="G601" s="55">
        <v>-22.835114000000001</v>
      </c>
      <c r="H601" s="55">
        <v>-47.175074000000002</v>
      </c>
      <c r="I601" s="55">
        <v>-22.861014999999998</v>
      </c>
      <c r="J601" s="55">
        <v>-47.071818999999998</v>
      </c>
      <c r="L601" s="61" t="str">
        <f t="shared" si="10"/>
        <v>Cliente9-Cliente2</v>
      </c>
      <c r="M601">
        <v>23.206408</v>
      </c>
    </row>
    <row r="602" spans="1:13" x14ac:dyDescent="0.25">
      <c r="A602" s="15" t="s">
        <v>4279</v>
      </c>
      <c r="B602" s="15" t="s">
        <v>4273</v>
      </c>
      <c r="C602" s="52">
        <v>24.562864000000001</v>
      </c>
      <c r="D602" s="25">
        <v>3.125E-2</v>
      </c>
      <c r="E602" s="53">
        <v>-22.777498999999999</v>
      </c>
      <c r="F602" s="53">
        <v>-47.233806000000001</v>
      </c>
      <c r="G602" s="53">
        <v>-22.887011999999999</v>
      </c>
      <c r="H602" s="53">
        <v>-47.113826000000003</v>
      </c>
      <c r="I602" s="53">
        <v>-22.908107000000001</v>
      </c>
      <c r="J602" s="53">
        <v>-47.068781000000001</v>
      </c>
      <c r="L602" s="61" t="str">
        <f t="shared" si="10"/>
        <v>Cliente9-Cliente3</v>
      </c>
      <c r="M602">
        <v>24.562864000000001</v>
      </c>
    </row>
    <row r="603" spans="1:13" x14ac:dyDescent="0.25">
      <c r="A603" s="15" t="s">
        <v>4279</v>
      </c>
      <c r="B603" s="15" t="s">
        <v>4274</v>
      </c>
      <c r="C603" s="54">
        <v>21.542992999999999</v>
      </c>
      <c r="D603" s="26">
        <v>2.4305555555555556E-2</v>
      </c>
      <c r="E603" s="55">
        <v>-22.752471</v>
      </c>
      <c r="F603" s="55">
        <v>-47.259372999999997</v>
      </c>
      <c r="G603" s="55">
        <v>-22.828583999999999</v>
      </c>
      <c r="H603" s="55">
        <v>-47.182133</v>
      </c>
      <c r="I603" s="55">
        <v>-22.845483000000002</v>
      </c>
      <c r="J603" s="55">
        <v>-47.078028000000003</v>
      </c>
      <c r="L603" s="61" t="str">
        <f t="shared" si="10"/>
        <v>Cliente9-Cliente4</v>
      </c>
      <c r="M603">
        <v>21.542992999999999</v>
      </c>
    </row>
    <row r="604" spans="1:13" x14ac:dyDescent="0.25">
      <c r="A604" s="15" t="s">
        <v>4279</v>
      </c>
      <c r="B604" s="15" t="s">
        <v>4275</v>
      </c>
      <c r="C604" s="52">
        <v>21.636199000000001</v>
      </c>
      <c r="D604" s="25">
        <v>2.4999999999999998E-2</v>
      </c>
      <c r="E604" s="53">
        <v>-22.743352999999999</v>
      </c>
      <c r="F604" s="53">
        <v>-47.268813000000002</v>
      </c>
      <c r="G604" s="53">
        <v>-22.816866000000001</v>
      </c>
      <c r="H604" s="53">
        <v>-47.203954000000003</v>
      </c>
      <c r="I604" s="53">
        <v>-22.847729999999999</v>
      </c>
      <c r="J604" s="53">
        <v>-47.093870000000003</v>
      </c>
      <c r="L604" s="61" t="str">
        <f t="shared" si="10"/>
        <v>Cliente9-Cliente5</v>
      </c>
      <c r="M604">
        <v>21.636199000000001</v>
      </c>
    </row>
    <row r="605" spans="1:13" x14ac:dyDescent="0.25">
      <c r="A605" s="15" t="s">
        <v>4279</v>
      </c>
      <c r="B605" s="15" t="s">
        <v>4276</v>
      </c>
      <c r="C605" s="54">
        <v>30.341631</v>
      </c>
      <c r="D605" s="26">
        <v>3.125E-2</v>
      </c>
      <c r="E605" s="55">
        <v>-22.770879999999998</v>
      </c>
      <c r="F605" s="55">
        <v>-47.239131999999998</v>
      </c>
      <c r="G605" s="55">
        <v>-22.868262999999999</v>
      </c>
      <c r="H605" s="55">
        <v>-47.132486</v>
      </c>
      <c r="I605" s="55">
        <v>-22.981280999999999</v>
      </c>
      <c r="J605" s="55">
        <v>-47.045406</v>
      </c>
      <c r="L605" s="61" t="str">
        <f t="shared" si="10"/>
        <v>Cliente9-Cliente6</v>
      </c>
      <c r="M605">
        <v>30.341631</v>
      </c>
    </row>
    <row r="606" spans="1:13" x14ac:dyDescent="0.25">
      <c r="A606" s="15" t="s">
        <v>4279</v>
      </c>
      <c r="B606" s="15" t="s">
        <v>4277</v>
      </c>
      <c r="C606" s="52">
        <v>23.815974000000001</v>
      </c>
      <c r="D606" s="25">
        <v>2.6388888888888889E-2</v>
      </c>
      <c r="E606" s="53">
        <v>-22.757888000000001</v>
      </c>
      <c r="F606" s="53">
        <v>-47.253647000000001</v>
      </c>
      <c r="G606" s="53">
        <v>-22.843916</v>
      </c>
      <c r="H606" s="53">
        <v>-47.166811000000003</v>
      </c>
      <c r="I606" s="53">
        <v>-22.928501000000001</v>
      </c>
      <c r="J606" s="53">
        <v>-47.081657</v>
      </c>
      <c r="L606" s="61" t="str">
        <f t="shared" si="10"/>
        <v>Cliente9-Cliente7</v>
      </c>
      <c r="M606">
        <v>23.815974000000001</v>
      </c>
    </row>
    <row r="607" spans="1:13" x14ac:dyDescent="0.25">
      <c r="A607" s="15" t="s">
        <v>4279</v>
      </c>
      <c r="B607" s="15" t="s">
        <v>4278</v>
      </c>
      <c r="C607" s="54">
        <v>31.379944999999999</v>
      </c>
      <c r="D607" s="26">
        <v>3.2638888888888891E-2</v>
      </c>
      <c r="E607" s="55">
        <v>-22.770119999999999</v>
      </c>
      <c r="F607" s="55">
        <v>-47.240087000000003</v>
      </c>
      <c r="G607" s="55">
        <v>-22.859463999999999</v>
      </c>
      <c r="H607" s="55">
        <v>-47.145769000000001</v>
      </c>
      <c r="I607" s="55">
        <v>-22.900803</v>
      </c>
      <c r="J607" s="55">
        <v>-46.987879</v>
      </c>
      <c r="L607" s="61" t="str">
        <f t="shared" si="10"/>
        <v>Cliente9-Cliente8</v>
      </c>
      <c r="M607">
        <v>31.379944999999999</v>
      </c>
    </row>
    <row r="608" spans="1:13" x14ac:dyDescent="0.25">
      <c r="A608" s="15" t="s">
        <v>4279</v>
      </c>
      <c r="B608" s="15" t="s">
        <v>4279</v>
      </c>
      <c r="C608" s="52">
        <v>0</v>
      </c>
      <c r="D608" s="25">
        <v>0</v>
      </c>
      <c r="E608" s="53">
        <f>'1. Locais'!D13</f>
        <v>-22.722370000000002</v>
      </c>
      <c r="F608" s="53">
        <f>'1. Locais'!E13</f>
        <v>-47.307400000000001</v>
      </c>
      <c r="G608" s="53">
        <f>'1. Locais'!D13</f>
        <v>-22.722370000000002</v>
      </c>
      <c r="H608" s="53">
        <f>'1. Locais'!E13</f>
        <v>-47.307400000000001</v>
      </c>
      <c r="I608" s="53">
        <f>'1. Locais'!D13</f>
        <v>-22.722370000000002</v>
      </c>
      <c r="J608" s="53">
        <f>'1. Locais'!E13</f>
        <v>-47.307400000000001</v>
      </c>
      <c r="L608" s="61" t="str">
        <f t="shared" si="10"/>
        <v>Cliente9-Cliente9</v>
      </c>
      <c r="M608">
        <v>0</v>
      </c>
    </row>
    <row r="609" spans="1:13" x14ac:dyDescent="0.25">
      <c r="A609" s="15" t="s">
        <v>4279</v>
      </c>
      <c r="B609" s="15" t="s">
        <v>4280</v>
      </c>
      <c r="C609" s="54">
        <v>77.236009999999993</v>
      </c>
      <c r="D609" s="26">
        <v>7.2222222222222229E-2</v>
      </c>
      <c r="E609" s="55">
        <v>-22.924717000000001</v>
      </c>
      <c r="F609" s="55">
        <v>-47.131155</v>
      </c>
      <c r="G609" s="55">
        <v>-23.212937</v>
      </c>
      <c r="H609" s="55">
        <v>-46.921098000000001</v>
      </c>
      <c r="I609" s="55">
        <v>-23.412832000000002</v>
      </c>
      <c r="J609" s="55">
        <v>-46.766708000000001</v>
      </c>
      <c r="L609" s="61" t="str">
        <f t="shared" si="10"/>
        <v>Cliente9-Cliente10</v>
      </c>
      <c r="M609">
        <v>77.236009999999993</v>
      </c>
    </row>
    <row r="610" spans="1:13" x14ac:dyDescent="0.25">
      <c r="A610" s="15" t="s">
        <v>4279</v>
      </c>
      <c r="B610" s="15" t="s">
        <v>4281</v>
      </c>
      <c r="C610" s="52">
        <v>25.071769</v>
      </c>
      <c r="D610" s="25">
        <v>2.4999999999999998E-2</v>
      </c>
      <c r="E610" s="53">
        <v>-22.742685999999999</v>
      </c>
      <c r="F610" s="53">
        <v>-47.307547999999997</v>
      </c>
      <c r="G610" s="53">
        <v>-22.766165999999998</v>
      </c>
      <c r="H610" s="53">
        <v>-47.413997999999999</v>
      </c>
      <c r="I610" s="53">
        <v>-22.721357999999999</v>
      </c>
      <c r="J610" s="53">
        <v>-47.608103</v>
      </c>
      <c r="L610" s="61" t="str">
        <f t="shared" si="10"/>
        <v>Cliente9-Cliente11</v>
      </c>
      <c r="M610">
        <v>25.071769</v>
      </c>
    </row>
    <row r="611" spans="1:13" x14ac:dyDescent="0.25">
      <c r="A611" s="15" t="s">
        <v>4279</v>
      </c>
      <c r="B611" s="15" t="s">
        <v>4282</v>
      </c>
      <c r="C611" s="54">
        <v>107.519231</v>
      </c>
      <c r="D611" s="26">
        <v>9.3055555555555558E-2</v>
      </c>
      <c r="E611" s="55">
        <v>-22.922442</v>
      </c>
      <c r="F611" s="55">
        <v>-46.942498999999998</v>
      </c>
      <c r="G611" s="55">
        <v>-23.115565</v>
      </c>
      <c r="H611" s="55">
        <v>-46.485429000000003</v>
      </c>
      <c r="I611" s="55">
        <v>-23.190617</v>
      </c>
      <c r="J611" s="55">
        <v>-46.188918000000001</v>
      </c>
      <c r="L611" s="61" t="str">
        <f t="shared" si="10"/>
        <v>Cliente9-Cliente12</v>
      </c>
      <c r="M611">
        <v>107.519231</v>
      </c>
    </row>
    <row r="612" spans="1:13" x14ac:dyDescent="0.25">
      <c r="A612" s="15" t="s">
        <v>4279</v>
      </c>
      <c r="B612" s="15" t="s">
        <v>4283</v>
      </c>
      <c r="C612" s="52">
        <v>115.403209</v>
      </c>
      <c r="D612" s="25">
        <v>9.8611111111111108E-2</v>
      </c>
      <c r="E612" s="53">
        <v>-22.929801999999999</v>
      </c>
      <c r="F612" s="53">
        <v>-46.939480000000003</v>
      </c>
      <c r="G612" s="53">
        <v>-23.152825</v>
      </c>
      <c r="H612" s="53">
        <v>-46.453066</v>
      </c>
      <c r="I612" s="53">
        <v>-23.210922</v>
      </c>
      <c r="J612" s="53">
        <v>-46.155890999999997</v>
      </c>
      <c r="L612" s="61" t="str">
        <f t="shared" si="10"/>
        <v>Cliente9-Cliente13</v>
      </c>
      <c r="M612">
        <v>115.403209</v>
      </c>
    </row>
    <row r="613" spans="1:13" x14ac:dyDescent="0.25">
      <c r="A613" s="15" t="s">
        <v>4279</v>
      </c>
      <c r="B613" s="15" t="s">
        <v>4284</v>
      </c>
      <c r="C613" s="54">
        <v>113.46576899999999</v>
      </c>
      <c r="D613" s="26">
        <v>9.5138888888888884E-2</v>
      </c>
      <c r="E613" s="55">
        <v>-22.920038999999999</v>
      </c>
      <c r="F613" s="55">
        <v>-46.943657999999999</v>
      </c>
      <c r="G613" s="55">
        <v>-23.107724999999999</v>
      </c>
      <c r="H613" s="55">
        <v>-46.505446999999997</v>
      </c>
      <c r="I613" s="55">
        <v>-23.175080000000001</v>
      </c>
      <c r="J613" s="55">
        <v>-46.213006999999998</v>
      </c>
      <c r="L613" s="61" t="str">
        <f t="shared" si="10"/>
        <v>Cliente9-Cliente14</v>
      </c>
      <c r="M613">
        <v>113.46576899999999</v>
      </c>
    </row>
    <row r="614" spans="1:13" x14ac:dyDescent="0.25">
      <c r="A614" s="15" t="s">
        <v>4279</v>
      </c>
      <c r="B614" s="15" t="s">
        <v>4285</v>
      </c>
      <c r="C614" s="52">
        <v>115.84438299999999</v>
      </c>
      <c r="D614" s="25">
        <v>0.1013888888888889</v>
      </c>
      <c r="E614" s="53">
        <v>-22.932058000000001</v>
      </c>
      <c r="F614" s="53">
        <v>-46.934918000000003</v>
      </c>
      <c r="G614" s="53">
        <v>-23.167742000000001</v>
      </c>
      <c r="H614" s="53">
        <v>-46.443790999999997</v>
      </c>
      <c r="I614" s="53">
        <v>-23.219465</v>
      </c>
      <c r="J614" s="53">
        <v>-46.144137000000001</v>
      </c>
      <c r="L614" s="61" t="str">
        <f t="shared" si="10"/>
        <v>Cliente9-Cliente15</v>
      </c>
      <c r="M614">
        <v>115.84438299999999</v>
      </c>
    </row>
    <row r="615" spans="1:13" x14ac:dyDescent="0.25">
      <c r="A615" s="15" t="s">
        <v>4279</v>
      </c>
      <c r="B615" s="15" t="s">
        <v>4286</v>
      </c>
      <c r="C615" s="54">
        <v>114.775001</v>
      </c>
      <c r="D615" s="26">
        <v>9.9999999999999992E-2</v>
      </c>
      <c r="E615" s="55">
        <v>-22.929801999999999</v>
      </c>
      <c r="F615" s="55">
        <v>-46.939480000000003</v>
      </c>
      <c r="G615" s="55">
        <v>-23.152825</v>
      </c>
      <c r="H615" s="55">
        <v>-46.453066</v>
      </c>
      <c r="I615" s="55">
        <v>-23.210922</v>
      </c>
      <c r="J615" s="55">
        <v>-46.155890999999997</v>
      </c>
      <c r="L615" s="61" t="str">
        <f t="shared" si="10"/>
        <v>Cliente9-Cliente16</v>
      </c>
      <c r="M615">
        <v>114.775001</v>
      </c>
    </row>
    <row r="616" spans="1:13" x14ac:dyDescent="0.25">
      <c r="A616" s="15" t="s">
        <v>4279</v>
      </c>
      <c r="B616" s="15" t="s">
        <v>4287</v>
      </c>
      <c r="C616" s="52">
        <v>115.830713</v>
      </c>
      <c r="D616" s="25">
        <v>9.7916666666666666E-2</v>
      </c>
      <c r="E616" s="53">
        <v>-22.929801999999999</v>
      </c>
      <c r="F616" s="53">
        <v>-46.939480000000003</v>
      </c>
      <c r="G616" s="53">
        <v>-23.152825</v>
      </c>
      <c r="H616" s="53">
        <v>-46.453066</v>
      </c>
      <c r="I616" s="53">
        <v>-23.210922</v>
      </c>
      <c r="J616" s="53">
        <v>-46.155890999999997</v>
      </c>
      <c r="L616" s="61" t="str">
        <f t="shared" si="10"/>
        <v>Cliente9-Cliente17</v>
      </c>
      <c r="M616">
        <v>115.830713</v>
      </c>
    </row>
    <row r="617" spans="1:13" x14ac:dyDescent="0.25">
      <c r="A617" s="15" t="s">
        <v>4279</v>
      </c>
      <c r="B617" s="15" t="s">
        <v>4288</v>
      </c>
      <c r="C617" s="54">
        <v>120.658779</v>
      </c>
      <c r="D617" s="26">
        <v>0.10277777777777779</v>
      </c>
      <c r="E617" s="55">
        <v>-22.927520000000001</v>
      </c>
      <c r="F617" s="55">
        <v>-46.941733999999997</v>
      </c>
      <c r="G617" s="55">
        <v>-23.120362</v>
      </c>
      <c r="H617" s="55">
        <v>-46.474874999999997</v>
      </c>
      <c r="I617" s="55">
        <v>-23.199383000000001</v>
      </c>
      <c r="J617" s="55">
        <v>-46.177847999999997</v>
      </c>
      <c r="L617" s="61" t="str">
        <f t="shared" si="10"/>
        <v>Cliente9-Cliente18</v>
      </c>
      <c r="M617">
        <v>120.658779</v>
      </c>
    </row>
    <row r="618" spans="1:13" x14ac:dyDescent="0.25">
      <c r="A618" s="15" t="s">
        <v>4279</v>
      </c>
      <c r="B618" s="15" t="s">
        <v>4289</v>
      </c>
      <c r="C618" s="52">
        <v>74.016056000000006</v>
      </c>
      <c r="D618" s="25">
        <v>6.3888888888888884E-2</v>
      </c>
      <c r="E618" s="53">
        <v>-22.900371</v>
      </c>
      <c r="F618" s="53">
        <v>-47.137070999999999</v>
      </c>
      <c r="G618" s="53">
        <v>-23.146992000000001</v>
      </c>
      <c r="H618" s="53">
        <v>-46.964075999999999</v>
      </c>
      <c r="I618" s="53">
        <v>-23.355848999999999</v>
      </c>
      <c r="J618" s="53">
        <v>-46.792028000000002</v>
      </c>
      <c r="L618" s="61" t="str">
        <f t="shared" si="10"/>
        <v>Cliente9-Cliente19</v>
      </c>
      <c r="M618">
        <v>74.016056000000006</v>
      </c>
    </row>
    <row r="619" spans="1:13" x14ac:dyDescent="0.25">
      <c r="A619" s="15" t="s">
        <v>4279</v>
      </c>
      <c r="B619" s="15" t="s">
        <v>4290</v>
      </c>
      <c r="C619" s="54">
        <v>75.588128999999995</v>
      </c>
      <c r="D619" s="26">
        <v>6.6666666666666666E-2</v>
      </c>
      <c r="E619" s="55">
        <v>-22.919438</v>
      </c>
      <c r="F619" s="55">
        <v>-47.134283000000003</v>
      </c>
      <c r="G619" s="55">
        <v>-23.174838000000001</v>
      </c>
      <c r="H619" s="55">
        <v>-46.937179</v>
      </c>
      <c r="I619" s="55">
        <v>-23.379301999999999</v>
      </c>
      <c r="J619" s="55">
        <v>-46.771503000000003</v>
      </c>
      <c r="L619" s="61" t="str">
        <f t="shared" si="10"/>
        <v>Cliente9-Cliente20</v>
      </c>
      <c r="M619">
        <v>75.588128999999995</v>
      </c>
    </row>
    <row r="620" spans="1:13" x14ac:dyDescent="0.25">
      <c r="A620" s="15" t="s">
        <v>4279</v>
      </c>
      <c r="B620" s="15" t="s">
        <v>4291</v>
      </c>
      <c r="C620" s="52">
        <v>75.189829000000003</v>
      </c>
      <c r="D620" s="25">
        <v>6.7361111111111108E-2</v>
      </c>
      <c r="E620" s="53">
        <v>-22.925530999999999</v>
      </c>
      <c r="F620" s="53">
        <v>-47.130623999999997</v>
      </c>
      <c r="G620" s="53">
        <v>-23.23441</v>
      </c>
      <c r="H620" s="53">
        <v>-46.892637000000001</v>
      </c>
      <c r="I620" s="53">
        <v>-23.423141999999999</v>
      </c>
      <c r="J620" s="53">
        <v>-46.761167999999998</v>
      </c>
      <c r="L620" s="61" t="str">
        <f t="shared" si="10"/>
        <v>Cliente9-Cliente21</v>
      </c>
      <c r="M620">
        <v>75.189829000000003</v>
      </c>
    </row>
    <row r="621" spans="1:13" x14ac:dyDescent="0.25">
      <c r="A621" s="15" t="s">
        <v>4279</v>
      </c>
      <c r="B621" s="15" t="s">
        <v>4292</v>
      </c>
      <c r="C621" s="54">
        <v>74.313072000000005</v>
      </c>
      <c r="D621" s="26">
        <v>6.6666666666666666E-2</v>
      </c>
      <c r="E621" s="55">
        <v>-22.921543</v>
      </c>
      <c r="F621" s="55">
        <v>-47.133260999999997</v>
      </c>
      <c r="G621" s="55">
        <v>-23.206911999999999</v>
      </c>
      <c r="H621" s="55">
        <v>-46.925704000000003</v>
      </c>
      <c r="I621" s="55">
        <v>-23.399985000000001</v>
      </c>
      <c r="J621" s="55">
        <v>-46.768025000000002</v>
      </c>
      <c r="L621" s="61" t="str">
        <f t="shared" si="10"/>
        <v>Cliente9-Cliente22</v>
      </c>
      <c r="M621">
        <v>74.313072000000005</v>
      </c>
    </row>
    <row r="622" spans="1:13" x14ac:dyDescent="0.25">
      <c r="A622" s="15" t="s">
        <v>4279</v>
      </c>
      <c r="B622" s="15" t="s">
        <v>4293</v>
      </c>
      <c r="C622" s="52">
        <v>83.463407000000004</v>
      </c>
      <c r="D622" s="25">
        <v>7.3611111111111113E-2</v>
      </c>
      <c r="E622" s="53">
        <v>-22.958783</v>
      </c>
      <c r="F622" s="53">
        <v>-47.125464000000001</v>
      </c>
      <c r="G622" s="53">
        <v>-23.272414000000001</v>
      </c>
      <c r="H622" s="53">
        <v>-46.854965</v>
      </c>
      <c r="I622" s="53">
        <v>-23.488206000000002</v>
      </c>
      <c r="J622" s="53">
        <v>-46.806232000000001</v>
      </c>
      <c r="L622" s="61" t="str">
        <f t="shared" si="10"/>
        <v>Cliente9-Cliente23</v>
      </c>
      <c r="M622">
        <v>83.463407000000004</v>
      </c>
    </row>
    <row r="623" spans="1:13" x14ac:dyDescent="0.25">
      <c r="A623" s="15" t="s">
        <v>4279</v>
      </c>
      <c r="B623" s="15" t="s">
        <v>4294</v>
      </c>
      <c r="C623" s="54">
        <v>84.442690999999996</v>
      </c>
      <c r="D623" s="26">
        <v>7.5694444444444439E-2</v>
      </c>
      <c r="E623" s="55">
        <v>-22.959524999999999</v>
      </c>
      <c r="F623" s="55">
        <v>-47.125193000000003</v>
      </c>
      <c r="G623" s="55">
        <v>-23.275825000000001</v>
      </c>
      <c r="H623" s="55">
        <v>-46.850839000000001</v>
      </c>
      <c r="I623" s="55">
        <v>-23.494213999999999</v>
      </c>
      <c r="J623" s="55">
        <v>-46.813383000000002</v>
      </c>
      <c r="L623" s="61" t="str">
        <f t="shared" si="10"/>
        <v>Cliente9-Cliente24</v>
      </c>
      <c r="M623">
        <v>84.442690999999996</v>
      </c>
    </row>
    <row r="624" spans="1:13" x14ac:dyDescent="0.25">
      <c r="A624" s="15" t="s">
        <v>4279</v>
      </c>
      <c r="B624" s="15" t="s">
        <v>4295</v>
      </c>
      <c r="C624" s="52">
        <v>87.263102000000003</v>
      </c>
      <c r="D624" s="25">
        <v>7.8472222222222221E-2</v>
      </c>
      <c r="E624" s="53">
        <v>-22.967970999999999</v>
      </c>
      <c r="F624" s="53">
        <v>-47.118595999999997</v>
      </c>
      <c r="G624" s="53">
        <v>-23.287797000000001</v>
      </c>
      <c r="H624" s="53">
        <v>-46.847676999999997</v>
      </c>
      <c r="I624" s="53">
        <v>-23.506599000000001</v>
      </c>
      <c r="J624" s="53">
        <v>-46.821829000000001</v>
      </c>
      <c r="L624" s="61" t="str">
        <f t="shared" si="10"/>
        <v>Cliente9-Cliente25</v>
      </c>
      <c r="M624">
        <v>87.263102000000003</v>
      </c>
    </row>
    <row r="625" spans="1:13" x14ac:dyDescent="0.25">
      <c r="A625" s="15" t="s">
        <v>4279</v>
      </c>
      <c r="B625" s="15" t="s">
        <v>4296</v>
      </c>
      <c r="C625" s="54">
        <v>78.925522000000001</v>
      </c>
      <c r="D625" s="26">
        <v>6.8749999999999992E-2</v>
      </c>
      <c r="E625" s="55">
        <v>-22.941599</v>
      </c>
      <c r="F625" s="55">
        <v>-47.126221999999999</v>
      </c>
      <c r="G625" s="55">
        <v>-23.260442000000001</v>
      </c>
      <c r="H625" s="55">
        <v>-46.867970999999997</v>
      </c>
      <c r="I625" s="55">
        <v>-23.457750999999998</v>
      </c>
      <c r="J625" s="55">
        <v>-46.793567000000003</v>
      </c>
      <c r="L625" s="61" t="str">
        <f t="shared" si="10"/>
        <v>Cliente9-Cliente26</v>
      </c>
      <c r="M625">
        <v>78.925522000000001</v>
      </c>
    </row>
    <row r="626" spans="1:13" x14ac:dyDescent="0.25">
      <c r="A626" s="15" t="s">
        <v>4279</v>
      </c>
      <c r="B626" s="15" t="s">
        <v>4297</v>
      </c>
      <c r="C626" s="52">
        <v>85.242397999999994</v>
      </c>
      <c r="D626" s="25">
        <v>7.6388888888888895E-2</v>
      </c>
      <c r="E626" s="53">
        <v>-22.960871999999998</v>
      </c>
      <c r="F626" s="53">
        <v>-47.124448000000001</v>
      </c>
      <c r="G626" s="53">
        <v>-23.277909000000001</v>
      </c>
      <c r="H626" s="53">
        <v>-46.849068000000003</v>
      </c>
      <c r="I626" s="53">
        <v>-23.500717000000002</v>
      </c>
      <c r="J626" s="53">
        <v>-46.820785000000001</v>
      </c>
      <c r="L626" s="61" t="str">
        <f t="shared" si="10"/>
        <v>Cliente9-Cliente27</v>
      </c>
      <c r="M626">
        <v>85.242397999999994</v>
      </c>
    </row>
    <row r="627" spans="1:13" x14ac:dyDescent="0.25">
      <c r="A627" s="15" t="s">
        <v>4279</v>
      </c>
      <c r="B627" s="15" t="s">
        <v>4298</v>
      </c>
      <c r="C627" s="54">
        <v>86.573999000000001</v>
      </c>
      <c r="D627" s="26">
        <v>8.2638888888888887E-2</v>
      </c>
      <c r="E627" s="55">
        <v>-22.960871999999998</v>
      </c>
      <c r="F627" s="55">
        <v>-47.124448000000001</v>
      </c>
      <c r="G627" s="55">
        <v>-23.277909000000001</v>
      </c>
      <c r="H627" s="55">
        <v>-46.849068000000003</v>
      </c>
      <c r="I627" s="55">
        <v>-23.509889999999999</v>
      </c>
      <c r="J627" s="55">
        <v>-46.721870000000003</v>
      </c>
      <c r="L627" s="61" t="str">
        <f t="shared" si="10"/>
        <v>Cliente9-Cliente28</v>
      </c>
      <c r="M627">
        <v>86.573999000000001</v>
      </c>
    </row>
    <row r="628" spans="1:13" x14ac:dyDescent="0.25">
      <c r="A628" s="15" t="s">
        <v>4279</v>
      </c>
      <c r="B628" s="15" t="s">
        <v>4299</v>
      </c>
      <c r="C628" s="52">
        <v>88.836416999999997</v>
      </c>
      <c r="D628" s="25">
        <v>8.6805555555555566E-2</v>
      </c>
      <c r="E628" s="53">
        <v>-22.977492999999999</v>
      </c>
      <c r="F628" s="53">
        <v>-47.112698000000002</v>
      </c>
      <c r="G628" s="53">
        <v>-23.294824999999999</v>
      </c>
      <c r="H628" s="53">
        <v>-46.842072999999999</v>
      </c>
      <c r="I628" s="53">
        <v>-23.513237</v>
      </c>
      <c r="J628" s="53">
        <v>-46.680382999999999</v>
      </c>
      <c r="L628" s="61" t="str">
        <f t="shared" si="10"/>
        <v>Cliente9-Cliente29</v>
      </c>
      <c r="M628">
        <v>88.836416999999997</v>
      </c>
    </row>
    <row r="629" spans="1:13" x14ac:dyDescent="0.25">
      <c r="A629" s="15" t="s">
        <v>4279</v>
      </c>
      <c r="B629" s="15" t="s">
        <v>4300</v>
      </c>
      <c r="C629" s="54">
        <v>92.895846000000006</v>
      </c>
      <c r="D629" s="26">
        <v>9.5833333333333326E-2</v>
      </c>
      <c r="E629" s="55">
        <v>-23.007037</v>
      </c>
      <c r="F629" s="55">
        <v>-47.095286999999999</v>
      </c>
      <c r="G629" s="55">
        <v>-23.340226000000001</v>
      </c>
      <c r="H629" s="55">
        <v>-46.820233000000002</v>
      </c>
      <c r="I629" s="55">
        <v>-23.549990999999999</v>
      </c>
      <c r="J629" s="55">
        <v>-46.62735</v>
      </c>
      <c r="L629" s="61" t="str">
        <f t="shared" si="10"/>
        <v>Cliente9-Cliente30</v>
      </c>
      <c r="M629">
        <v>92.895846000000006</v>
      </c>
    </row>
    <row r="630" spans="1:13" x14ac:dyDescent="0.25">
      <c r="A630" s="15" t="s">
        <v>4279</v>
      </c>
      <c r="B630" s="15" t="s">
        <v>4301</v>
      </c>
      <c r="C630" s="52">
        <v>78.298557000000002</v>
      </c>
      <c r="D630" s="25">
        <v>7.2222222222222229E-2</v>
      </c>
      <c r="E630" s="53">
        <v>-22.943541</v>
      </c>
      <c r="F630" s="53">
        <v>-47.126103999999998</v>
      </c>
      <c r="G630" s="53">
        <v>-23.262308000000001</v>
      </c>
      <c r="H630" s="53">
        <v>-46.866601000000003</v>
      </c>
      <c r="I630" s="53">
        <v>-23.481296</v>
      </c>
      <c r="J630" s="53">
        <v>-46.738042999999998</v>
      </c>
      <c r="L630" s="61" t="str">
        <f t="shared" si="10"/>
        <v>Cliente9-Cliente31</v>
      </c>
      <c r="M630">
        <v>78.298557000000002</v>
      </c>
    </row>
    <row r="631" spans="1:13" x14ac:dyDescent="0.25">
      <c r="A631" s="15" t="s">
        <v>4279</v>
      </c>
      <c r="B631" s="15" t="s">
        <v>4302</v>
      </c>
      <c r="C631" s="54">
        <v>73.761915000000002</v>
      </c>
      <c r="D631" s="26">
        <v>6.805555555555555E-2</v>
      </c>
      <c r="E631" s="55">
        <v>-22.940014999999999</v>
      </c>
      <c r="F631" s="55">
        <v>-47.126449999999998</v>
      </c>
      <c r="G631" s="55">
        <v>-23.255313000000001</v>
      </c>
      <c r="H631" s="55">
        <v>-46.870173000000001</v>
      </c>
      <c r="I631" s="55">
        <v>-23.445903000000001</v>
      </c>
      <c r="J631" s="55">
        <v>-46.779777000000003</v>
      </c>
      <c r="L631" s="61" t="str">
        <f t="shared" si="10"/>
        <v>Cliente9-Cliente32</v>
      </c>
      <c r="M631">
        <v>73.761915000000002</v>
      </c>
    </row>
    <row r="632" spans="1:13" x14ac:dyDescent="0.25">
      <c r="A632" s="15" t="s">
        <v>4279</v>
      </c>
      <c r="B632" s="15" t="s">
        <v>4303</v>
      </c>
      <c r="C632" s="52">
        <v>86.919483</v>
      </c>
      <c r="D632" s="25">
        <v>7.9861111111111105E-2</v>
      </c>
      <c r="E632" s="53">
        <v>-22.960871999999998</v>
      </c>
      <c r="F632" s="53">
        <v>-47.124448000000001</v>
      </c>
      <c r="G632" s="53">
        <v>-23.277909000000001</v>
      </c>
      <c r="H632" s="53">
        <v>-46.849068000000003</v>
      </c>
      <c r="I632" s="53">
        <v>-23.508852999999998</v>
      </c>
      <c r="J632" s="53">
        <v>-46.717042999999997</v>
      </c>
      <c r="L632" s="61" t="str">
        <f t="shared" si="10"/>
        <v>Cliente9-Cliente33</v>
      </c>
      <c r="M632">
        <v>86.919483</v>
      </c>
    </row>
    <row r="633" spans="1:13" x14ac:dyDescent="0.25">
      <c r="A633" s="15" t="s">
        <v>4279</v>
      </c>
      <c r="B633" s="15" t="s">
        <v>4304</v>
      </c>
      <c r="C633" s="54">
        <v>69.635378000000003</v>
      </c>
      <c r="D633" s="26">
        <v>6.7361111111111108E-2</v>
      </c>
      <c r="E633" s="55">
        <v>-22.988553</v>
      </c>
      <c r="F633" s="55">
        <v>-47.111597000000003</v>
      </c>
      <c r="G633" s="55">
        <v>-23.291951999999998</v>
      </c>
      <c r="H633" s="55">
        <v>-46.866529</v>
      </c>
      <c r="I633" s="55">
        <v>-23.415492</v>
      </c>
      <c r="J633" s="55">
        <v>-46.821786000000003</v>
      </c>
      <c r="L633" s="61" t="str">
        <f t="shared" si="10"/>
        <v>Cliente9-Cliente34</v>
      </c>
      <c r="M633">
        <v>69.635378000000003</v>
      </c>
    </row>
    <row r="634" spans="1:13" x14ac:dyDescent="0.25">
      <c r="A634" s="15" t="s">
        <v>4279</v>
      </c>
      <c r="B634" s="15" t="s">
        <v>4305</v>
      </c>
      <c r="C634" s="52">
        <v>77.306224999999998</v>
      </c>
      <c r="D634" s="25">
        <v>7.013888888888889E-2</v>
      </c>
      <c r="E634" s="53">
        <v>-22.940014999999999</v>
      </c>
      <c r="F634" s="53">
        <v>-47.126449999999998</v>
      </c>
      <c r="G634" s="53">
        <v>-23.255313000000001</v>
      </c>
      <c r="H634" s="53">
        <v>-46.870173000000001</v>
      </c>
      <c r="I634" s="53">
        <v>-23.445812</v>
      </c>
      <c r="J634" s="53">
        <v>-46.779592999999998</v>
      </c>
      <c r="L634" s="61" t="str">
        <f t="shared" si="10"/>
        <v>Cliente9-Cliente35</v>
      </c>
      <c r="M634">
        <v>77.306224999999998</v>
      </c>
    </row>
    <row r="635" spans="1:13" x14ac:dyDescent="0.25">
      <c r="A635" s="15" t="s">
        <v>4279</v>
      </c>
      <c r="B635" s="15" t="s">
        <v>4306</v>
      </c>
      <c r="C635" s="54">
        <v>70.297139999999999</v>
      </c>
      <c r="D635" s="26">
        <v>6.25E-2</v>
      </c>
      <c r="E635" s="55">
        <v>-22.592675</v>
      </c>
      <c r="F635" s="55">
        <v>-47.366796999999998</v>
      </c>
      <c r="G635" s="55">
        <v>-22.413309000000002</v>
      </c>
      <c r="H635" s="55">
        <v>-47.581828999999999</v>
      </c>
      <c r="I635" s="55">
        <v>-22.274010000000001</v>
      </c>
      <c r="J635" s="55">
        <v>-47.699739000000001</v>
      </c>
      <c r="L635" s="61" t="str">
        <f t="shared" si="10"/>
        <v>Cliente9-Cliente36</v>
      </c>
      <c r="M635">
        <v>70.297139999999999</v>
      </c>
    </row>
    <row r="636" spans="1:13" x14ac:dyDescent="0.25">
      <c r="A636" s="15" t="s">
        <v>4279</v>
      </c>
      <c r="B636" s="15" t="s">
        <v>4307</v>
      </c>
      <c r="C636" s="52">
        <v>69.200417999999999</v>
      </c>
      <c r="D636" s="25">
        <v>6.1111111111111116E-2</v>
      </c>
      <c r="E636" s="53">
        <v>-22.5883</v>
      </c>
      <c r="F636" s="53">
        <v>-47.367502000000002</v>
      </c>
      <c r="G636" s="53">
        <v>-22.370388999999999</v>
      </c>
      <c r="H636" s="53">
        <v>-47.624110999999999</v>
      </c>
      <c r="I636" s="53">
        <v>-22.250129999999999</v>
      </c>
      <c r="J636" s="53">
        <v>-47.703864000000003</v>
      </c>
      <c r="L636" s="61" t="str">
        <f t="shared" si="10"/>
        <v>Cliente9-Cliente37</v>
      </c>
      <c r="M636">
        <v>69.200417999999999</v>
      </c>
    </row>
    <row r="637" spans="1:13" x14ac:dyDescent="0.25">
      <c r="A637" s="15" t="s">
        <v>4279</v>
      </c>
      <c r="B637" s="15" t="s">
        <v>4308</v>
      </c>
      <c r="C637" s="54">
        <v>67.423912999999999</v>
      </c>
      <c r="D637" s="26">
        <v>5.9027777777777783E-2</v>
      </c>
      <c r="E637" s="55">
        <v>-22.608166000000001</v>
      </c>
      <c r="F637" s="55">
        <v>-47.360585999999998</v>
      </c>
      <c r="G637" s="55">
        <v>-22.438559000000001</v>
      </c>
      <c r="H637" s="55">
        <v>-47.567847999999998</v>
      </c>
      <c r="I637" s="55">
        <v>-22.277553999999999</v>
      </c>
      <c r="J637" s="55">
        <v>-47.694482999999998</v>
      </c>
      <c r="L637" s="61" t="str">
        <f t="shared" si="10"/>
        <v>Cliente9-Cliente38</v>
      </c>
      <c r="M637">
        <v>67.423912999999999</v>
      </c>
    </row>
    <row r="638" spans="1:13" x14ac:dyDescent="0.25">
      <c r="A638" s="15" t="s">
        <v>4279</v>
      </c>
      <c r="B638" s="15" t="s">
        <v>4309</v>
      </c>
      <c r="C638" s="52">
        <v>141.664906</v>
      </c>
      <c r="D638" s="25">
        <v>0.12222222222222223</v>
      </c>
      <c r="E638" s="53">
        <v>-22.928719000000001</v>
      </c>
      <c r="F638" s="53">
        <v>-46.913853000000003</v>
      </c>
      <c r="G638" s="53">
        <v>-23.165928000000001</v>
      </c>
      <c r="H638" s="53">
        <v>-46.403331999999999</v>
      </c>
      <c r="I638" s="53">
        <v>-23.257816999999999</v>
      </c>
      <c r="J638" s="53">
        <v>-46.099556999999997</v>
      </c>
      <c r="L638" s="61" t="str">
        <f t="shared" si="10"/>
        <v>Cliente9-Cliente39</v>
      </c>
      <c r="M638">
        <v>141.664906</v>
      </c>
    </row>
    <row r="639" spans="1:13" x14ac:dyDescent="0.25">
      <c r="A639" s="15" t="s">
        <v>4279</v>
      </c>
      <c r="B639" s="15" t="s">
        <v>4310</v>
      </c>
      <c r="C639" s="54">
        <v>143.226416</v>
      </c>
      <c r="D639" s="26">
        <v>0.12569444444444444</v>
      </c>
      <c r="E639" s="55">
        <v>-22.928616000000002</v>
      </c>
      <c r="F639" s="55">
        <v>-46.909415000000003</v>
      </c>
      <c r="G639" s="55">
        <v>-23.171236</v>
      </c>
      <c r="H639" s="55">
        <v>-46.390194999999999</v>
      </c>
      <c r="I639" s="55">
        <v>-23.257635000000001</v>
      </c>
      <c r="J639" s="55">
        <v>-46.090425000000003</v>
      </c>
      <c r="L639" s="61" t="str">
        <f t="shared" si="10"/>
        <v>Cliente9-Cliente40</v>
      </c>
      <c r="M639">
        <v>143.226416</v>
      </c>
    </row>
    <row r="640" spans="1:13" x14ac:dyDescent="0.25">
      <c r="A640" s="15" t="s">
        <v>4279</v>
      </c>
      <c r="B640" s="15" t="s">
        <v>4311</v>
      </c>
      <c r="C640" s="52">
        <v>132.52016399999999</v>
      </c>
      <c r="D640" s="25">
        <v>0.11666666666666665</v>
      </c>
      <c r="E640" s="53">
        <v>-22.928431</v>
      </c>
      <c r="F640" s="53">
        <v>-46.912469999999999</v>
      </c>
      <c r="G640" s="53">
        <v>-23.168109999999999</v>
      </c>
      <c r="H640" s="53">
        <v>-46.394799999999996</v>
      </c>
      <c r="I640" s="53">
        <v>-23.259084000000001</v>
      </c>
      <c r="J640" s="53">
        <v>-46.096460999999998</v>
      </c>
      <c r="L640" s="61" t="str">
        <f t="shared" si="10"/>
        <v>Cliente9-Cliente41</v>
      </c>
      <c r="M640">
        <v>132.52016399999999</v>
      </c>
    </row>
    <row r="641" spans="1:13" x14ac:dyDescent="0.25">
      <c r="A641" s="15" t="s">
        <v>4279</v>
      </c>
      <c r="B641" s="15" t="s">
        <v>4312</v>
      </c>
      <c r="C641" s="54" t="s">
        <v>7280</v>
      </c>
      <c r="D641" s="26">
        <v>0.10902777777777778</v>
      </c>
      <c r="E641" s="55">
        <v>-22.927520000000001</v>
      </c>
      <c r="F641" s="55">
        <v>-46.941733999999997</v>
      </c>
      <c r="G641" s="55">
        <v>-23.120362</v>
      </c>
      <c r="H641" s="55">
        <v>-46.474874999999997</v>
      </c>
      <c r="I641" s="55">
        <v>-23.199383000000001</v>
      </c>
      <c r="J641" s="55">
        <v>-46.177847999999997</v>
      </c>
      <c r="L641" s="61" t="str">
        <f t="shared" si="10"/>
        <v>Cliente9-Cliente42</v>
      </c>
      <c r="M641" t="s">
        <v>7280</v>
      </c>
    </row>
    <row r="642" spans="1:13" x14ac:dyDescent="0.25">
      <c r="A642" s="15" t="s">
        <v>4279</v>
      </c>
      <c r="B642" s="15" t="s">
        <v>4313</v>
      </c>
      <c r="C642" s="52">
        <v>147.90659500000001</v>
      </c>
      <c r="D642" s="25">
        <v>0.1277777777777778</v>
      </c>
      <c r="E642" s="53">
        <v>-22.935320999999998</v>
      </c>
      <c r="F642" s="53">
        <v>-46.896419999999999</v>
      </c>
      <c r="G642" s="53">
        <v>-23.185680999999999</v>
      </c>
      <c r="H642" s="53">
        <v>-46.367556</v>
      </c>
      <c r="I642" s="53">
        <v>-23.263843000000001</v>
      </c>
      <c r="J642" s="53">
        <v>-46.065430999999997</v>
      </c>
      <c r="L642" s="61" t="str">
        <f t="shared" si="10"/>
        <v>Cliente9-Cliente43</v>
      </c>
      <c r="M642">
        <v>147.90659500000001</v>
      </c>
    </row>
    <row r="643" spans="1:13" x14ac:dyDescent="0.25">
      <c r="A643" s="15" t="s">
        <v>4279</v>
      </c>
      <c r="B643" s="15" t="s">
        <v>4314</v>
      </c>
      <c r="C643" s="54">
        <v>82.858189999999993</v>
      </c>
      <c r="D643" s="26">
        <v>7.3611111111111113E-2</v>
      </c>
      <c r="E643" s="55">
        <v>-22.868919000000002</v>
      </c>
      <c r="F643" s="55">
        <v>-47.132246000000002</v>
      </c>
      <c r="G643" s="55">
        <v>-23.15521</v>
      </c>
      <c r="H643" s="55">
        <v>-47.258882999999997</v>
      </c>
      <c r="I643" s="55">
        <v>-23.343387</v>
      </c>
      <c r="J643" s="55">
        <v>-47.530664999999999</v>
      </c>
      <c r="L643" s="61" t="str">
        <f t="shared" si="10"/>
        <v>Cliente9-Cliente44</v>
      </c>
      <c r="M643">
        <v>82.858189999999993</v>
      </c>
    </row>
    <row r="644" spans="1:13" x14ac:dyDescent="0.25">
      <c r="A644" s="15" t="s">
        <v>4279</v>
      </c>
      <c r="B644" s="15" t="s">
        <v>4315</v>
      </c>
      <c r="C644" s="52">
        <v>87.151255000000006</v>
      </c>
      <c r="D644" s="25">
        <v>8.3333333333333329E-2</v>
      </c>
      <c r="E644" s="53">
        <v>-22.89827</v>
      </c>
      <c r="F644" s="53">
        <v>-47.136758999999998</v>
      </c>
      <c r="G644" s="53">
        <v>-23.186143000000001</v>
      </c>
      <c r="H644" s="53">
        <v>-47.311435000000003</v>
      </c>
      <c r="I644" s="53">
        <v>-23.386399000000001</v>
      </c>
      <c r="J644" s="53">
        <v>-47.516049000000002</v>
      </c>
      <c r="L644" s="61" t="str">
        <f t="shared" si="10"/>
        <v>Cliente9-Cliente45</v>
      </c>
      <c r="M644">
        <v>87.151255000000006</v>
      </c>
    </row>
    <row r="645" spans="1:13" x14ac:dyDescent="0.25">
      <c r="A645" s="15" t="s">
        <v>4279</v>
      </c>
      <c r="B645" s="15" t="s">
        <v>4316</v>
      </c>
      <c r="C645" s="54">
        <v>71.631849000000003</v>
      </c>
      <c r="D645" s="26">
        <v>6.7361111111111108E-2</v>
      </c>
      <c r="E645" s="55">
        <v>-22.847170999999999</v>
      </c>
      <c r="F645" s="55">
        <v>-47.163587999999997</v>
      </c>
      <c r="G645" s="55">
        <v>-23.041388999999999</v>
      </c>
      <c r="H645" s="55">
        <v>-47.135691000000001</v>
      </c>
      <c r="I645" s="55">
        <v>-23.331776000000001</v>
      </c>
      <c r="J645" s="55">
        <v>-47.324772000000003</v>
      </c>
      <c r="L645" s="61" t="str">
        <f t="shared" si="10"/>
        <v>Cliente9-Cliente46</v>
      </c>
      <c r="M645">
        <v>71.631849000000003</v>
      </c>
    </row>
    <row r="646" spans="1:13" x14ac:dyDescent="0.25">
      <c r="A646" s="15" t="s">
        <v>4279</v>
      </c>
      <c r="B646" s="15" t="s">
        <v>4317</v>
      </c>
      <c r="C646" s="52">
        <v>116.753452</v>
      </c>
      <c r="D646" s="25">
        <v>9.6527777777777768E-2</v>
      </c>
      <c r="E646" s="53">
        <v>-22.559189</v>
      </c>
      <c r="F646" s="53">
        <v>-47.366807999999999</v>
      </c>
      <c r="G646" s="53">
        <v>-22.228012</v>
      </c>
      <c r="H646" s="53">
        <v>-47.391337</v>
      </c>
      <c r="I646" s="53">
        <v>-21.425222000000002</v>
      </c>
      <c r="J646" s="53">
        <v>-47.655996000000002</v>
      </c>
      <c r="L646" s="61" t="str">
        <f t="shared" si="10"/>
        <v>Cliente9-Cliente47</v>
      </c>
      <c r="M646">
        <v>116.753452</v>
      </c>
    </row>
    <row r="647" spans="1:13" x14ac:dyDescent="0.25">
      <c r="A647" s="15" t="s">
        <v>4279</v>
      </c>
      <c r="B647" s="15" t="s">
        <v>4318</v>
      </c>
      <c r="C647" s="54">
        <v>125.86463999999999</v>
      </c>
      <c r="D647" s="26">
        <v>0.10486111111111111</v>
      </c>
      <c r="E647" s="55">
        <v>-22.490639999999999</v>
      </c>
      <c r="F647" s="55">
        <v>-47.399166999999998</v>
      </c>
      <c r="G647" s="55">
        <v>-21.822977999999999</v>
      </c>
      <c r="H647" s="55">
        <v>-47.495468000000002</v>
      </c>
      <c r="I647" s="55">
        <v>-21.241266</v>
      </c>
      <c r="J647" s="55">
        <v>-47.757837000000002</v>
      </c>
      <c r="L647" s="61" t="str">
        <f t="shared" si="10"/>
        <v>Cliente9-Cliente48</v>
      </c>
      <c r="M647">
        <v>125.86463999999999</v>
      </c>
    </row>
    <row r="648" spans="1:13" x14ac:dyDescent="0.25">
      <c r="A648" s="15" t="s">
        <v>4279</v>
      </c>
      <c r="B648" s="15" t="s">
        <v>4319</v>
      </c>
      <c r="C648" s="52">
        <v>119.502405</v>
      </c>
      <c r="D648" s="25">
        <v>0.10069444444444443</v>
      </c>
      <c r="E648" s="53">
        <v>-22.505500999999999</v>
      </c>
      <c r="F648" s="53">
        <v>-47.398954000000003</v>
      </c>
      <c r="G648" s="53">
        <v>-21.965769000000002</v>
      </c>
      <c r="H648" s="53">
        <v>-47.456730999999998</v>
      </c>
      <c r="I648" s="53">
        <v>-21.339245999999999</v>
      </c>
      <c r="J648" s="53">
        <v>-47.724367999999998</v>
      </c>
      <c r="L648" s="61" t="str">
        <f t="shared" si="10"/>
        <v>Cliente9-Cliente49</v>
      </c>
      <c r="M648">
        <v>119.502405</v>
      </c>
    </row>
    <row r="649" spans="1:13" x14ac:dyDescent="0.25">
      <c r="A649" s="15" t="s">
        <v>4279</v>
      </c>
      <c r="B649" s="15" t="s">
        <v>4320</v>
      </c>
      <c r="C649" s="54">
        <v>144.26038</v>
      </c>
      <c r="D649" s="26">
        <v>0.12361111111111112</v>
      </c>
      <c r="E649" s="55">
        <v>-22.442039999999999</v>
      </c>
      <c r="F649" s="55">
        <v>-47.565506999999997</v>
      </c>
      <c r="G649" s="55">
        <v>-22.268704</v>
      </c>
      <c r="H649" s="55">
        <v>-47.936233000000001</v>
      </c>
      <c r="I649" s="55">
        <v>-22.268343999999999</v>
      </c>
      <c r="J649" s="55">
        <v>-48.398257000000001</v>
      </c>
      <c r="L649" s="61" t="str">
        <f t="shared" si="10"/>
        <v>Cliente9-Cliente50</v>
      </c>
      <c r="M649">
        <v>144.26038</v>
      </c>
    </row>
    <row r="650" spans="1:13" x14ac:dyDescent="0.25">
      <c r="A650" s="15" t="s">
        <v>4279</v>
      </c>
      <c r="B650" s="15" t="s">
        <v>4321</v>
      </c>
      <c r="C650" s="52">
        <v>144.07956100000001</v>
      </c>
      <c r="D650" s="25">
        <v>0.12222222222222223</v>
      </c>
      <c r="E650" s="53">
        <v>-22.44848</v>
      </c>
      <c r="F650" s="53">
        <v>-47.55979</v>
      </c>
      <c r="G650" s="53">
        <v>-22.263148999999999</v>
      </c>
      <c r="H650" s="53">
        <v>-47.899509000000002</v>
      </c>
      <c r="I650" s="53">
        <v>-22.266258000000001</v>
      </c>
      <c r="J650" s="53">
        <v>-48.384376000000003</v>
      </c>
      <c r="L650" s="61" t="str">
        <f t="shared" si="10"/>
        <v>Cliente9-Cliente51</v>
      </c>
      <c r="M650">
        <v>144.07956100000001</v>
      </c>
    </row>
    <row r="651" spans="1:13" x14ac:dyDescent="0.25">
      <c r="A651" s="15" t="s">
        <v>4280</v>
      </c>
      <c r="B651" s="15" t="s">
        <v>4268</v>
      </c>
      <c r="C651" s="54">
        <v>60.919383000000003</v>
      </c>
      <c r="D651" s="26">
        <v>5.8333333333333327E-2</v>
      </c>
      <c r="E651" s="55">
        <v>-23.508610999999998</v>
      </c>
      <c r="F651" s="55">
        <v>-46.720436999999997</v>
      </c>
      <c r="G651" s="55">
        <v>-23.501550999999999</v>
      </c>
      <c r="H651" s="55">
        <v>-46.981884999999998</v>
      </c>
      <c r="I651" s="55">
        <v>-23.421302000000001</v>
      </c>
      <c r="J651" s="55">
        <v>-47.247945999999999</v>
      </c>
      <c r="L651" s="61" t="str">
        <f t="shared" si="10"/>
        <v>Cliente10-depósito A</v>
      </c>
      <c r="M651">
        <v>60.919383000000003</v>
      </c>
    </row>
    <row r="652" spans="1:13" x14ac:dyDescent="0.25">
      <c r="A652" s="15" t="s">
        <v>4280</v>
      </c>
      <c r="B652" s="15" t="s">
        <v>4269</v>
      </c>
      <c r="C652" s="52">
        <v>166.59003100000001</v>
      </c>
      <c r="D652" s="25">
        <v>0.14027777777777778</v>
      </c>
      <c r="E652" s="53">
        <v>-23.314222000000001</v>
      </c>
      <c r="F652" s="53">
        <v>-46.824288000000003</v>
      </c>
      <c r="G652" s="53">
        <v>-22.921287</v>
      </c>
      <c r="H652" s="53">
        <v>-47.132606000000003</v>
      </c>
      <c r="I652" s="53">
        <v>-22.457250999999999</v>
      </c>
      <c r="J652" s="53">
        <v>-47.547359999999998</v>
      </c>
      <c r="L652" s="61" t="str">
        <f t="shared" si="10"/>
        <v>Cliente10-depósito B</v>
      </c>
      <c r="M652">
        <v>166.59003100000001</v>
      </c>
    </row>
    <row r="653" spans="1:13" x14ac:dyDescent="0.25">
      <c r="A653" s="15" t="s">
        <v>4280</v>
      </c>
      <c r="B653" s="15" t="s">
        <v>4270</v>
      </c>
      <c r="C653" s="54">
        <v>55.425826999999998</v>
      </c>
      <c r="D653" s="26">
        <v>5.6944444444444443E-2</v>
      </c>
      <c r="E653" s="55">
        <v>-23.513911</v>
      </c>
      <c r="F653" s="55">
        <v>-46.679315000000003</v>
      </c>
      <c r="G653" s="55">
        <v>-23.413406999999999</v>
      </c>
      <c r="H653" s="55">
        <v>-46.360911000000002</v>
      </c>
      <c r="I653" s="55">
        <v>-23.352357999999999</v>
      </c>
      <c r="J653" s="55">
        <v>-46.181800000000003</v>
      </c>
      <c r="L653" s="61" t="str">
        <f t="shared" si="10"/>
        <v>Cliente10-depósito C</v>
      </c>
      <c r="M653">
        <v>55.425826999999998</v>
      </c>
    </row>
    <row r="654" spans="1:13" x14ac:dyDescent="0.25">
      <c r="A654" s="15" t="s">
        <v>4280</v>
      </c>
      <c r="B654" s="15" t="s">
        <v>4271</v>
      </c>
      <c r="C654" s="52">
        <v>56.675407</v>
      </c>
      <c r="D654" s="25">
        <v>5.486111111111111E-2</v>
      </c>
      <c r="E654" s="53">
        <v>-23.481657999999999</v>
      </c>
      <c r="F654" s="53">
        <v>-46.737855000000003</v>
      </c>
      <c r="G654" s="53">
        <v>-23.294875000000001</v>
      </c>
      <c r="H654" s="53">
        <v>-46.841742000000004</v>
      </c>
      <c r="I654" s="53">
        <v>-23.070166</v>
      </c>
      <c r="J654" s="53">
        <v>-47.030828</v>
      </c>
      <c r="L654" s="61" t="str">
        <f t="shared" si="10"/>
        <v>Cliente10-Cliente1</v>
      </c>
      <c r="M654">
        <v>56.675407</v>
      </c>
    </row>
    <row r="655" spans="1:13" x14ac:dyDescent="0.25">
      <c r="A655" s="15" t="s">
        <v>4280</v>
      </c>
      <c r="B655" s="15" t="s">
        <v>4272</v>
      </c>
      <c r="C655" s="54">
        <v>60.443412000000002</v>
      </c>
      <c r="D655" s="26">
        <v>6.0416666666666667E-2</v>
      </c>
      <c r="E655" s="55">
        <v>-23.474118000000001</v>
      </c>
      <c r="F655" s="55">
        <v>-46.746462000000001</v>
      </c>
      <c r="G655" s="55">
        <v>-23.267243000000001</v>
      </c>
      <c r="H655" s="55">
        <v>-46.858772999999999</v>
      </c>
      <c r="I655" s="55">
        <v>-22.997216999999999</v>
      </c>
      <c r="J655" s="55">
        <v>-47.103482999999997</v>
      </c>
      <c r="L655" s="61" t="str">
        <f t="shared" si="10"/>
        <v>Cliente10-Cliente2</v>
      </c>
      <c r="M655">
        <v>60.443412000000002</v>
      </c>
    </row>
    <row r="656" spans="1:13" x14ac:dyDescent="0.25">
      <c r="A656" s="15" t="s">
        <v>4280</v>
      </c>
      <c r="B656" s="15" t="s">
        <v>4273</v>
      </c>
      <c r="C656" s="52">
        <v>58.422707000000003</v>
      </c>
      <c r="D656" s="25">
        <v>5.7638888888888885E-2</v>
      </c>
      <c r="E656" s="53">
        <v>-23.478793</v>
      </c>
      <c r="F656" s="53">
        <v>-46.738995000000003</v>
      </c>
      <c r="G656" s="53">
        <v>-23.287818999999999</v>
      </c>
      <c r="H656" s="53">
        <v>-46.847408000000001</v>
      </c>
      <c r="I656" s="53">
        <v>-23.039894</v>
      </c>
      <c r="J656" s="53">
        <v>-47.066622000000002</v>
      </c>
      <c r="L656" s="61" t="str">
        <f t="shared" si="10"/>
        <v>Cliente10-Cliente3</v>
      </c>
      <c r="M656">
        <v>58.422707000000003</v>
      </c>
    </row>
    <row r="657" spans="1:13" x14ac:dyDescent="0.25">
      <c r="A657" s="15" t="s">
        <v>4280</v>
      </c>
      <c r="B657" s="15" t="s">
        <v>4274</v>
      </c>
      <c r="C657" s="54">
        <v>68.579666000000003</v>
      </c>
      <c r="D657" s="26">
        <v>6.458333333333334E-2</v>
      </c>
      <c r="E657" s="55">
        <v>-23.463417</v>
      </c>
      <c r="F657" s="55">
        <v>-46.751761000000002</v>
      </c>
      <c r="G657" s="55">
        <v>-23.248270999999999</v>
      </c>
      <c r="H657" s="55">
        <v>-46.877733999999997</v>
      </c>
      <c r="I657" s="55">
        <v>-22.988741000000001</v>
      </c>
      <c r="J657" s="55">
        <v>-47.058788</v>
      </c>
      <c r="L657" s="61" t="str">
        <f t="shared" si="10"/>
        <v>Cliente10-Cliente4</v>
      </c>
      <c r="M657">
        <v>68.579666000000003</v>
      </c>
    </row>
    <row r="658" spans="1:13" x14ac:dyDescent="0.25">
      <c r="A658" s="15" t="s">
        <v>4280</v>
      </c>
      <c r="B658" s="15" t="s">
        <v>4275</v>
      </c>
      <c r="C658" s="52">
        <v>68.672871999999998</v>
      </c>
      <c r="D658" s="25">
        <v>6.458333333333334E-2</v>
      </c>
      <c r="E658" s="53">
        <v>-23.471793000000002</v>
      </c>
      <c r="F658" s="53">
        <v>-46.748151</v>
      </c>
      <c r="G658" s="53">
        <v>-23.255519</v>
      </c>
      <c r="H658" s="53">
        <v>-46.869655999999999</v>
      </c>
      <c r="I658" s="53">
        <v>-23.002777999999999</v>
      </c>
      <c r="J658" s="53">
        <v>-47.081313999999999</v>
      </c>
      <c r="L658" s="61" t="str">
        <f t="shared" ref="L658:L721" si="11">_xlfn.CONCAT(A658,"-",B658)</f>
        <v>Cliente10-Cliente5</v>
      </c>
      <c r="M658">
        <v>68.672871999999998</v>
      </c>
    </row>
    <row r="659" spans="1:13" x14ac:dyDescent="0.25">
      <c r="A659" s="15" t="s">
        <v>4280</v>
      </c>
      <c r="B659" s="15" t="s">
        <v>4276</v>
      </c>
      <c r="C659" s="54">
        <v>51.048256000000002</v>
      </c>
      <c r="D659" s="26">
        <v>5.347222222222222E-2</v>
      </c>
      <c r="E659" s="55">
        <v>-23.480837999999999</v>
      </c>
      <c r="F659" s="55">
        <v>-46.738031999999997</v>
      </c>
      <c r="G659" s="55">
        <v>-23.289812000000001</v>
      </c>
      <c r="H659" s="55">
        <v>-46.846649999999997</v>
      </c>
      <c r="I659" s="55">
        <v>-23.072984000000002</v>
      </c>
      <c r="J659" s="55">
        <v>-46.984844000000002</v>
      </c>
      <c r="L659" s="61" t="str">
        <f t="shared" si="11"/>
        <v>Cliente10-Cliente6</v>
      </c>
      <c r="M659">
        <v>51.048256000000002</v>
      </c>
    </row>
    <row r="660" spans="1:13" x14ac:dyDescent="0.25">
      <c r="A660" s="15" t="s">
        <v>4280</v>
      </c>
      <c r="B660" s="15" t="s">
        <v>4277</v>
      </c>
      <c r="C660" s="52">
        <v>55.766339000000002</v>
      </c>
      <c r="D660" s="25">
        <v>5.4166666666666669E-2</v>
      </c>
      <c r="E660" s="53">
        <v>-23.494568999999998</v>
      </c>
      <c r="F660" s="53">
        <v>-46.731493999999998</v>
      </c>
      <c r="G660" s="53">
        <v>-23.311568999999999</v>
      </c>
      <c r="H660" s="53">
        <v>-46.827970999999998</v>
      </c>
      <c r="I660" s="53">
        <v>-23.114035000000001</v>
      </c>
      <c r="J660" s="53">
        <v>-46.998390000000001</v>
      </c>
      <c r="L660" s="61" t="str">
        <f t="shared" si="11"/>
        <v>Cliente10-Cliente7</v>
      </c>
      <c r="M660">
        <v>55.766339000000002</v>
      </c>
    </row>
    <row r="661" spans="1:13" x14ac:dyDescent="0.25">
      <c r="A661" s="15" t="s">
        <v>4280</v>
      </c>
      <c r="B661" s="15" t="s">
        <v>4278</v>
      </c>
      <c r="C661" s="54">
        <v>64.796127999999996</v>
      </c>
      <c r="D661" s="26">
        <v>6.1805555555555558E-2</v>
      </c>
      <c r="E661" s="55">
        <v>-23.462112000000001</v>
      </c>
      <c r="F661" s="55">
        <v>-46.752139999999997</v>
      </c>
      <c r="G661" s="55">
        <v>-23.245958000000002</v>
      </c>
      <c r="H661" s="55">
        <v>-46.880012999999998</v>
      </c>
      <c r="I661" s="55">
        <v>-22.986733000000001</v>
      </c>
      <c r="J661" s="55">
        <v>-47.054166000000002</v>
      </c>
      <c r="L661" s="61" t="str">
        <f t="shared" si="11"/>
        <v>Cliente10-Cliente8</v>
      </c>
      <c r="M661">
        <v>64.796127999999996</v>
      </c>
    </row>
    <row r="662" spans="1:13" x14ac:dyDescent="0.25">
      <c r="A662" s="15" t="s">
        <v>4280</v>
      </c>
      <c r="B662" s="15" t="s">
        <v>4279</v>
      </c>
      <c r="C662" s="52">
        <v>76.808504999999997</v>
      </c>
      <c r="D662" s="25">
        <v>7.2916666666666671E-2</v>
      </c>
      <c r="E662" s="53">
        <v>-23.462112000000001</v>
      </c>
      <c r="F662" s="53">
        <v>-46.752139999999997</v>
      </c>
      <c r="G662" s="53">
        <v>-23.248270999999999</v>
      </c>
      <c r="H662" s="53">
        <v>-46.877733999999997</v>
      </c>
      <c r="I662" s="53">
        <v>-22.955929000000001</v>
      </c>
      <c r="J662" s="53">
        <v>-47.125571000000001</v>
      </c>
      <c r="L662" s="61" t="str">
        <f t="shared" si="11"/>
        <v>Cliente10-Cliente9</v>
      </c>
      <c r="M662">
        <v>76.808504999999997</v>
      </c>
    </row>
    <row r="663" spans="1:13" x14ac:dyDescent="0.25">
      <c r="A663" s="15" t="s">
        <v>4280</v>
      </c>
      <c r="B663" s="15" t="s">
        <v>4280</v>
      </c>
      <c r="C663" s="54">
        <v>0</v>
      </c>
      <c r="D663" s="26">
        <v>0</v>
      </c>
      <c r="E663" s="55">
        <f>'1. Locais'!D14</f>
        <v>-23.470839999999999</v>
      </c>
      <c r="F663" s="55">
        <f>'1. Locais'!E14</f>
        <v>-46.649650000000001</v>
      </c>
      <c r="G663" s="55">
        <f>'1. Locais'!D14</f>
        <v>-23.470839999999999</v>
      </c>
      <c r="H663" s="55">
        <f>'1. Locais'!E14</f>
        <v>-46.649650000000001</v>
      </c>
      <c r="I663" s="55">
        <f>'1. Locais'!D14</f>
        <v>-23.470839999999999</v>
      </c>
      <c r="J663" s="55">
        <f>'1. Locais'!E14</f>
        <v>-46.649650000000001</v>
      </c>
      <c r="L663" s="61" t="str">
        <f t="shared" si="11"/>
        <v>Cliente10-Cliente10</v>
      </c>
      <c r="M663">
        <v>0</v>
      </c>
    </row>
    <row r="664" spans="1:13" x14ac:dyDescent="0.25">
      <c r="A664" s="15" t="s">
        <v>4280</v>
      </c>
      <c r="B664" s="15" t="s">
        <v>4281</v>
      </c>
      <c r="C664" s="52">
        <v>94.029850999999994</v>
      </c>
      <c r="D664" s="25">
        <v>8.1250000000000003E-2</v>
      </c>
      <c r="E664" s="53">
        <v>-23.400037999999999</v>
      </c>
      <c r="F664" s="53">
        <v>-46.767743000000003</v>
      </c>
      <c r="G664" s="53">
        <v>-23.146086</v>
      </c>
      <c r="H664" s="53">
        <v>-46.964717999999998</v>
      </c>
      <c r="I664" s="53">
        <v>-22.895551999999999</v>
      </c>
      <c r="J664" s="53">
        <v>-47.225304000000001</v>
      </c>
      <c r="L664" s="61" t="str">
        <f t="shared" si="11"/>
        <v>Cliente10-Cliente11</v>
      </c>
      <c r="M664">
        <v>94.029850999999994</v>
      </c>
    </row>
    <row r="665" spans="1:13" x14ac:dyDescent="0.25">
      <c r="A665" s="15" t="s">
        <v>4280</v>
      </c>
      <c r="B665" s="15" t="s">
        <v>4282</v>
      </c>
      <c r="C665" s="54">
        <v>54.467049000000003</v>
      </c>
      <c r="D665" s="26">
        <v>5.6944444444444443E-2</v>
      </c>
      <c r="E665" s="55">
        <v>-23.514948</v>
      </c>
      <c r="F665" s="55">
        <v>-46.674788999999997</v>
      </c>
      <c r="G665" s="55">
        <v>-23.409220999999999</v>
      </c>
      <c r="H665" s="55">
        <v>-46.341467999999999</v>
      </c>
      <c r="I665" s="55">
        <v>-23.340577</v>
      </c>
      <c r="J665" s="55">
        <v>-46.153419</v>
      </c>
      <c r="L665" s="61" t="str">
        <f t="shared" si="11"/>
        <v>Cliente10-Cliente12</v>
      </c>
      <c r="M665">
        <v>54.467049000000003</v>
      </c>
    </row>
    <row r="666" spans="1:13" x14ac:dyDescent="0.25">
      <c r="A666" s="15" t="s">
        <v>4280</v>
      </c>
      <c r="B666" s="15" t="s">
        <v>4283</v>
      </c>
      <c r="C666" s="52">
        <v>62.351025999999997</v>
      </c>
      <c r="D666" s="25">
        <v>6.25E-2</v>
      </c>
      <c r="E666" s="53">
        <v>-23.516957999999999</v>
      </c>
      <c r="F666" s="53">
        <v>-46.657367999999998</v>
      </c>
      <c r="G666" s="53">
        <v>-23.399701</v>
      </c>
      <c r="H666" s="53">
        <v>-46.301403999999998</v>
      </c>
      <c r="I666" s="53">
        <v>-23.31493</v>
      </c>
      <c r="J666" s="53">
        <v>-46.070214999999997</v>
      </c>
      <c r="L666" s="61" t="str">
        <f t="shared" si="11"/>
        <v>Cliente10-Cliente13</v>
      </c>
      <c r="M666">
        <v>62.351025999999997</v>
      </c>
    </row>
    <row r="667" spans="1:13" x14ac:dyDescent="0.25">
      <c r="A667" s="15" t="s">
        <v>4280</v>
      </c>
      <c r="B667" s="15" t="s">
        <v>4284</v>
      </c>
      <c r="C667" s="54">
        <v>60.413586000000002</v>
      </c>
      <c r="D667" s="26">
        <v>5.9722222222222225E-2</v>
      </c>
      <c r="E667" s="55">
        <v>-23.513428999999999</v>
      </c>
      <c r="F667" s="55">
        <v>-46.680231999999997</v>
      </c>
      <c r="G667" s="55">
        <v>-23.415749999999999</v>
      </c>
      <c r="H667" s="55">
        <v>-46.369974999999997</v>
      </c>
      <c r="I667" s="55">
        <v>-23.351811999999999</v>
      </c>
      <c r="J667" s="55">
        <v>-46.188622000000002</v>
      </c>
      <c r="L667" s="61" t="str">
        <f t="shared" si="11"/>
        <v>Cliente10-Cliente14</v>
      </c>
      <c r="M667">
        <v>60.413586000000002</v>
      </c>
    </row>
    <row r="668" spans="1:13" x14ac:dyDescent="0.25">
      <c r="A668" s="15" t="s">
        <v>4280</v>
      </c>
      <c r="B668" s="15" t="s">
        <v>4285</v>
      </c>
      <c r="C668" s="52">
        <v>62.792200999999999</v>
      </c>
      <c r="D668" s="25">
        <v>6.5972222222222224E-2</v>
      </c>
      <c r="E668" s="53">
        <v>-23.516957999999999</v>
      </c>
      <c r="F668" s="53">
        <v>-46.657367999999998</v>
      </c>
      <c r="G668" s="53">
        <v>-23.399701</v>
      </c>
      <c r="H668" s="53">
        <v>-46.301403999999998</v>
      </c>
      <c r="I668" s="53">
        <v>-23.31493</v>
      </c>
      <c r="J668" s="53">
        <v>-46.070214999999997</v>
      </c>
      <c r="L668" s="61" t="str">
        <f t="shared" si="11"/>
        <v>Cliente10-Cliente15</v>
      </c>
      <c r="M668">
        <v>62.792200999999999</v>
      </c>
    </row>
    <row r="669" spans="1:13" x14ac:dyDescent="0.25">
      <c r="A669" s="15" t="s">
        <v>4280</v>
      </c>
      <c r="B669" s="15" t="s">
        <v>4286</v>
      </c>
      <c r="C669" s="54">
        <v>61.722817999999997</v>
      </c>
      <c r="D669" s="26">
        <v>6.3888888888888884E-2</v>
      </c>
      <c r="E669" s="55">
        <v>-23.517282999999999</v>
      </c>
      <c r="F669" s="55">
        <v>-46.654156999999998</v>
      </c>
      <c r="G669" s="55">
        <v>-23.399701</v>
      </c>
      <c r="H669" s="55">
        <v>-46.301403999999998</v>
      </c>
      <c r="I669" s="55">
        <v>-23.31466</v>
      </c>
      <c r="J669" s="55">
        <v>-46.068956</v>
      </c>
      <c r="L669" s="61" t="str">
        <f t="shared" si="11"/>
        <v>Cliente10-Cliente16</v>
      </c>
      <c r="M669">
        <v>61.722817999999997</v>
      </c>
    </row>
    <row r="670" spans="1:13" x14ac:dyDescent="0.25">
      <c r="A670" s="15" t="s">
        <v>4280</v>
      </c>
      <c r="B670" s="15" t="s">
        <v>4287</v>
      </c>
      <c r="C670" s="52">
        <v>62.778530000000003</v>
      </c>
      <c r="D670" s="25">
        <v>6.25E-2</v>
      </c>
      <c r="E670" s="53">
        <v>-23.516957999999999</v>
      </c>
      <c r="F670" s="53">
        <v>-46.657367999999998</v>
      </c>
      <c r="G670" s="53">
        <v>-23.399701</v>
      </c>
      <c r="H670" s="53">
        <v>-46.301403999999998</v>
      </c>
      <c r="I670" s="53">
        <v>-23.31493</v>
      </c>
      <c r="J670" s="53">
        <v>-46.070214999999997</v>
      </c>
      <c r="L670" s="61" t="str">
        <f t="shared" si="11"/>
        <v>Cliente10-Cliente17</v>
      </c>
      <c r="M670">
        <v>62.778530000000003</v>
      </c>
    </row>
    <row r="671" spans="1:13" x14ac:dyDescent="0.25">
      <c r="A671" s="15" t="s">
        <v>4280</v>
      </c>
      <c r="B671" s="15" t="s">
        <v>4288</v>
      </c>
      <c r="C671" s="54">
        <v>67.606595999999996</v>
      </c>
      <c r="D671" s="26">
        <v>6.7361111111111108E-2</v>
      </c>
      <c r="E671" s="55">
        <v>-23.515491000000001</v>
      </c>
      <c r="F671" s="55">
        <v>-46.670549000000001</v>
      </c>
      <c r="G671" s="55">
        <v>-23.404866999999999</v>
      </c>
      <c r="H671" s="55">
        <v>-46.333517999999998</v>
      </c>
      <c r="I671" s="55">
        <v>-23.323340999999999</v>
      </c>
      <c r="J671" s="55">
        <v>-46.119652000000002</v>
      </c>
      <c r="L671" s="61" t="str">
        <f t="shared" si="11"/>
        <v>Cliente10-Cliente18</v>
      </c>
      <c r="M671">
        <v>67.606595999999996</v>
      </c>
    </row>
    <row r="672" spans="1:13" x14ac:dyDescent="0.25">
      <c r="A672" s="15" t="s">
        <v>4280</v>
      </c>
      <c r="B672" s="15" t="s">
        <v>4289</v>
      </c>
      <c r="C672" s="52">
        <v>5.9807129999999997</v>
      </c>
      <c r="D672" s="25">
        <v>1.3194444444444444E-2</v>
      </c>
      <c r="E672" s="53">
        <v>-23.469360999999999</v>
      </c>
      <c r="F672" s="53">
        <v>-46.664630000000002</v>
      </c>
      <c r="G672" s="53">
        <v>-23.489032999999999</v>
      </c>
      <c r="H672" s="53">
        <v>-46.684466999999998</v>
      </c>
      <c r="I672" s="53">
        <v>-23.510027999999998</v>
      </c>
      <c r="J672" s="53">
        <v>-46.690567000000001</v>
      </c>
      <c r="L672" s="61" t="str">
        <f t="shared" si="11"/>
        <v>Cliente10-Cliente19</v>
      </c>
      <c r="M672">
        <v>5.9807129999999997</v>
      </c>
    </row>
    <row r="673" spans="1:13" x14ac:dyDescent="0.25">
      <c r="A673" s="15" t="s">
        <v>4280</v>
      </c>
      <c r="B673" s="15" t="s">
        <v>4290</v>
      </c>
      <c r="C673" s="54">
        <v>11.224477</v>
      </c>
      <c r="D673" s="26">
        <v>2.1527777777777781E-2</v>
      </c>
      <c r="E673" s="55">
        <v>-23.479911999999999</v>
      </c>
      <c r="F673" s="55">
        <v>-46.673541999999998</v>
      </c>
      <c r="G673" s="55">
        <v>-23.507311000000001</v>
      </c>
      <c r="H673" s="55">
        <v>-46.699936999999998</v>
      </c>
      <c r="I673" s="55">
        <v>-23.517800000000001</v>
      </c>
      <c r="J673" s="55">
        <v>-46.745029000000002</v>
      </c>
      <c r="L673" s="61" t="str">
        <f t="shared" si="11"/>
        <v>Cliente10-Cliente20</v>
      </c>
      <c r="M673">
        <v>11.224477</v>
      </c>
    </row>
    <row r="674" spans="1:13" x14ac:dyDescent="0.25">
      <c r="A674" s="15" t="s">
        <v>4280</v>
      </c>
      <c r="B674" s="15" t="s">
        <v>4291</v>
      </c>
      <c r="C674" s="52">
        <v>9.1335580000000007</v>
      </c>
      <c r="D674" s="25">
        <v>2.1527777777777781E-2</v>
      </c>
      <c r="E674" s="53">
        <v>-23.479907999999998</v>
      </c>
      <c r="F674" s="53">
        <v>-46.673108999999997</v>
      </c>
      <c r="G674" s="53">
        <v>-23.515262</v>
      </c>
      <c r="H674" s="53">
        <v>-46.696280999999999</v>
      </c>
      <c r="I674" s="53">
        <v>-23.529239</v>
      </c>
      <c r="J674" s="53">
        <v>-46.711179999999999</v>
      </c>
      <c r="L674" s="61" t="str">
        <f t="shared" si="11"/>
        <v>Cliente10-Cliente21</v>
      </c>
      <c r="M674">
        <v>9.1335580000000007</v>
      </c>
    </row>
    <row r="675" spans="1:13" x14ac:dyDescent="0.25">
      <c r="A675" s="15" t="s">
        <v>4280</v>
      </c>
      <c r="B675" s="15" t="s">
        <v>4292</v>
      </c>
      <c r="C675" s="54">
        <v>7.3887429999999998</v>
      </c>
      <c r="D675" s="26">
        <v>1.7361111111111112E-2</v>
      </c>
      <c r="E675" s="55">
        <v>-23.474415</v>
      </c>
      <c r="F675" s="55">
        <v>-46.667619999999999</v>
      </c>
      <c r="G675" s="55">
        <v>-23.504936000000001</v>
      </c>
      <c r="H675" s="55">
        <v>-46.688814999999998</v>
      </c>
      <c r="I675" s="55">
        <v>-23.520475000000001</v>
      </c>
      <c r="J675" s="55">
        <v>-46.701925000000003</v>
      </c>
      <c r="L675" s="61" t="str">
        <f t="shared" si="11"/>
        <v>Cliente10-Cliente22</v>
      </c>
      <c r="M675">
        <v>7.3887429999999998</v>
      </c>
    </row>
    <row r="676" spans="1:13" x14ac:dyDescent="0.25">
      <c r="A676" s="15" t="s">
        <v>4280</v>
      </c>
      <c r="B676" s="15" t="s">
        <v>4293</v>
      </c>
      <c r="C676" s="52">
        <v>15.980464</v>
      </c>
      <c r="D676" s="25">
        <v>2.8472222222222222E-2</v>
      </c>
      <c r="E676" s="53">
        <v>-23.496461</v>
      </c>
      <c r="F676" s="53">
        <v>-46.684669999999997</v>
      </c>
      <c r="G676" s="53">
        <v>-23.517199999999999</v>
      </c>
      <c r="H676" s="53">
        <v>-46.732883999999999</v>
      </c>
      <c r="I676" s="53">
        <v>-23.575849000000002</v>
      </c>
      <c r="J676" s="53">
        <v>-46.718555000000002</v>
      </c>
      <c r="L676" s="61" t="str">
        <f t="shared" si="11"/>
        <v>Cliente10-Cliente23</v>
      </c>
      <c r="M676">
        <v>15.980464</v>
      </c>
    </row>
    <row r="677" spans="1:13" x14ac:dyDescent="0.25">
      <c r="A677" s="15" t="s">
        <v>4280</v>
      </c>
      <c r="B677" s="15" t="s">
        <v>4294</v>
      </c>
      <c r="C677" s="54">
        <v>16.959747</v>
      </c>
      <c r="D677" s="26">
        <v>3.0555555555555555E-2</v>
      </c>
      <c r="E677" s="55">
        <v>-23.497202999999999</v>
      </c>
      <c r="F677" s="55">
        <v>-46.684766000000003</v>
      </c>
      <c r="G677" s="55">
        <v>-23.517306999999999</v>
      </c>
      <c r="H677" s="55">
        <v>-46.735199000000001</v>
      </c>
      <c r="I677" s="55">
        <v>-23.576957</v>
      </c>
      <c r="J677" s="55">
        <v>-46.722441000000003</v>
      </c>
      <c r="L677" s="61" t="str">
        <f t="shared" si="11"/>
        <v>Cliente10-Cliente24</v>
      </c>
      <c r="M677">
        <v>16.959747</v>
      </c>
    </row>
    <row r="678" spans="1:13" x14ac:dyDescent="0.25">
      <c r="A678" s="15" t="s">
        <v>4280</v>
      </c>
      <c r="B678" s="15" t="s">
        <v>4295</v>
      </c>
      <c r="C678" s="52">
        <v>18.355972000000001</v>
      </c>
      <c r="D678" s="25">
        <v>3.4722222222222224E-2</v>
      </c>
      <c r="E678" s="53">
        <v>-23.506599000000001</v>
      </c>
      <c r="F678" s="53">
        <v>-46.689483000000003</v>
      </c>
      <c r="G678" s="53">
        <v>-23.543897000000001</v>
      </c>
      <c r="H678" s="53">
        <v>-46.737741</v>
      </c>
      <c r="I678" s="53">
        <v>-23.589994000000001</v>
      </c>
      <c r="J678" s="53">
        <v>-46.735944000000003</v>
      </c>
      <c r="L678" s="61" t="str">
        <f t="shared" si="11"/>
        <v>Cliente10-Cliente25</v>
      </c>
      <c r="M678">
        <v>18.355972000000001</v>
      </c>
    </row>
    <row r="679" spans="1:13" x14ac:dyDescent="0.25">
      <c r="A679" s="15" t="s">
        <v>4280</v>
      </c>
      <c r="B679" s="15" t="s">
        <v>4296</v>
      </c>
      <c r="C679" s="54">
        <v>19.937366000000001</v>
      </c>
      <c r="D679" s="26">
        <v>3.0555555555555555E-2</v>
      </c>
      <c r="E679" s="55">
        <v>-23.507224000000001</v>
      </c>
      <c r="F679" s="55">
        <v>-46.693708000000001</v>
      </c>
      <c r="G679" s="55">
        <v>-23.520171999999999</v>
      </c>
      <c r="H679" s="55">
        <v>-46.776637999999998</v>
      </c>
      <c r="I679" s="55">
        <v>-23.580313</v>
      </c>
      <c r="J679" s="55">
        <v>-46.808782999999998</v>
      </c>
      <c r="L679" s="61" t="str">
        <f t="shared" si="11"/>
        <v>Cliente10-Cliente26</v>
      </c>
      <c r="M679">
        <v>19.937366000000001</v>
      </c>
    </row>
    <row r="680" spans="1:13" x14ac:dyDescent="0.25">
      <c r="A680" s="15" t="s">
        <v>4280</v>
      </c>
      <c r="B680" s="15" t="s">
        <v>4297</v>
      </c>
      <c r="C680" s="52">
        <v>17.759454000000002</v>
      </c>
      <c r="D680" s="25">
        <v>3.125E-2</v>
      </c>
      <c r="E680" s="53">
        <v>-23.497969000000001</v>
      </c>
      <c r="F680" s="53">
        <v>-46.685101000000003</v>
      </c>
      <c r="G680" s="53">
        <v>-23.517136000000001</v>
      </c>
      <c r="H680" s="53">
        <v>-46.742936999999998</v>
      </c>
      <c r="I680" s="53">
        <v>-23.578990999999998</v>
      </c>
      <c r="J680" s="53">
        <v>-46.728216000000003</v>
      </c>
      <c r="L680" s="61" t="str">
        <f t="shared" si="11"/>
        <v>Cliente10-Cliente27</v>
      </c>
      <c r="M680">
        <v>17.759454000000002</v>
      </c>
    </row>
    <row r="681" spans="1:13" x14ac:dyDescent="0.25">
      <c r="A681" s="15" t="s">
        <v>4280</v>
      </c>
      <c r="B681" s="15" t="s">
        <v>4298</v>
      </c>
      <c r="C681" s="54">
        <v>17.322008</v>
      </c>
      <c r="D681" s="26">
        <v>3.6111111111111115E-2</v>
      </c>
      <c r="E681" s="55">
        <v>-23.497111</v>
      </c>
      <c r="F681" s="55">
        <v>-46.627364</v>
      </c>
      <c r="G681" s="55">
        <v>-23.546683999999999</v>
      </c>
      <c r="H681" s="55">
        <v>-46.637746999999997</v>
      </c>
      <c r="I681" s="55">
        <v>-23.617956</v>
      </c>
      <c r="J681" s="55">
        <v>-46.662092999999999</v>
      </c>
      <c r="L681" s="61" t="str">
        <f t="shared" si="11"/>
        <v>Cliente10-Cliente28</v>
      </c>
      <c r="M681">
        <v>17.322008</v>
      </c>
    </row>
    <row r="682" spans="1:13" x14ac:dyDescent="0.25">
      <c r="A682" s="15" t="s">
        <v>4280</v>
      </c>
      <c r="B682" s="15" t="s">
        <v>4299</v>
      </c>
      <c r="C682" s="52">
        <v>20.792995999999999</v>
      </c>
      <c r="D682" s="25">
        <v>3.6805555555555557E-2</v>
      </c>
      <c r="E682" s="53">
        <v>-23.504936000000001</v>
      </c>
      <c r="F682" s="53">
        <v>-46.688814999999998</v>
      </c>
      <c r="G682" s="53">
        <v>-23.53424</v>
      </c>
      <c r="H682" s="53">
        <v>-46.625444000000002</v>
      </c>
      <c r="I682" s="53">
        <v>-23.589763999999999</v>
      </c>
      <c r="J682" s="53">
        <v>-46.598185999999998</v>
      </c>
      <c r="L682" s="61" t="str">
        <f t="shared" si="11"/>
        <v>Cliente10-Cliente29</v>
      </c>
      <c r="M682">
        <v>20.792995999999999</v>
      </c>
    </row>
    <row r="683" spans="1:13" x14ac:dyDescent="0.25">
      <c r="A683" s="15" t="s">
        <v>4280</v>
      </c>
      <c r="B683" s="15" t="s">
        <v>4300</v>
      </c>
      <c r="C683" s="54">
        <v>24.852423999999999</v>
      </c>
      <c r="D683" s="26">
        <v>4.5833333333333337E-2</v>
      </c>
      <c r="E683" s="55">
        <v>-23.510978000000001</v>
      </c>
      <c r="F683" s="55">
        <v>-46.684212000000002</v>
      </c>
      <c r="G683" s="55">
        <v>-23.568655</v>
      </c>
      <c r="H683" s="55">
        <v>-46.608603000000002</v>
      </c>
      <c r="I683" s="55">
        <v>-23.610665000000001</v>
      </c>
      <c r="J683" s="55">
        <v>-46.545079999999999</v>
      </c>
      <c r="L683" s="61" t="str">
        <f t="shared" si="11"/>
        <v>Cliente10-Cliente30</v>
      </c>
      <c r="M683">
        <v>24.852423999999999</v>
      </c>
    </row>
    <row r="684" spans="1:13" x14ac:dyDescent="0.25">
      <c r="A684" s="15" t="s">
        <v>4280</v>
      </c>
      <c r="B684" s="15" t="s">
        <v>4301</v>
      </c>
      <c r="C684" s="52">
        <v>13.939876</v>
      </c>
      <c r="D684" s="25">
        <v>2.7083333333333334E-2</v>
      </c>
      <c r="E684" s="53">
        <v>-23.497202999999999</v>
      </c>
      <c r="F684" s="53">
        <v>-46.684766000000003</v>
      </c>
      <c r="G684" s="53">
        <v>-23.517015000000001</v>
      </c>
      <c r="H684" s="53">
        <v>-46.734730999999996</v>
      </c>
      <c r="I684" s="53">
        <v>-23.520876000000001</v>
      </c>
      <c r="J684" s="53">
        <v>-46.788891999999997</v>
      </c>
      <c r="L684" s="61" t="str">
        <f t="shared" si="11"/>
        <v>Cliente10-Cliente31</v>
      </c>
      <c r="M684">
        <v>13.939876</v>
      </c>
    </row>
    <row r="685" spans="1:13" x14ac:dyDescent="0.25">
      <c r="A685" s="15" t="s">
        <v>4280</v>
      </c>
      <c r="B685" s="15" t="s">
        <v>4302</v>
      </c>
      <c r="C685" s="54">
        <v>8.9813220000000005</v>
      </c>
      <c r="D685" s="26">
        <v>1.9444444444444445E-2</v>
      </c>
      <c r="E685" s="55">
        <v>-23.479685</v>
      </c>
      <c r="F685" s="55">
        <v>-46.673499</v>
      </c>
      <c r="G685" s="55">
        <v>-23.506943</v>
      </c>
      <c r="H685" s="55">
        <v>-46.696184000000002</v>
      </c>
      <c r="I685" s="55">
        <v>-23.508675</v>
      </c>
      <c r="J685" s="55">
        <v>-46.731138000000001</v>
      </c>
      <c r="L685" s="61" t="str">
        <f t="shared" si="11"/>
        <v>Cliente10-Cliente32</v>
      </c>
      <c r="M685">
        <v>8.9813220000000005</v>
      </c>
    </row>
    <row r="686" spans="1:13" x14ac:dyDescent="0.25">
      <c r="A686" s="15" t="s">
        <v>4280</v>
      </c>
      <c r="B686" s="15" t="s">
        <v>4303</v>
      </c>
      <c r="C686" s="52">
        <v>5.7234639999999999</v>
      </c>
      <c r="D686" s="25">
        <v>1.5972222222222224E-2</v>
      </c>
      <c r="E686" s="53">
        <v>-23.466940000000001</v>
      </c>
      <c r="F686" s="53">
        <v>-46.630822999999999</v>
      </c>
      <c r="G686" s="53">
        <v>-23.457756</v>
      </c>
      <c r="H686" s="53">
        <v>-46.617310000000003</v>
      </c>
      <c r="I686" s="53">
        <v>-23.45683</v>
      </c>
      <c r="J686" s="53">
        <v>-46.587009000000002</v>
      </c>
      <c r="L686" s="61" t="str">
        <f t="shared" si="11"/>
        <v>Cliente10-Cliente33</v>
      </c>
      <c r="M686">
        <v>5.7234639999999999</v>
      </c>
    </row>
    <row r="687" spans="1:13" x14ac:dyDescent="0.25">
      <c r="A687" s="15" t="s">
        <v>4280</v>
      </c>
      <c r="B687" s="15" t="s">
        <v>4304</v>
      </c>
      <c r="C687" s="54">
        <v>18.647396000000001</v>
      </c>
      <c r="D687" s="26">
        <v>3.1944444444444449E-2</v>
      </c>
      <c r="E687" s="55">
        <v>-23.507847000000002</v>
      </c>
      <c r="F687" s="55">
        <v>-46.691178000000001</v>
      </c>
      <c r="G687" s="55">
        <v>-23.520738999999999</v>
      </c>
      <c r="H687" s="55">
        <v>-46.766300999999999</v>
      </c>
      <c r="I687" s="55">
        <v>-23.487691000000002</v>
      </c>
      <c r="J687" s="55">
        <v>-46.833959</v>
      </c>
      <c r="L687" s="61" t="str">
        <f t="shared" si="11"/>
        <v>Cliente10-Cliente34</v>
      </c>
      <c r="M687">
        <v>18.647396000000001</v>
      </c>
    </row>
    <row r="688" spans="1:13" x14ac:dyDescent="0.25">
      <c r="A688" s="15" t="s">
        <v>4280</v>
      </c>
      <c r="B688" s="15" t="s">
        <v>4305</v>
      </c>
      <c r="C688" s="52">
        <v>19.243292</v>
      </c>
      <c r="D688" s="25">
        <v>3.125E-2</v>
      </c>
      <c r="E688" s="53">
        <v>-23.506599000000001</v>
      </c>
      <c r="F688" s="53">
        <v>-46.689483000000003</v>
      </c>
      <c r="G688" s="53">
        <v>-23.524705000000001</v>
      </c>
      <c r="H688" s="53">
        <v>-46.753509999999999</v>
      </c>
      <c r="I688" s="53">
        <v>-23.492267999999999</v>
      </c>
      <c r="J688" s="53">
        <v>-46.852657000000001</v>
      </c>
      <c r="L688" s="61" t="str">
        <f t="shared" si="11"/>
        <v>Cliente10-Cliente35</v>
      </c>
      <c r="M688">
        <v>19.243292</v>
      </c>
    </row>
    <row r="689" spans="1:13" x14ac:dyDescent="0.25">
      <c r="A689" s="15" t="s">
        <v>4280</v>
      </c>
      <c r="B689" s="15" t="s">
        <v>4306</v>
      </c>
      <c r="C689" s="54">
        <v>143.52591699999999</v>
      </c>
      <c r="D689" s="26">
        <v>0.125</v>
      </c>
      <c r="E689" s="55">
        <v>-23.315545</v>
      </c>
      <c r="F689" s="55">
        <v>-46.823692000000001</v>
      </c>
      <c r="G689" s="55">
        <v>-22.924923</v>
      </c>
      <c r="H689" s="55">
        <v>-47.130077</v>
      </c>
      <c r="I689" s="55">
        <v>-22.461689</v>
      </c>
      <c r="J689" s="55">
        <v>-47.529431000000002</v>
      </c>
      <c r="L689" s="61" t="str">
        <f t="shared" si="11"/>
        <v>Cliente10-Cliente36</v>
      </c>
      <c r="M689">
        <v>143.52591699999999</v>
      </c>
    </row>
    <row r="690" spans="1:13" x14ac:dyDescent="0.25">
      <c r="A690" s="15" t="s">
        <v>4280</v>
      </c>
      <c r="B690" s="15" t="s">
        <v>4307</v>
      </c>
      <c r="C690" s="52">
        <v>142.42919499999999</v>
      </c>
      <c r="D690" s="25">
        <v>0.12361111111111112</v>
      </c>
      <c r="E690" s="53">
        <v>-23.314222000000001</v>
      </c>
      <c r="F690" s="53">
        <v>-46.824288000000003</v>
      </c>
      <c r="G690" s="53">
        <v>-22.921287</v>
      </c>
      <c r="H690" s="53">
        <v>-47.132606000000003</v>
      </c>
      <c r="I690" s="53">
        <v>-22.457250999999999</v>
      </c>
      <c r="J690" s="53">
        <v>-47.547359999999998</v>
      </c>
      <c r="L690" s="61" t="str">
        <f t="shared" si="11"/>
        <v>Cliente10-Cliente37</v>
      </c>
      <c r="M690">
        <v>142.42919499999999</v>
      </c>
    </row>
    <row r="691" spans="1:13" x14ac:dyDescent="0.25">
      <c r="A691" s="15" t="s">
        <v>4280</v>
      </c>
      <c r="B691" s="15" t="s">
        <v>4308</v>
      </c>
      <c r="C691" s="54">
        <v>140.65269000000001</v>
      </c>
      <c r="D691" s="26">
        <v>0.12152777777777778</v>
      </c>
      <c r="E691" s="55">
        <v>-23.333337</v>
      </c>
      <c r="F691" s="55">
        <v>-46.822927999999997</v>
      </c>
      <c r="G691" s="55">
        <v>-22.941772</v>
      </c>
      <c r="H691" s="55">
        <v>-47.125838000000002</v>
      </c>
      <c r="I691" s="55">
        <v>-22.502528999999999</v>
      </c>
      <c r="J691" s="55">
        <v>-47.398642000000002</v>
      </c>
      <c r="L691" s="61" t="str">
        <f t="shared" si="11"/>
        <v>Cliente10-Cliente38</v>
      </c>
      <c r="M691">
        <v>140.65269000000001</v>
      </c>
    </row>
    <row r="692" spans="1:13" x14ac:dyDescent="0.25">
      <c r="A692" s="15" t="s">
        <v>4280</v>
      </c>
      <c r="B692" s="15" t="s">
        <v>4309</v>
      </c>
      <c r="C692" s="52">
        <v>88.612723000000003</v>
      </c>
      <c r="D692" s="25">
        <v>8.6805555555555566E-2</v>
      </c>
      <c r="E692" s="53">
        <v>-23.519262999999999</v>
      </c>
      <c r="F692" s="53">
        <v>-46.620029000000002</v>
      </c>
      <c r="G692" s="53">
        <v>-23.376194000000002</v>
      </c>
      <c r="H692" s="53">
        <v>-46.247435000000003</v>
      </c>
      <c r="I692" s="53">
        <v>-23.259274000000001</v>
      </c>
      <c r="J692" s="53">
        <v>-45.949660999999999</v>
      </c>
      <c r="L692" s="61" t="str">
        <f t="shared" si="11"/>
        <v>Cliente10-Cliente39</v>
      </c>
      <c r="M692">
        <v>88.612723000000003</v>
      </c>
    </row>
    <row r="693" spans="1:13" x14ac:dyDescent="0.25">
      <c r="A693" s="15" t="s">
        <v>4280</v>
      </c>
      <c r="B693" s="15" t="s">
        <v>4310</v>
      </c>
      <c r="C693" s="54">
        <v>90.174233000000001</v>
      </c>
      <c r="D693" s="26">
        <v>9.0277777777777776E-2</v>
      </c>
      <c r="E693" s="55">
        <v>-23.519772</v>
      </c>
      <c r="F693" s="55">
        <v>-46.616872000000001</v>
      </c>
      <c r="G693" s="55">
        <v>-23.369716</v>
      </c>
      <c r="H693" s="55">
        <v>-46.240248999999999</v>
      </c>
      <c r="I693" s="55">
        <v>-23.197711000000002</v>
      </c>
      <c r="J693" s="55">
        <v>-45.875824000000001</v>
      </c>
      <c r="L693" s="61" t="str">
        <f t="shared" si="11"/>
        <v>Cliente10-Cliente40</v>
      </c>
      <c r="M693">
        <v>90.174233000000001</v>
      </c>
    </row>
    <row r="694" spans="1:13" x14ac:dyDescent="0.25">
      <c r="A694" s="15" t="s">
        <v>4280</v>
      </c>
      <c r="B694" s="15" t="s">
        <v>4311</v>
      </c>
      <c r="C694" s="52">
        <v>79.651285999999999</v>
      </c>
      <c r="D694" s="25">
        <v>8.1250000000000003E-2</v>
      </c>
      <c r="E694" s="53">
        <v>-23.519772</v>
      </c>
      <c r="F694" s="53">
        <v>-46.616872000000001</v>
      </c>
      <c r="G694" s="53">
        <v>-23.369716</v>
      </c>
      <c r="H694" s="53">
        <v>-46.240248999999999</v>
      </c>
      <c r="I694" s="53">
        <v>-23.197711000000002</v>
      </c>
      <c r="J694" s="53">
        <v>-45.875824000000001</v>
      </c>
      <c r="L694" s="61" t="str">
        <f t="shared" si="11"/>
        <v>Cliente10-Cliente41</v>
      </c>
      <c r="M694">
        <v>79.651285999999999</v>
      </c>
    </row>
    <row r="695" spans="1:13" x14ac:dyDescent="0.25">
      <c r="A695" s="15" t="s">
        <v>4280</v>
      </c>
      <c r="B695" s="15" t="s">
        <v>4312</v>
      </c>
      <c r="C695" s="54">
        <v>76.180297999999993</v>
      </c>
      <c r="D695" s="26">
        <v>7.3611111111111113E-2</v>
      </c>
      <c r="E695" s="55">
        <v>-23.515464000000001</v>
      </c>
      <c r="F695" s="55">
        <v>-46.670445999999998</v>
      </c>
      <c r="G695" s="55">
        <v>-23.403594999999999</v>
      </c>
      <c r="H695" s="55">
        <v>-46.330831000000003</v>
      </c>
      <c r="I695" s="55">
        <v>-23.321876</v>
      </c>
      <c r="J695" s="55">
        <v>-46.112917000000003</v>
      </c>
      <c r="L695" s="61" t="str">
        <f t="shared" si="11"/>
        <v>Cliente10-Cliente42</v>
      </c>
      <c r="M695">
        <v>76.180297999999993</v>
      </c>
    </row>
    <row r="696" spans="1:13" x14ac:dyDescent="0.25">
      <c r="A696" s="15" t="s">
        <v>4280</v>
      </c>
      <c r="B696" s="15" t="s">
        <v>4313</v>
      </c>
      <c r="C696" s="52">
        <v>98.833061999999998</v>
      </c>
      <c r="D696" s="25">
        <v>9.4444444444444442E-2</v>
      </c>
      <c r="E696" s="53">
        <v>-23.523713999999998</v>
      </c>
      <c r="F696" s="53">
        <v>-46.610359000000003</v>
      </c>
      <c r="G696" s="53">
        <v>-23.359110999999999</v>
      </c>
      <c r="H696" s="53">
        <v>-46.216082</v>
      </c>
      <c r="I696" s="53">
        <v>-23.039712999999999</v>
      </c>
      <c r="J696" s="53">
        <v>-45.563578999999997</v>
      </c>
      <c r="L696" s="61" t="str">
        <f t="shared" si="11"/>
        <v>Cliente10-Cliente43</v>
      </c>
      <c r="M696">
        <v>98.833061999999998</v>
      </c>
    </row>
    <row r="697" spans="1:13" x14ac:dyDescent="0.25">
      <c r="A697" s="15" t="s">
        <v>4280</v>
      </c>
      <c r="B697" s="15" t="s">
        <v>4314</v>
      </c>
      <c r="C697" s="54">
        <v>62.598953999999999</v>
      </c>
      <c r="D697" s="26">
        <v>6.7361111111111108E-2</v>
      </c>
      <c r="E697" s="55">
        <v>-23.514548999999999</v>
      </c>
      <c r="F697" s="55">
        <v>-46.727156999999998</v>
      </c>
      <c r="G697" s="55">
        <v>-23.471340999999999</v>
      </c>
      <c r="H697" s="55">
        <v>-47.009990000000002</v>
      </c>
      <c r="I697" s="55">
        <v>-23.402104000000001</v>
      </c>
      <c r="J697" s="55">
        <v>-47.327658999999997</v>
      </c>
      <c r="L697" s="61" t="str">
        <f t="shared" si="11"/>
        <v>Cliente10-Cliente44</v>
      </c>
      <c r="M697">
        <v>62.598953999999999</v>
      </c>
    </row>
    <row r="698" spans="1:13" x14ac:dyDescent="0.25">
      <c r="A698" s="15" t="s">
        <v>4280</v>
      </c>
      <c r="B698" s="15" t="s">
        <v>4315</v>
      </c>
      <c r="C698" s="52">
        <v>69.119017999999997</v>
      </c>
      <c r="D698" s="25">
        <v>7.2222222222222229E-2</v>
      </c>
      <c r="E698" s="53">
        <v>-23.523603000000001</v>
      </c>
      <c r="F698" s="53">
        <v>-46.749713999999997</v>
      </c>
      <c r="G698" s="53">
        <v>-23.429178</v>
      </c>
      <c r="H698" s="53">
        <v>-47.130792</v>
      </c>
      <c r="I698" s="53">
        <v>-23.482731000000001</v>
      </c>
      <c r="J698" s="53">
        <v>-47.387286000000003</v>
      </c>
      <c r="L698" s="61" t="str">
        <f t="shared" si="11"/>
        <v>Cliente10-Cliente45</v>
      </c>
      <c r="M698">
        <v>69.119017999999997</v>
      </c>
    </row>
    <row r="699" spans="1:13" x14ac:dyDescent="0.25">
      <c r="A699" s="15" t="s">
        <v>4280</v>
      </c>
      <c r="B699" s="15" t="s">
        <v>4316</v>
      </c>
      <c r="C699" s="54">
        <v>60.671455000000002</v>
      </c>
      <c r="D699" s="26">
        <v>6.458333333333334E-2</v>
      </c>
      <c r="E699" s="55">
        <v>-23.513636999999999</v>
      </c>
      <c r="F699" s="55">
        <v>-46.725565000000003</v>
      </c>
      <c r="G699" s="55">
        <v>-23.472822000000001</v>
      </c>
      <c r="H699" s="55">
        <v>-47.006312000000001</v>
      </c>
      <c r="I699" s="55">
        <v>-23.409723</v>
      </c>
      <c r="J699" s="55">
        <v>-47.278654000000003</v>
      </c>
      <c r="L699" s="61" t="str">
        <f t="shared" si="11"/>
        <v>Cliente10-Cliente46</v>
      </c>
      <c r="M699">
        <v>60.671455000000002</v>
      </c>
    </row>
    <row r="700" spans="1:13" x14ac:dyDescent="0.25">
      <c r="A700" s="15" t="s">
        <v>4280</v>
      </c>
      <c r="B700" s="15" t="s">
        <v>4317</v>
      </c>
      <c r="C700" s="52">
        <v>189.98222899999999</v>
      </c>
      <c r="D700" s="25">
        <v>0.15972222222222224</v>
      </c>
      <c r="E700" s="53">
        <v>-23.307998999999999</v>
      </c>
      <c r="F700" s="53">
        <v>-46.835209999999996</v>
      </c>
      <c r="G700" s="53">
        <v>-22.881062</v>
      </c>
      <c r="H700" s="53">
        <v>-47.130434999999999</v>
      </c>
      <c r="I700" s="53">
        <v>-22.254455</v>
      </c>
      <c r="J700" s="53">
        <v>-47.389657</v>
      </c>
      <c r="L700" s="61" t="str">
        <f t="shared" si="11"/>
        <v>Cliente10-Cliente47</v>
      </c>
      <c r="M700">
        <v>189.98222899999999</v>
      </c>
    </row>
    <row r="701" spans="1:13" x14ac:dyDescent="0.25">
      <c r="A701" s="15" t="s">
        <v>4280</v>
      </c>
      <c r="B701" s="15" t="s">
        <v>4318</v>
      </c>
      <c r="C701" s="54">
        <v>199.09341699999999</v>
      </c>
      <c r="D701" s="26">
        <v>0.16805555555555554</v>
      </c>
      <c r="E701" s="55">
        <v>-23.278013000000001</v>
      </c>
      <c r="F701" s="55">
        <v>-46.848697000000001</v>
      </c>
      <c r="G701" s="55">
        <v>-22.802451000000001</v>
      </c>
      <c r="H701" s="55">
        <v>-47.220654000000003</v>
      </c>
      <c r="I701" s="55">
        <v>-21.816931</v>
      </c>
      <c r="J701" s="55">
        <v>-47.496872000000003</v>
      </c>
      <c r="L701" s="61" t="str">
        <f t="shared" si="11"/>
        <v>Cliente10-Cliente48</v>
      </c>
      <c r="M701">
        <v>199.09341699999999</v>
      </c>
    </row>
    <row r="702" spans="1:13" x14ac:dyDescent="0.25">
      <c r="A702" s="15" t="s">
        <v>4280</v>
      </c>
      <c r="B702" s="15" t="s">
        <v>4319</v>
      </c>
      <c r="C702" s="52">
        <v>192.73118199999999</v>
      </c>
      <c r="D702" s="25">
        <v>0.16388888888888889</v>
      </c>
      <c r="E702" s="53">
        <v>-23.290818999999999</v>
      </c>
      <c r="F702" s="53">
        <v>-46.845869</v>
      </c>
      <c r="G702" s="53">
        <v>-22.846948000000001</v>
      </c>
      <c r="H702" s="53">
        <v>-47.163558999999999</v>
      </c>
      <c r="I702" s="53">
        <v>-22.107899</v>
      </c>
      <c r="J702" s="53">
        <v>-47.412630999999998</v>
      </c>
      <c r="L702" s="61" t="str">
        <f t="shared" si="11"/>
        <v>Cliente10-Cliente49</v>
      </c>
      <c r="M702">
        <v>192.73118199999999</v>
      </c>
    </row>
    <row r="703" spans="1:13" x14ac:dyDescent="0.25">
      <c r="A703" s="15" t="s">
        <v>4280</v>
      </c>
      <c r="B703" s="15" t="s">
        <v>4320</v>
      </c>
      <c r="C703" s="54">
        <v>203.691575</v>
      </c>
      <c r="D703" s="26">
        <v>0.17361111111111113</v>
      </c>
      <c r="E703" s="55">
        <v>-23.515350000000002</v>
      </c>
      <c r="F703" s="55">
        <v>-46.963603999999997</v>
      </c>
      <c r="G703" s="55">
        <v>-23.283715999999998</v>
      </c>
      <c r="H703" s="55">
        <v>-47.781447</v>
      </c>
      <c r="I703" s="55">
        <v>-22.906078000000001</v>
      </c>
      <c r="J703" s="55">
        <v>-48.451943999999997</v>
      </c>
      <c r="L703" s="61" t="str">
        <f t="shared" si="11"/>
        <v>Cliente10-Cliente50</v>
      </c>
      <c r="M703">
        <v>203.691575</v>
      </c>
    </row>
    <row r="704" spans="1:13" x14ac:dyDescent="0.25">
      <c r="A704" s="15" t="s">
        <v>4280</v>
      </c>
      <c r="B704" s="15" t="s">
        <v>4321</v>
      </c>
      <c r="C704" s="52">
        <v>202.59050300000001</v>
      </c>
      <c r="D704" s="25">
        <v>0.17152777777777775</v>
      </c>
      <c r="E704" s="53">
        <v>-23.518234</v>
      </c>
      <c r="F704" s="53">
        <v>-46.956640999999998</v>
      </c>
      <c r="G704" s="53">
        <v>-23.295501999999999</v>
      </c>
      <c r="H704" s="53">
        <v>-47.710048999999998</v>
      </c>
      <c r="I704" s="53">
        <v>-22.905007000000001</v>
      </c>
      <c r="J704" s="53">
        <v>-48.453077</v>
      </c>
      <c r="L704" s="61" t="str">
        <f t="shared" si="11"/>
        <v>Cliente10-Cliente51</v>
      </c>
      <c r="M704">
        <v>202.59050300000001</v>
      </c>
    </row>
    <row r="705" spans="1:13" x14ac:dyDescent="0.25">
      <c r="A705" s="15" t="s">
        <v>4281</v>
      </c>
      <c r="B705" s="15" t="s">
        <v>4268</v>
      </c>
      <c r="C705" s="54">
        <v>42.343445000000003</v>
      </c>
      <c r="D705" s="26">
        <v>4.0972222222222222E-2</v>
      </c>
      <c r="E705" s="55">
        <v>-22.820730000000001</v>
      </c>
      <c r="F705" s="55">
        <v>-47.576335999999998</v>
      </c>
      <c r="G705" s="55">
        <v>-22.987829000000001</v>
      </c>
      <c r="H705" s="55">
        <v>-47.466191999999999</v>
      </c>
      <c r="I705" s="55">
        <v>-23.197323000000001</v>
      </c>
      <c r="J705" s="55">
        <v>-47.324536999999999</v>
      </c>
      <c r="L705" s="61" t="str">
        <f t="shared" si="11"/>
        <v>Cliente11-depósito A</v>
      </c>
      <c r="M705">
        <v>42.343445000000003</v>
      </c>
    </row>
    <row r="706" spans="1:13" x14ac:dyDescent="0.25">
      <c r="A706" s="15" t="s">
        <v>4281</v>
      </c>
      <c r="B706" s="15" t="s">
        <v>4269</v>
      </c>
      <c r="C706" s="52">
        <v>85.083946999999995</v>
      </c>
      <c r="D706" s="25">
        <v>6.9444444444444434E-2</v>
      </c>
      <c r="E706" s="53">
        <v>-22.664216</v>
      </c>
      <c r="F706" s="53">
        <v>-47.616990000000001</v>
      </c>
      <c r="G706" s="53">
        <v>-22.347014000000001</v>
      </c>
      <c r="H706" s="53">
        <v>-47.651054000000002</v>
      </c>
      <c r="I706" s="53">
        <v>-22.246016000000001</v>
      </c>
      <c r="J706" s="53">
        <v>-47.707210000000003</v>
      </c>
      <c r="L706" s="61" t="str">
        <f t="shared" si="11"/>
        <v>Cliente11-depósito B</v>
      </c>
      <c r="M706">
        <v>85.083946999999995</v>
      </c>
    </row>
    <row r="707" spans="1:13" x14ac:dyDescent="0.25">
      <c r="A707" s="15" t="s">
        <v>4281</v>
      </c>
      <c r="B707" s="15" t="s">
        <v>4270</v>
      </c>
      <c r="C707" s="54">
        <v>128.460114</v>
      </c>
      <c r="D707" s="26">
        <v>0.10694444444444444</v>
      </c>
      <c r="E707" s="55">
        <v>-22.901401</v>
      </c>
      <c r="F707" s="55">
        <v>-46.985311000000003</v>
      </c>
      <c r="G707" s="55">
        <v>-23.098533</v>
      </c>
      <c r="H707" s="55">
        <v>-46.544083999999998</v>
      </c>
      <c r="I707" s="55">
        <v>-23.169222999999999</v>
      </c>
      <c r="J707" s="55">
        <v>-46.220964000000002</v>
      </c>
      <c r="L707" s="61" t="str">
        <f t="shared" si="11"/>
        <v>Cliente11-depósito C</v>
      </c>
      <c r="M707">
        <v>128.460114</v>
      </c>
    </row>
    <row r="708" spans="1:13" x14ac:dyDescent="0.25">
      <c r="A708" s="15" t="s">
        <v>4281</v>
      </c>
      <c r="B708" s="15" t="s">
        <v>4271</v>
      </c>
      <c r="C708" s="52">
        <v>51.184336000000002</v>
      </c>
      <c r="D708" s="25">
        <v>4.3750000000000004E-2</v>
      </c>
      <c r="E708" s="53">
        <v>-22.790161000000001</v>
      </c>
      <c r="F708" s="53">
        <v>-47.420985000000002</v>
      </c>
      <c r="G708" s="53">
        <v>-22.912279999999999</v>
      </c>
      <c r="H708" s="53">
        <v>-47.190032000000002</v>
      </c>
      <c r="I708" s="53">
        <v>-23.016280999999999</v>
      </c>
      <c r="J708" s="53">
        <v>-47.084681000000003</v>
      </c>
      <c r="L708" s="61" t="str">
        <f t="shared" si="11"/>
        <v>Cliente11-Cliente1</v>
      </c>
      <c r="M708">
        <v>51.184336000000002</v>
      </c>
    </row>
    <row r="709" spans="1:13" x14ac:dyDescent="0.25">
      <c r="A709" s="15" t="s">
        <v>4281</v>
      </c>
      <c r="B709" s="15" t="s">
        <v>4272</v>
      </c>
      <c r="C709" s="54">
        <v>42.558439999999997</v>
      </c>
      <c r="D709" s="26">
        <v>4.027777777777778E-2</v>
      </c>
      <c r="E709" s="55">
        <v>-22.777314000000001</v>
      </c>
      <c r="F709" s="55">
        <v>-47.442366999999997</v>
      </c>
      <c r="G709" s="55">
        <v>-22.899553000000001</v>
      </c>
      <c r="H709" s="55">
        <v>-47.211779</v>
      </c>
      <c r="I709" s="55">
        <v>-22.899377000000001</v>
      </c>
      <c r="J709" s="55">
        <v>-47.113768</v>
      </c>
      <c r="L709" s="61" t="str">
        <f t="shared" si="11"/>
        <v>Cliente11-Cliente2</v>
      </c>
      <c r="M709">
        <v>42.558439999999997</v>
      </c>
    </row>
    <row r="710" spans="1:13" x14ac:dyDescent="0.25">
      <c r="A710" s="15" t="s">
        <v>4281</v>
      </c>
      <c r="B710" s="15" t="s">
        <v>4273</v>
      </c>
      <c r="C710" s="52">
        <v>44.113736000000003</v>
      </c>
      <c r="D710" s="25">
        <v>4.3750000000000004E-2</v>
      </c>
      <c r="E710" s="53">
        <v>-22.802706000000001</v>
      </c>
      <c r="F710" s="53">
        <v>-47.398876000000001</v>
      </c>
      <c r="G710" s="53">
        <v>-22.903825999999999</v>
      </c>
      <c r="H710" s="53">
        <v>-47.204686000000002</v>
      </c>
      <c r="I710" s="53">
        <v>-22.899533000000002</v>
      </c>
      <c r="J710" s="53">
        <v>-47.090938000000001</v>
      </c>
      <c r="L710" s="61" t="str">
        <f t="shared" si="11"/>
        <v>Cliente11-Cliente3</v>
      </c>
      <c r="M710">
        <v>44.113736000000003</v>
      </c>
    </row>
    <row r="711" spans="1:13" x14ac:dyDescent="0.25">
      <c r="A711" s="15" t="s">
        <v>4281</v>
      </c>
      <c r="B711" s="15" t="s">
        <v>4274</v>
      </c>
      <c r="C711" s="54">
        <v>41.525097000000002</v>
      </c>
      <c r="D711" s="26">
        <v>3.8194444444444441E-2</v>
      </c>
      <c r="E711" s="55">
        <v>-22.730093</v>
      </c>
      <c r="F711" s="55">
        <v>-47.543785</v>
      </c>
      <c r="G711" s="55">
        <v>-22.776527999999999</v>
      </c>
      <c r="H711" s="55">
        <v>-47.234319999999997</v>
      </c>
      <c r="I711" s="55">
        <v>-22.85821</v>
      </c>
      <c r="J711" s="55">
        <v>-47.143754999999999</v>
      </c>
      <c r="L711" s="61" t="str">
        <f t="shared" si="11"/>
        <v>Cliente11-Cliente4</v>
      </c>
      <c r="M711">
        <v>41.525097000000002</v>
      </c>
    </row>
    <row r="712" spans="1:13" x14ac:dyDescent="0.25">
      <c r="A712" s="15" t="s">
        <v>4281</v>
      </c>
      <c r="B712" s="15" t="s">
        <v>4275</v>
      </c>
      <c r="C712" s="52">
        <v>41.618302999999997</v>
      </c>
      <c r="D712" s="25">
        <v>3.8194444444444441E-2</v>
      </c>
      <c r="E712" s="53">
        <v>-22.729026999999999</v>
      </c>
      <c r="F712" s="53">
        <v>-47.546146999999998</v>
      </c>
      <c r="G712" s="53">
        <v>-22.774785000000001</v>
      </c>
      <c r="H712" s="53">
        <v>-47.235174999999998</v>
      </c>
      <c r="I712" s="53">
        <v>-22.859463999999999</v>
      </c>
      <c r="J712" s="53">
        <v>-47.145769000000001</v>
      </c>
      <c r="L712" s="61" t="str">
        <f t="shared" si="11"/>
        <v>Cliente11-Cliente5</v>
      </c>
      <c r="M712">
        <v>41.618302999999997</v>
      </c>
    </row>
    <row r="713" spans="1:13" x14ac:dyDescent="0.25">
      <c r="A713" s="15" t="s">
        <v>4281</v>
      </c>
      <c r="B713" s="15" t="s">
        <v>4276</v>
      </c>
      <c r="C713" s="54">
        <v>51.875303000000002</v>
      </c>
      <c r="D713" s="26">
        <v>4.3750000000000004E-2</v>
      </c>
      <c r="E713" s="55">
        <v>-22.793576999999999</v>
      </c>
      <c r="F713" s="55">
        <v>-47.415041000000002</v>
      </c>
      <c r="G713" s="55">
        <v>-22.912796</v>
      </c>
      <c r="H713" s="55">
        <v>-47.186774</v>
      </c>
      <c r="I713" s="55">
        <v>-23.014417999999999</v>
      </c>
      <c r="J713" s="55">
        <v>-47.084462000000002</v>
      </c>
      <c r="L713" s="61" t="str">
        <f t="shared" si="11"/>
        <v>Cliente11-Cliente6</v>
      </c>
      <c r="M713">
        <v>51.875303000000002</v>
      </c>
    </row>
    <row r="714" spans="1:13" x14ac:dyDescent="0.25">
      <c r="A714" s="15" t="s">
        <v>4281</v>
      </c>
      <c r="B714" s="15" t="s">
        <v>4277</v>
      </c>
      <c r="C714" s="52">
        <v>43.798079000000001</v>
      </c>
      <c r="D714" s="25">
        <v>4.027777777777778E-2</v>
      </c>
      <c r="E714" s="53">
        <v>-22.767399000000001</v>
      </c>
      <c r="F714" s="53">
        <v>-47.439078000000002</v>
      </c>
      <c r="G714" s="53">
        <v>-22.814119000000002</v>
      </c>
      <c r="H714" s="53">
        <v>-47.208675999999997</v>
      </c>
      <c r="I714" s="53">
        <v>-22.922605000000001</v>
      </c>
      <c r="J714" s="53">
        <v>-47.090561000000001</v>
      </c>
      <c r="L714" s="61" t="str">
        <f t="shared" si="11"/>
        <v>Cliente11-Cliente7</v>
      </c>
      <c r="M714">
        <v>43.798079000000001</v>
      </c>
    </row>
    <row r="715" spans="1:13" x14ac:dyDescent="0.25">
      <c r="A715" s="15" t="s">
        <v>4281</v>
      </c>
      <c r="B715" s="15" t="s">
        <v>4278</v>
      </c>
      <c r="C715" s="54">
        <v>51.362048999999999</v>
      </c>
      <c r="D715" s="26">
        <v>4.6527777777777779E-2</v>
      </c>
      <c r="E715" s="55">
        <v>-22.759601</v>
      </c>
      <c r="F715" s="55">
        <v>-47.321849</v>
      </c>
      <c r="G715" s="55">
        <v>-22.835819000000001</v>
      </c>
      <c r="H715" s="55">
        <v>-47.174416999999998</v>
      </c>
      <c r="I715" s="55">
        <v>-22.900714000000001</v>
      </c>
      <c r="J715" s="55">
        <v>-46.991287999999997</v>
      </c>
      <c r="L715" s="61" t="str">
        <f t="shared" si="11"/>
        <v>Cliente11-Cliente8</v>
      </c>
      <c r="M715">
        <v>51.362048999999999</v>
      </c>
    </row>
    <row r="716" spans="1:13" x14ac:dyDescent="0.25">
      <c r="A716" s="15" t="s">
        <v>4281</v>
      </c>
      <c r="B716" s="15" t="s">
        <v>4279</v>
      </c>
      <c r="C716" s="52">
        <v>25.191071999999998</v>
      </c>
      <c r="D716" s="25">
        <v>2.6388888888888889E-2</v>
      </c>
      <c r="E716" s="53">
        <v>-22.743127000000001</v>
      </c>
      <c r="F716" s="53">
        <v>-47.600096999999998</v>
      </c>
      <c r="G716" s="53">
        <v>-22.742974</v>
      </c>
      <c r="H716" s="53">
        <v>-47.519252999999999</v>
      </c>
      <c r="I716" s="53">
        <v>-22.754919999999998</v>
      </c>
      <c r="J716" s="53">
        <v>-47.301288</v>
      </c>
      <c r="L716" s="61" t="str">
        <f t="shared" si="11"/>
        <v>Cliente11-Cliente9</v>
      </c>
      <c r="M716">
        <v>25.191071999999998</v>
      </c>
    </row>
    <row r="717" spans="1:13" x14ac:dyDescent="0.25">
      <c r="A717" s="15" t="s">
        <v>4281</v>
      </c>
      <c r="B717" s="15" t="s">
        <v>4280</v>
      </c>
      <c r="C717" s="54">
        <v>93.592404000000002</v>
      </c>
      <c r="D717" s="26">
        <v>8.1944444444444445E-2</v>
      </c>
      <c r="E717" s="55">
        <v>-22.900110000000002</v>
      </c>
      <c r="F717" s="55">
        <v>-47.210298000000002</v>
      </c>
      <c r="G717" s="55">
        <v>-23.146992000000001</v>
      </c>
      <c r="H717" s="55">
        <v>-46.964075999999999</v>
      </c>
      <c r="I717" s="55">
        <v>-23.383962</v>
      </c>
      <c r="J717" s="55">
        <v>-46.769461999999997</v>
      </c>
      <c r="L717" s="61" t="str">
        <f t="shared" si="11"/>
        <v>Cliente11-Cliente10</v>
      </c>
      <c r="M717">
        <v>93.592404000000002</v>
      </c>
    </row>
    <row r="718" spans="1:13" x14ac:dyDescent="0.25">
      <c r="A718" s="15" t="s">
        <v>4281</v>
      </c>
      <c r="B718" s="15" t="s">
        <v>4281</v>
      </c>
      <c r="C718" s="52">
        <v>0</v>
      </c>
      <c r="D718" s="25">
        <v>0</v>
      </c>
      <c r="E718" s="53">
        <f>'1. Locais'!D15</f>
        <v>-22.74145</v>
      </c>
      <c r="F718" s="53">
        <f>'1. Locais'!E15</f>
        <v>-47.60181</v>
      </c>
      <c r="G718" s="53">
        <f>'1. Locais'!D15</f>
        <v>-22.74145</v>
      </c>
      <c r="H718" s="53">
        <f>'1. Locais'!E15</f>
        <v>-47.60181</v>
      </c>
      <c r="I718" s="53">
        <f>'1. Locais'!D15</f>
        <v>-22.74145</v>
      </c>
      <c r="J718" s="53">
        <f>'1. Locais'!E15</f>
        <v>-47.60181</v>
      </c>
      <c r="L718" s="61" t="str">
        <f t="shared" si="11"/>
        <v>Cliente11-Cliente11</v>
      </c>
      <c r="M718">
        <v>0</v>
      </c>
    </row>
    <row r="719" spans="1:13" x14ac:dyDescent="0.25">
      <c r="A719" s="15" t="s">
        <v>4281</v>
      </c>
      <c r="B719" s="15" t="s">
        <v>4282</v>
      </c>
      <c r="C719" s="54">
        <v>127.50133599999999</v>
      </c>
      <c r="D719" s="26">
        <v>0.10625</v>
      </c>
      <c r="E719" s="55">
        <v>-22.901962000000001</v>
      </c>
      <c r="F719" s="55">
        <v>-46.983561000000002</v>
      </c>
      <c r="G719" s="55">
        <v>-23.100453000000002</v>
      </c>
      <c r="H719" s="55">
        <v>-46.536996000000002</v>
      </c>
      <c r="I719" s="55">
        <v>-23.177226999999998</v>
      </c>
      <c r="J719" s="55">
        <v>-46.210563999999998</v>
      </c>
      <c r="L719" s="61" t="str">
        <f t="shared" si="11"/>
        <v>Cliente11-Cliente12</v>
      </c>
      <c r="M719">
        <v>127.50133599999999</v>
      </c>
    </row>
    <row r="720" spans="1:13" x14ac:dyDescent="0.25">
      <c r="A720" s="15" t="s">
        <v>4281</v>
      </c>
      <c r="B720" s="15" t="s">
        <v>4283</v>
      </c>
      <c r="C720" s="52">
        <v>135.385313</v>
      </c>
      <c r="D720" s="25">
        <v>0.11180555555555556</v>
      </c>
      <c r="E720" s="53">
        <v>-22.913526999999998</v>
      </c>
      <c r="F720" s="53">
        <v>-46.962479999999999</v>
      </c>
      <c r="G720" s="53">
        <v>-23.110296999999999</v>
      </c>
      <c r="H720" s="53">
        <v>-46.495376</v>
      </c>
      <c r="I720" s="53">
        <v>-23.204423999999999</v>
      </c>
      <c r="J720" s="53">
        <v>-46.161239999999999</v>
      </c>
      <c r="L720" s="61" t="str">
        <f t="shared" si="11"/>
        <v>Cliente11-Cliente13</v>
      </c>
      <c r="M720">
        <v>135.385313</v>
      </c>
    </row>
    <row r="721" spans="1:13" x14ac:dyDescent="0.25">
      <c r="A721" s="15" t="s">
        <v>4281</v>
      </c>
      <c r="B721" s="15" t="s">
        <v>4284</v>
      </c>
      <c r="C721" s="54">
        <v>133.44787299999999</v>
      </c>
      <c r="D721" s="26">
        <v>0.10902777777777778</v>
      </c>
      <c r="E721" s="55">
        <v>-22.900562000000001</v>
      </c>
      <c r="F721" s="55">
        <v>-46.993774999999999</v>
      </c>
      <c r="G721" s="55">
        <v>-23.101469999999999</v>
      </c>
      <c r="H721" s="55">
        <v>-46.593836000000003</v>
      </c>
      <c r="I721" s="55">
        <v>-23.164175</v>
      </c>
      <c r="J721" s="55">
        <v>-46.228287999999999</v>
      </c>
      <c r="L721" s="61" t="str">
        <f t="shared" si="11"/>
        <v>Cliente11-Cliente14</v>
      </c>
      <c r="M721">
        <v>133.44787299999999</v>
      </c>
    </row>
    <row r="722" spans="1:13" x14ac:dyDescent="0.25">
      <c r="A722" s="15" t="s">
        <v>4281</v>
      </c>
      <c r="B722" s="15" t="s">
        <v>4285</v>
      </c>
      <c r="C722" s="52">
        <v>135.82648800000001</v>
      </c>
      <c r="D722" s="25">
        <v>0.11527777777777777</v>
      </c>
      <c r="E722" s="53">
        <v>-22.913526999999998</v>
      </c>
      <c r="F722" s="53">
        <v>-46.962479999999999</v>
      </c>
      <c r="G722" s="53">
        <v>-23.110296999999999</v>
      </c>
      <c r="H722" s="53">
        <v>-46.495376</v>
      </c>
      <c r="I722" s="53">
        <v>-23.204423999999999</v>
      </c>
      <c r="J722" s="53">
        <v>-46.161239999999999</v>
      </c>
      <c r="L722" s="61" t="str">
        <f t="shared" ref="L722:L785" si="12">_xlfn.CONCAT(A722,"-",B722)</f>
        <v>Cliente11-Cliente15</v>
      </c>
      <c r="M722">
        <v>135.82648800000001</v>
      </c>
    </row>
    <row r="723" spans="1:13" x14ac:dyDescent="0.25">
      <c r="A723" s="15" t="s">
        <v>4281</v>
      </c>
      <c r="B723" s="15" t="s">
        <v>4286</v>
      </c>
      <c r="C723" s="54">
        <v>134.757105</v>
      </c>
      <c r="D723" s="26">
        <v>0.11319444444444444</v>
      </c>
      <c r="E723" s="55">
        <v>-22.913526999999998</v>
      </c>
      <c r="F723" s="55">
        <v>-46.962479999999999</v>
      </c>
      <c r="G723" s="55">
        <v>-23.110296999999999</v>
      </c>
      <c r="H723" s="55">
        <v>-46.495376</v>
      </c>
      <c r="I723" s="55">
        <v>-23.204423999999999</v>
      </c>
      <c r="J723" s="55">
        <v>-46.161239999999999</v>
      </c>
      <c r="L723" s="61" t="str">
        <f t="shared" si="12"/>
        <v>Cliente11-Cliente16</v>
      </c>
      <c r="M723">
        <v>134.757105</v>
      </c>
    </row>
    <row r="724" spans="1:13" x14ac:dyDescent="0.25">
      <c r="A724" s="15" t="s">
        <v>4281</v>
      </c>
      <c r="B724" s="15" t="s">
        <v>4287</v>
      </c>
      <c r="C724" s="52">
        <v>135.81281799999999</v>
      </c>
      <c r="D724" s="25">
        <v>0.11180555555555556</v>
      </c>
      <c r="E724" s="53">
        <v>-22.913526999999998</v>
      </c>
      <c r="F724" s="53">
        <v>-46.962479999999999</v>
      </c>
      <c r="G724" s="53">
        <v>-23.110296999999999</v>
      </c>
      <c r="H724" s="53">
        <v>-46.495376</v>
      </c>
      <c r="I724" s="53">
        <v>-23.204423999999999</v>
      </c>
      <c r="J724" s="53">
        <v>-46.161239999999999</v>
      </c>
      <c r="L724" s="61" t="str">
        <f t="shared" si="12"/>
        <v>Cliente11-Cliente17</v>
      </c>
      <c r="M724">
        <v>135.81281799999999</v>
      </c>
    </row>
    <row r="725" spans="1:13" x14ac:dyDescent="0.25">
      <c r="A725" s="15" t="s">
        <v>4281</v>
      </c>
      <c r="B725" s="15" t="s">
        <v>4288</v>
      </c>
      <c r="C725" s="54">
        <v>140.640884</v>
      </c>
      <c r="D725" s="26">
        <v>0.11666666666666665</v>
      </c>
      <c r="E725" s="55">
        <v>-22.903492</v>
      </c>
      <c r="F725" s="55">
        <v>-46.980584</v>
      </c>
      <c r="G725" s="55">
        <v>-23.107513999999998</v>
      </c>
      <c r="H725" s="55">
        <v>-46.516952000000003</v>
      </c>
      <c r="I725" s="55">
        <v>-23.188860999999999</v>
      </c>
      <c r="J725" s="55">
        <v>-46.190967999999998</v>
      </c>
      <c r="L725" s="61" t="str">
        <f t="shared" si="12"/>
        <v>Cliente11-Cliente18</v>
      </c>
      <c r="M725">
        <v>140.640884</v>
      </c>
    </row>
    <row r="726" spans="1:13" x14ac:dyDescent="0.25">
      <c r="A726" s="15" t="s">
        <v>4281</v>
      </c>
      <c r="B726" s="15" t="s">
        <v>4289</v>
      </c>
      <c r="C726" s="52">
        <v>90.372450999999998</v>
      </c>
      <c r="D726" s="25">
        <v>7.3611111111111113E-2</v>
      </c>
      <c r="E726" s="53">
        <v>-22.887481000000001</v>
      </c>
      <c r="F726" s="53">
        <v>-47.229339000000003</v>
      </c>
      <c r="G726" s="53">
        <v>-23.094819999999999</v>
      </c>
      <c r="H726" s="53">
        <v>-47.016826999999999</v>
      </c>
      <c r="I726" s="53">
        <v>-23.347618000000001</v>
      </c>
      <c r="J726" s="53">
        <v>-46.812711</v>
      </c>
      <c r="L726" s="61" t="str">
        <f t="shared" si="12"/>
        <v>Cliente11-Cliente19</v>
      </c>
      <c r="M726">
        <v>90.372450999999998</v>
      </c>
    </row>
    <row r="727" spans="1:13" x14ac:dyDescent="0.25">
      <c r="A727" s="15" t="s">
        <v>4281</v>
      </c>
      <c r="B727" s="15" t="s">
        <v>4290</v>
      </c>
      <c r="C727" s="54">
        <v>91.944524000000001</v>
      </c>
      <c r="D727" s="26">
        <v>7.6388888888888895E-2</v>
      </c>
      <c r="E727" s="55">
        <v>-22.89639</v>
      </c>
      <c r="F727" s="55">
        <v>-47.224190999999998</v>
      </c>
      <c r="G727" s="55">
        <v>-23.130544</v>
      </c>
      <c r="H727" s="55">
        <v>-46.980670000000003</v>
      </c>
      <c r="I727" s="55">
        <v>-23.359839000000001</v>
      </c>
      <c r="J727" s="55">
        <v>-46.784889999999997</v>
      </c>
      <c r="L727" s="61" t="str">
        <f t="shared" si="12"/>
        <v>Cliente11-Cliente20</v>
      </c>
      <c r="M727">
        <v>91.944524000000001</v>
      </c>
    </row>
    <row r="728" spans="1:13" x14ac:dyDescent="0.25">
      <c r="A728" s="15" t="s">
        <v>4281</v>
      </c>
      <c r="B728" s="15" t="s">
        <v>4291</v>
      </c>
      <c r="C728" s="52">
        <v>91.546223999999995</v>
      </c>
      <c r="D728" s="25">
        <v>7.7083333333333337E-2</v>
      </c>
      <c r="E728" s="53">
        <v>-22.900110000000002</v>
      </c>
      <c r="F728" s="53">
        <v>-47.210298000000002</v>
      </c>
      <c r="G728" s="53">
        <v>-23.146992000000001</v>
      </c>
      <c r="H728" s="53">
        <v>-46.964075999999999</v>
      </c>
      <c r="I728" s="53">
        <v>-23.383962</v>
      </c>
      <c r="J728" s="53">
        <v>-46.769461999999997</v>
      </c>
      <c r="L728" s="61" t="str">
        <f t="shared" si="12"/>
        <v>Cliente11-Cliente21</v>
      </c>
      <c r="M728">
        <v>91.546223999999995</v>
      </c>
    </row>
    <row r="729" spans="1:13" x14ac:dyDescent="0.25">
      <c r="A729" s="15" t="s">
        <v>4281</v>
      </c>
      <c r="B729" s="15" t="s">
        <v>4292</v>
      </c>
      <c r="C729" s="54">
        <v>90.669466999999997</v>
      </c>
      <c r="D729" s="26">
        <v>7.5694444444444439E-2</v>
      </c>
      <c r="E729" s="55">
        <v>-22.896733000000001</v>
      </c>
      <c r="F729" s="55" t="s">
        <v>7285</v>
      </c>
      <c r="G729" s="55">
        <v>-23.136664</v>
      </c>
      <c r="H729" s="55">
        <v>-46.978520000000003</v>
      </c>
      <c r="I729" s="55">
        <v>-23.364229999999999</v>
      </c>
      <c r="J729" s="55">
        <v>-46.783661000000002</v>
      </c>
      <c r="L729" s="61" t="str">
        <f t="shared" si="12"/>
        <v>Cliente11-Cliente22</v>
      </c>
      <c r="M729">
        <v>90.669466999999997</v>
      </c>
    </row>
    <row r="730" spans="1:13" x14ac:dyDescent="0.25">
      <c r="A730" s="15" t="s">
        <v>4281</v>
      </c>
      <c r="B730" s="15" t="s">
        <v>4293</v>
      </c>
      <c r="C730" s="52">
        <v>99.819801999999996</v>
      </c>
      <c r="D730" s="25">
        <v>8.3333333333333329E-2</v>
      </c>
      <c r="E730" s="53">
        <v>-22.910924999999999</v>
      </c>
      <c r="F730" s="53">
        <v>-47.170641000000003</v>
      </c>
      <c r="G730" s="53">
        <v>-23.242096</v>
      </c>
      <c r="H730" s="53">
        <v>-46.883797999999999</v>
      </c>
      <c r="I730" s="53">
        <v>-23.471896000000001</v>
      </c>
      <c r="J730" s="53">
        <v>-46.801588000000002</v>
      </c>
      <c r="L730" s="61" t="str">
        <f t="shared" si="12"/>
        <v>Cliente11-Cliente23</v>
      </c>
      <c r="M730">
        <v>99.819801999999996</v>
      </c>
    </row>
    <row r="731" spans="1:13" x14ac:dyDescent="0.25">
      <c r="A731" s="15" t="s">
        <v>4281</v>
      </c>
      <c r="B731" s="15" t="s">
        <v>4294</v>
      </c>
      <c r="C731" s="54">
        <v>100.79908500000001</v>
      </c>
      <c r="D731" s="26">
        <v>8.5416666666666655E-2</v>
      </c>
      <c r="E731" s="55">
        <v>-22.910938000000002</v>
      </c>
      <c r="F731" s="55">
        <v>-47.168849000000002</v>
      </c>
      <c r="G731" s="55">
        <v>-23.246497999999999</v>
      </c>
      <c r="H731" s="55">
        <v>-46.880099999999999</v>
      </c>
      <c r="I731" s="55">
        <v>-23.477796000000001</v>
      </c>
      <c r="J731" s="55">
        <v>-46.801962000000003</v>
      </c>
      <c r="L731" s="61" t="str">
        <f t="shared" si="12"/>
        <v>Cliente11-Cliente24</v>
      </c>
      <c r="M731">
        <v>100.79908500000001</v>
      </c>
    </row>
    <row r="732" spans="1:13" x14ac:dyDescent="0.25">
      <c r="A732" s="15" t="s">
        <v>4281</v>
      </c>
      <c r="B732" s="15" t="s">
        <v>4295</v>
      </c>
      <c r="C732" s="52">
        <v>103.619496</v>
      </c>
      <c r="D732" s="25">
        <v>8.819444444444445E-2</v>
      </c>
      <c r="E732" s="53">
        <v>-22.911583</v>
      </c>
      <c r="F732" s="53">
        <v>-47.165201000000003</v>
      </c>
      <c r="G732" s="53">
        <v>-23.254384999999999</v>
      </c>
      <c r="H732" s="53">
        <v>-46.870885000000001</v>
      </c>
      <c r="I732" s="53">
        <v>-23.489854000000001</v>
      </c>
      <c r="J732" s="53">
        <v>-46.807833000000002</v>
      </c>
      <c r="L732" s="61" t="str">
        <f t="shared" si="12"/>
        <v>Cliente11-Cliente25</v>
      </c>
      <c r="M732">
        <v>103.619496</v>
      </c>
    </row>
    <row r="733" spans="1:13" x14ac:dyDescent="0.25">
      <c r="A733" s="15" t="s">
        <v>4281</v>
      </c>
      <c r="B733" s="15" t="s">
        <v>4296</v>
      </c>
      <c r="C733" s="54">
        <v>95.281917000000007</v>
      </c>
      <c r="D733" s="26">
        <v>7.8472222222222221E-2</v>
      </c>
      <c r="E733" s="55">
        <v>-22.912614999999999</v>
      </c>
      <c r="F733" s="55">
        <v>-47.188467000000003</v>
      </c>
      <c r="G733" s="55">
        <v>-23.208615999999999</v>
      </c>
      <c r="H733" s="55">
        <v>-46.924672999999999</v>
      </c>
      <c r="I733" s="55">
        <v>-23.434967</v>
      </c>
      <c r="J733" s="55">
        <v>-46.762647999999999</v>
      </c>
      <c r="L733" s="61" t="str">
        <f t="shared" si="12"/>
        <v>Cliente11-Cliente26</v>
      </c>
      <c r="M733">
        <v>95.281917000000007</v>
      </c>
    </row>
    <row r="734" spans="1:13" x14ac:dyDescent="0.25">
      <c r="A734" s="15" t="s">
        <v>4281</v>
      </c>
      <c r="B734" s="15" t="s">
        <v>4297</v>
      </c>
      <c r="C734" s="52">
        <v>101.598792</v>
      </c>
      <c r="D734" s="25">
        <v>8.6111111111111124E-2</v>
      </c>
      <c r="E734" s="53">
        <v>-22.911214999999999</v>
      </c>
      <c r="F734" s="53">
        <v>-47.166668000000001</v>
      </c>
      <c r="G734" s="53">
        <v>-23.249438999999999</v>
      </c>
      <c r="H734" s="53">
        <v>-46.876894999999998</v>
      </c>
      <c r="I734" s="53">
        <v>-23.484406</v>
      </c>
      <c r="J734" s="53">
        <v>-46.803812000000001</v>
      </c>
      <c r="L734" s="61" t="str">
        <f t="shared" si="12"/>
        <v>Cliente11-Cliente27</v>
      </c>
      <c r="M734">
        <v>101.598792</v>
      </c>
    </row>
    <row r="735" spans="1:13" x14ac:dyDescent="0.25">
      <c r="A735" s="15" t="s">
        <v>4281</v>
      </c>
      <c r="B735" s="15" t="s">
        <v>4298</v>
      </c>
      <c r="C735" s="54">
        <v>102.93039400000001</v>
      </c>
      <c r="D735" s="26">
        <v>9.2361111111111116E-2</v>
      </c>
      <c r="E735" s="55">
        <v>-22.911583</v>
      </c>
      <c r="F735" s="55">
        <v>-47.165201000000003</v>
      </c>
      <c r="G735" s="55">
        <v>-23.247883000000002</v>
      </c>
      <c r="H735" s="55">
        <v>-46.878694000000003</v>
      </c>
      <c r="I735" s="55">
        <v>-23.499724000000001</v>
      </c>
      <c r="J735" s="55">
        <v>-46.728186000000001</v>
      </c>
      <c r="L735" s="61" t="str">
        <f t="shared" si="12"/>
        <v>Cliente11-Cliente28</v>
      </c>
      <c r="M735">
        <v>102.93039400000001</v>
      </c>
    </row>
    <row r="736" spans="1:13" x14ac:dyDescent="0.25">
      <c r="A736" s="15" t="s">
        <v>4281</v>
      </c>
      <c r="B736" s="15" t="s">
        <v>4299</v>
      </c>
      <c r="C736" s="52">
        <v>105.192812</v>
      </c>
      <c r="D736" s="25">
        <v>9.6527777777777768E-2</v>
      </c>
      <c r="E736" s="53">
        <v>-22.920648</v>
      </c>
      <c r="F736" s="53">
        <v>-47.147596</v>
      </c>
      <c r="G736" s="53">
        <v>-23.260442000000001</v>
      </c>
      <c r="H736" s="53">
        <v>-46.867970999999997</v>
      </c>
      <c r="I736" s="53">
        <v>-23.509059000000001</v>
      </c>
      <c r="J736" s="53">
        <v>-46.713380000000001</v>
      </c>
      <c r="L736" s="61" t="str">
        <f t="shared" si="12"/>
        <v>Cliente11-Cliente29</v>
      </c>
      <c r="M736">
        <v>105.192812</v>
      </c>
    </row>
    <row r="737" spans="1:13" x14ac:dyDescent="0.25">
      <c r="A737" s="15" t="s">
        <v>4281</v>
      </c>
      <c r="B737" s="15" t="s">
        <v>4300</v>
      </c>
      <c r="C737" s="54">
        <v>109.25224</v>
      </c>
      <c r="D737" s="26">
        <v>0.10555555555555556</v>
      </c>
      <c r="E737" s="55">
        <v>-22.924717000000001</v>
      </c>
      <c r="F737" s="55">
        <v>-47.131155</v>
      </c>
      <c r="G737" s="55">
        <v>-23.304756000000001</v>
      </c>
      <c r="H737" s="55">
        <v>-46.838780999999997</v>
      </c>
      <c r="I737" s="55">
        <v>-23.541882999999999</v>
      </c>
      <c r="J737" s="55">
        <v>-46.628737000000001</v>
      </c>
      <c r="L737" s="61" t="str">
        <f t="shared" si="12"/>
        <v>Cliente11-Cliente30</v>
      </c>
      <c r="M737">
        <v>109.25224</v>
      </c>
    </row>
    <row r="738" spans="1:13" x14ac:dyDescent="0.25">
      <c r="A738" s="15" t="s">
        <v>4281</v>
      </c>
      <c r="B738" s="15" t="s">
        <v>4301</v>
      </c>
      <c r="C738" s="52">
        <v>94.654951999999994</v>
      </c>
      <c r="D738" s="25">
        <v>8.1944444444444445E-2</v>
      </c>
      <c r="E738" s="53">
        <v>-22.912796</v>
      </c>
      <c r="F738" s="53">
        <v>-47.186774</v>
      </c>
      <c r="G738" s="53">
        <v>-23.206911999999999</v>
      </c>
      <c r="H738" s="53">
        <v>-46.925704000000003</v>
      </c>
      <c r="I738" s="53">
        <v>-23.463903999999999</v>
      </c>
      <c r="J738" s="53">
        <v>-46.751894999999998</v>
      </c>
      <c r="L738" s="61" t="str">
        <f t="shared" si="12"/>
        <v>Cliente11-Cliente31</v>
      </c>
      <c r="M738">
        <v>94.654951999999994</v>
      </c>
    </row>
    <row r="739" spans="1:13" x14ac:dyDescent="0.25">
      <c r="A739" s="15" t="s">
        <v>4281</v>
      </c>
      <c r="B739" s="15" t="s">
        <v>4302</v>
      </c>
      <c r="C739" s="54">
        <v>90.118308999999996</v>
      </c>
      <c r="D739" s="26">
        <v>7.7083333333333337E-2</v>
      </c>
      <c r="E739" s="55">
        <v>-22.912279999999999</v>
      </c>
      <c r="F739" s="55">
        <v>-47.190032000000002</v>
      </c>
      <c r="G739" s="55">
        <v>-23.205369000000001</v>
      </c>
      <c r="H739" s="55">
        <v>-46.926498000000002</v>
      </c>
      <c r="I739" s="55">
        <v>-23.432967999999999</v>
      </c>
      <c r="J739" s="55">
        <v>-46.761066999999997</v>
      </c>
      <c r="L739" s="61" t="str">
        <f t="shared" si="12"/>
        <v>Cliente11-Cliente32</v>
      </c>
      <c r="M739">
        <v>90.118308999999996</v>
      </c>
    </row>
    <row r="740" spans="1:13" x14ac:dyDescent="0.25">
      <c r="A740" s="15" t="s">
        <v>4281</v>
      </c>
      <c r="B740" s="15" t="s">
        <v>4303</v>
      </c>
      <c r="C740" s="52">
        <v>103.27587699999999</v>
      </c>
      <c r="D740" s="25">
        <v>8.9583333333333334E-2</v>
      </c>
      <c r="E740" s="53">
        <v>-22.911214999999999</v>
      </c>
      <c r="F740" s="53">
        <v>-47.166668000000001</v>
      </c>
      <c r="G740" s="53">
        <v>-23.243013000000001</v>
      </c>
      <c r="H740" s="53">
        <v>-46.882865000000002</v>
      </c>
      <c r="I740" s="53">
        <v>-23.491206999999999</v>
      </c>
      <c r="J740" s="53">
        <v>-46.735073999999997</v>
      </c>
      <c r="L740" s="61" t="str">
        <f t="shared" si="12"/>
        <v>Cliente11-Cliente33</v>
      </c>
      <c r="M740">
        <v>103.27587699999999</v>
      </c>
    </row>
    <row r="741" spans="1:13" x14ac:dyDescent="0.25">
      <c r="A741" s="15" t="s">
        <v>4281</v>
      </c>
      <c r="B741" s="15" t="s">
        <v>4304</v>
      </c>
      <c r="C741" s="54">
        <v>85.991772999999995</v>
      </c>
      <c r="D741" s="26">
        <v>7.7083333333333337E-2</v>
      </c>
      <c r="E741" s="55">
        <v>-22.921454000000001</v>
      </c>
      <c r="F741" s="55">
        <v>-47.141666000000001</v>
      </c>
      <c r="G741" s="55">
        <v>-23.271964000000001</v>
      </c>
      <c r="H741" s="55">
        <v>-46.868524999999998</v>
      </c>
      <c r="I741" s="55">
        <v>-23.410616000000001</v>
      </c>
      <c r="J741" s="55">
        <v>-46.825330999999998</v>
      </c>
      <c r="L741" s="61" t="str">
        <f t="shared" si="12"/>
        <v>Cliente11-Cliente34</v>
      </c>
      <c r="M741">
        <v>85.991772999999995</v>
      </c>
    </row>
    <row r="742" spans="1:13" x14ac:dyDescent="0.25">
      <c r="A742" s="15" t="s">
        <v>4281</v>
      </c>
      <c r="B742" s="15" t="s">
        <v>4305</v>
      </c>
      <c r="C742" s="52">
        <v>93.662619000000007</v>
      </c>
      <c r="D742" s="25">
        <v>7.9861111111111105E-2</v>
      </c>
      <c r="E742" s="53">
        <v>-22.912279999999999</v>
      </c>
      <c r="F742" s="53">
        <v>-47.190032000000002</v>
      </c>
      <c r="G742" s="53">
        <v>-23.205369000000001</v>
      </c>
      <c r="H742" s="53">
        <v>-46.926498000000002</v>
      </c>
      <c r="I742" s="53">
        <v>-23.432715000000002</v>
      </c>
      <c r="J742" s="53">
        <v>-46.760997000000003</v>
      </c>
      <c r="L742" s="61" t="str">
        <f t="shared" si="12"/>
        <v>Cliente11-Cliente35</v>
      </c>
      <c r="M742">
        <v>93.662619000000007</v>
      </c>
    </row>
    <row r="743" spans="1:13" x14ac:dyDescent="0.25">
      <c r="A743" s="15" t="s">
        <v>4281</v>
      </c>
      <c r="B743" s="15" t="s">
        <v>4306</v>
      </c>
      <c r="C743" s="54">
        <v>62.019834000000003</v>
      </c>
      <c r="D743" s="26">
        <v>5.4166666666666669E-2</v>
      </c>
      <c r="E743" s="55">
        <v>-22.664225999999999</v>
      </c>
      <c r="F743" s="55">
        <v>-47.616560999999997</v>
      </c>
      <c r="G743" s="55">
        <v>-22.355132999999999</v>
      </c>
      <c r="H743" s="55">
        <v>-47.644798000000002</v>
      </c>
      <c r="I743" s="55">
        <v>-22.255240000000001</v>
      </c>
      <c r="J743" s="55">
        <v>-47.702919000000001</v>
      </c>
      <c r="L743" s="61" t="str">
        <f t="shared" si="12"/>
        <v>Cliente11-Cliente36</v>
      </c>
      <c r="M743">
        <v>62.019834000000003</v>
      </c>
    </row>
    <row r="744" spans="1:13" x14ac:dyDescent="0.25">
      <c r="A744" s="15" t="s">
        <v>4281</v>
      </c>
      <c r="B744" s="15" t="s">
        <v>4307</v>
      </c>
      <c r="C744" s="52">
        <v>60.923110999999999</v>
      </c>
      <c r="D744" s="25">
        <v>5.2777777777777778E-2</v>
      </c>
      <c r="E744" s="53">
        <v>-22.664216</v>
      </c>
      <c r="F744" s="53">
        <v>-47.616990000000001</v>
      </c>
      <c r="G744" s="53">
        <v>-22.347014000000001</v>
      </c>
      <c r="H744" s="53">
        <v>-47.651054000000002</v>
      </c>
      <c r="I744" s="53">
        <v>-22.246016000000001</v>
      </c>
      <c r="J744" s="53">
        <v>-47.707210000000003</v>
      </c>
      <c r="L744" s="61" t="str">
        <f t="shared" si="12"/>
        <v>Cliente11-Cliente37</v>
      </c>
      <c r="M744">
        <v>60.923110999999999</v>
      </c>
    </row>
    <row r="745" spans="1:13" x14ac:dyDescent="0.25">
      <c r="A745" s="15" t="s">
        <v>4281</v>
      </c>
      <c r="B745" s="15" t="s">
        <v>4308</v>
      </c>
      <c r="C745" s="54">
        <v>59.146607000000003</v>
      </c>
      <c r="D745" s="26">
        <v>5.0694444444444452E-2</v>
      </c>
      <c r="E745" s="55">
        <v>-22.661846000000001</v>
      </c>
      <c r="F745" s="55">
        <v>-47.611420000000003</v>
      </c>
      <c r="G745" s="55">
        <v>-22.373137</v>
      </c>
      <c r="H745" s="55">
        <v>-47.620859000000003</v>
      </c>
      <c r="I745" s="55">
        <v>-22.275483999999999</v>
      </c>
      <c r="J745" s="55">
        <v>-47.697015</v>
      </c>
      <c r="L745" s="61" t="str">
        <f t="shared" si="12"/>
        <v>Cliente11-Cliente38</v>
      </c>
      <c r="M745">
        <v>59.146607000000003</v>
      </c>
    </row>
    <row r="746" spans="1:13" x14ac:dyDescent="0.25">
      <c r="A746" s="15" t="s">
        <v>4281</v>
      </c>
      <c r="B746" s="15" t="s">
        <v>4309</v>
      </c>
      <c r="C746" s="52">
        <v>161.64701099999999</v>
      </c>
      <c r="D746" s="25">
        <v>0.1361111111111111</v>
      </c>
      <c r="E746" s="53">
        <v>-22.914732000000001</v>
      </c>
      <c r="F746" s="53">
        <v>-46.949334999999998</v>
      </c>
      <c r="G746" s="53">
        <v>-23.167742000000001</v>
      </c>
      <c r="H746" s="53">
        <v>-46.443790999999997</v>
      </c>
      <c r="I746" s="53">
        <v>-23.242540999999999</v>
      </c>
      <c r="J746" s="53">
        <v>-46.120187000000001</v>
      </c>
      <c r="L746" s="61" t="str">
        <f t="shared" si="12"/>
        <v>Cliente11-Cliente39</v>
      </c>
      <c r="M746">
        <v>161.64701099999999</v>
      </c>
    </row>
    <row r="747" spans="1:13" x14ac:dyDescent="0.25">
      <c r="A747" s="15" t="s">
        <v>4281</v>
      </c>
      <c r="B747" s="15" t="s">
        <v>4310</v>
      </c>
      <c r="C747" s="54">
        <v>163.20851999999999</v>
      </c>
      <c r="D747" s="26">
        <v>0.13958333333333334</v>
      </c>
      <c r="E747" s="55">
        <v>-22.917542000000001</v>
      </c>
      <c r="F747" s="55">
        <v>-46.945931000000002</v>
      </c>
      <c r="G747" s="55">
        <v>-23.171178000000001</v>
      </c>
      <c r="H747" s="55">
        <v>-46.427148000000003</v>
      </c>
      <c r="I747" s="55">
        <v>-23.258293999999999</v>
      </c>
      <c r="J747" s="55">
        <v>-46.098849999999999</v>
      </c>
      <c r="L747" s="61" t="str">
        <f t="shared" si="12"/>
        <v>Cliente11-Cliente40</v>
      </c>
      <c r="M747">
        <v>163.20851999999999</v>
      </c>
    </row>
    <row r="748" spans="1:13" x14ac:dyDescent="0.25">
      <c r="A748" s="15" t="s">
        <v>4281</v>
      </c>
      <c r="B748" s="15" t="s">
        <v>4311</v>
      </c>
      <c r="C748" s="52">
        <v>152.50226799999999</v>
      </c>
      <c r="D748" s="25">
        <v>0.12986111111111112</v>
      </c>
      <c r="E748" s="53">
        <v>-22.916936</v>
      </c>
      <c r="F748" s="53">
        <v>-46.946598999999999</v>
      </c>
      <c r="G748" s="53">
        <v>-23.169851999999999</v>
      </c>
      <c r="H748" s="53">
        <v>-46.440689999999996</v>
      </c>
      <c r="I748" s="53">
        <v>-23.252901999999999</v>
      </c>
      <c r="J748" s="53">
        <v>-46.103651999999997</v>
      </c>
      <c r="L748" s="61" t="str">
        <f t="shared" si="12"/>
        <v>Cliente11-Cliente41</v>
      </c>
      <c r="M748">
        <v>152.50226799999999</v>
      </c>
    </row>
    <row r="749" spans="1:13" x14ac:dyDescent="0.25">
      <c r="A749" s="15" t="s">
        <v>4281</v>
      </c>
      <c r="B749" s="15" t="s">
        <v>4312</v>
      </c>
      <c r="C749" s="54">
        <v>149.214585</v>
      </c>
      <c r="D749" s="26">
        <v>0.12291666666666667</v>
      </c>
      <c r="E749" s="55">
        <v>-22.903492</v>
      </c>
      <c r="F749" s="55">
        <v>-46.980584</v>
      </c>
      <c r="G749" s="55">
        <v>-23.107513999999998</v>
      </c>
      <c r="H749" s="55">
        <v>-46.516952000000003</v>
      </c>
      <c r="I749" s="55">
        <v>-23.188860999999999</v>
      </c>
      <c r="J749" s="55">
        <v>-46.190967999999998</v>
      </c>
      <c r="L749" s="61" t="str">
        <f t="shared" si="12"/>
        <v>Cliente11-Cliente42</v>
      </c>
      <c r="M749">
        <v>149.214585</v>
      </c>
    </row>
    <row r="750" spans="1:13" x14ac:dyDescent="0.25">
      <c r="A750" s="15" t="s">
        <v>4281</v>
      </c>
      <c r="B750" s="15" t="s">
        <v>4313</v>
      </c>
      <c r="C750" s="52">
        <v>167.8887</v>
      </c>
      <c r="D750" s="25">
        <v>0.14166666666666666</v>
      </c>
      <c r="E750" s="53">
        <v>-22.928583</v>
      </c>
      <c r="F750" s="53">
        <v>-46.941023999999999</v>
      </c>
      <c r="G750" s="53">
        <v>-23.171236</v>
      </c>
      <c r="H750" s="53">
        <v>-46.390194999999999</v>
      </c>
      <c r="I750" s="53">
        <v>-23.248518000000001</v>
      </c>
      <c r="J750" s="53">
        <v>-46.078502999999998</v>
      </c>
      <c r="L750" s="61" t="str">
        <f t="shared" si="12"/>
        <v>Cliente11-Cliente43</v>
      </c>
      <c r="M750">
        <v>167.8887</v>
      </c>
    </row>
    <row r="751" spans="1:13" x14ac:dyDescent="0.25">
      <c r="A751" s="15" t="s">
        <v>4281</v>
      </c>
      <c r="B751" s="15" t="s">
        <v>4314</v>
      </c>
      <c r="C751" s="54">
        <v>74.019784999999999</v>
      </c>
      <c r="D751" s="26">
        <v>6.9444444444444434E-2</v>
      </c>
      <c r="E751" s="55">
        <v>-22.943014000000002</v>
      </c>
      <c r="F751" s="55">
        <v>-47.482787999999999</v>
      </c>
      <c r="G751" s="55">
        <v>-23.297333999999999</v>
      </c>
      <c r="H751" s="55">
        <v>-47.331620999999998</v>
      </c>
      <c r="I751" s="55">
        <v>-23.373093999999998</v>
      </c>
      <c r="J751" s="55">
        <v>-47.529204</v>
      </c>
      <c r="L751" s="61" t="str">
        <f t="shared" si="12"/>
        <v>Cliente11-Cliente44</v>
      </c>
      <c r="M751">
        <v>74.019784999999999</v>
      </c>
    </row>
    <row r="752" spans="1:13" x14ac:dyDescent="0.25">
      <c r="A752" s="15" t="s">
        <v>4281</v>
      </c>
      <c r="B752" s="15" t="s">
        <v>4315</v>
      </c>
      <c r="C752" s="52">
        <v>78.312849</v>
      </c>
      <c r="D752" s="25">
        <v>7.8472222222222221E-2</v>
      </c>
      <c r="E752" s="53">
        <v>-22.987829000000001</v>
      </c>
      <c r="F752" s="53">
        <v>-47.466191999999999</v>
      </c>
      <c r="G752" s="53">
        <v>-23.399512999999999</v>
      </c>
      <c r="H752" s="53">
        <v>-47.339027999999999</v>
      </c>
      <c r="I752" s="53">
        <v>-23.439549</v>
      </c>
      <c r="J752" s="53">
        <v>-47.515971999999998</v>
      </c>
      <c r="L752" s="61" t="str">
        <f t="shared" si="12"/>
        <v>Cliente11-Cliente45</v>
      </c>
      <c r="M752">
        <v>78.312849</v>
      </c>
    </row>
    <row r="753" spans="1:13" x14ac:dyDescent="0.25">
      <c r="A753" s="15" t="s">
        <v>4281</v>
      </c>
      <c r="B753" s="15" t="s">
        <v>4316</v>
      </c>
      <c r="C753" s="54">
        <v>62.793443000000003</v>
      </c>
      <c r="D753" s="26">
        <v>6.25E-2</v>
      </c>
      <c r="E753" s="55">
        <v>-22.851804000000001</v>
      </c>
      <c r="F753" s="55">
        <v>-47.555760999999997</v>
      </c>
      <c r="G753" s="55">
        <v>-23.179317999999999</v>
      </c>
      <c r="H753" s="55">
        <v>-47.330891999999999</v>
      </c>
      <c r="I753" s="55">
        <v>-23.465403999999999</v>
      </c>
      <c r="J753" s="55">
        <v>-47.417391000000002</v>
      </c>
      <c r="L753" s="61" t="str">
        <f t="shared" si="12"/>
        <v>Cliente11-Cliente46</v>
      </c>
      <c r="M753">
        <v>62.793443000000003</v>
      </c>
    </row>
    <row r="754" spans="1:13" x14ac:dyDescent="0.25">
      <c r="A754" s="15" t="s">
        <v>4281</v>
      </c>
      <c r="B754" s="15" t="s">
        <v>4317</v>
      </c>
      <c r="C754" s="52">
        <v>123.36858599999999</v>
      </c>
      <c r="D754" s="25">
        <v>9.9999999999999992E-2</v>
      </c>
      <c r="E754" s="53">
        <v>-22.654482000000002</v>
      </c>
      <c r="F754" s="53">
        <v>-47.518790000000003</v>
      </c>
      <c r="G754" s="53">
        <v>-22.454370999999998</v>
      </c>
      <c r="H754" s="53">
        <v>-47.398665000000001</v>
      </c>
      <c r="I754" s="53">
        <v>-21.74025</v>
      </c>
      <c r="J754" s="53">
        <v>-47.580210000000001</v>
      </c>
      <c r="L754" s="61" t="str">
        <f t="shared" si="12"/>
        <v>Cliente11-Cliente47</v>
      </c>
      <c r="M754">
        <v>123.36858599999999</v>
      </c>
    </row>
    <row r="755" spans="1:13" x14ac:dyDescent="0.25">
      <c r="A755" s="15" t="s">
        <v>4281</v>
      </c>
      <c r="B755" s="15" t="s">
        <v>4318</v>
      </c>
      <c r="C755" s="54">
        <v>132.47977399999999</v>
      </c>
      <c r="D755" s="26">
        <v>0.10833333333333334</v>
      </c>
      <c r="E755" s="55">
        <v>-22.599834999999999</v>
      </c>
      <c r="F755" s="55">
        <v>-47.471828000000002</v>
      </c>
      <c r="G755" s="55">
        <v>-22.329218000000001</v>
      </c>
      <c r="H755" s="55">
        <v>-47.389114999999997</v>
      </c>
      <c r="I755" s="55">
        <v>-21.355920999999999</v>
      </c>
      <c r="J755" s="55">
        <v>-47.723405999999997</v>
      </c>
      <c r="L755" s="61" t="str">
        <f t="shared" si="12"/>
        <v>Cliente11-Cliente48</v>
      </c>
      <c r="M755">
        <v>132.47977399999999</v>
      </c>
    </row>
    <row r="756" spans="1:13" x14ac:dyDescent="0.25">
      <c r="A756" s="15" t="s">
        <v>4281</v>
      </c>
      <c r="B756" s="15" t="s">
        <v>4319</v>
      </c>
      <c r="C756" s="52">
        <v>126.11753899999999</v>
      </c>
      <c r="D756" s="25">
        <v>0.10416666666666667</v>
      </c>
      <c r="E756" s="53">
        <v>-22.631636</v>
      </c>
      <c r="F756" s="53">
        <v>-47.504868999999999</v>
      </c>
      <c r="G756" s="53">
        <v>-22.370360999999999</v>
      </c>
      <c r="H756" s="53">
        <v>-47.394544000000003</v>
      </c>
      <c r="I756" s="53">
        <v>-21.428111000000001</v>
      </c>
      <c r="J756" s="53">
        <v>-47.654384999999998</v>
      </c>
      <c r="L756" s="61" t="str">
        <f t="shared" si="12"/>
        <v>Cliente11-Cliente49</v>
      </c>
      <c r="M756">
        <v>126.11753899999999</v>
      </c>
    </row>
    <row r="757" spans="1:13" x14ac:dyDescent="0.25">
      <c r="A757" s="15" t="s">
        <v>4281</v>
      </c>
      <c r="B757" s="15" t="s">
        <v>4320</v>
      </c>
      <c r="C757" s="54">
        <v>135.98307399999999</v>
      </c>
      <c r="D757" s="26">
        <v>0.11527777777777777</v>
      </c>
      <c r="E757" s="55">
        <v>-22.360865</v>
      </c>
      <c r="F757" s="55">
        <v>-47.634881</v>
      </c>
      <c r="G757" s="55">
        <v>-22.275791000000002</v>
      </c>
      <c r="H757" s="55">
        <v>-47.973154000000001</v>
      </c>
      <c r="I757" s="55">
        <v>-22.265806000000001</v>
      </c>
      <c r="J757" s="55">
        <v>-48.444839000000002</v>
      </c>
      <c r="L757" s="61" t="str">
        <f t="shared" si="12"/>
        <v>Cliente11-Cliente50</v>
      </c>
      <c r="M757">
        <v>135.98307399999999</v>
      </c>
    </row>
    <row r="758" spans="1:13" x14ac:dyDescent="0.25">
      <c r="A758" s="15" t="s">
        <v>4281</v>
      </c>
      <c r="B758" s="15" t="s">
        <v>4321</v>
      </c>
      <c r="C758" s="52">
        <v>135.802254</v>
      </c>
      <c r="D758" s="25">
        <v>0.11388888888888889</v>
      </c>
      <c r="E758" s="53">
        <v>-22.370388999999999</v>
      </c>
      <c r="F758" s="53">
        <v>-47.624110999999999</v>
      </c>
      <c r="G758" s="53">
        <v>-22.274324</v>
      </c>
      <c r="H758" s="53">
        <v>-47.948548000000002</v>
      </c>
      <c r="I758" s="53">
        <v>-22.268407</v>
      </c>
      <c r="J758" s="53">
        <v>-48.394908999999998</v>
      </c>
      <c r="L758" s="61" t="str">
        <f t="shared" si="12"/>
        <v>Cliente11-Cliente51</v>
      </c>
      <c r="M758">
        <v>135.802254</v>
      </c>
    </row>
    <row r="759" spans="1:13" x14ac:dyDescent="0.25">
      <c r="A759" s="15" t="s">
        <v>4282</v>
      </c>
      <c r="B759" s="15" t="s">
        <v>4268</v>
      </c>
      <c r="C759" s="54">
        <v>106.70647599999999</v>
      </c>
      <c r="D759" s="26">
        <v>9.375E-2</v>
      </c>
      <c r="E759" s="55">
        <v>-23.371203000000001</v>
      </c>
      <c r="F759" s="55">
        <v>-46.242761000000002</v>
      </c>
      <c r="G759" s="55">
        <v>-23.507504000000001</v>
      </c>
      <c r="H759" s="55">
        <v>-46.697887000000001</v>
      </c>
      <c r="I759" s="55">
        <v>-23.436502999999998</v>
      </c>
      <c r="J759" s="55">
        <v>-47.074652</v>
      </c>
      <c r="L759" s="61" t="str">
        <f t="shared" si="12"/>
        <v>Cliente12-depósito A</v>
      </c>
      <c r="M759">
        <v>106.70647599999999</v>
      </c>
    </row>
    <row r="760" spans="1:13" x14ac:dyDescent="0.25">
      <c r="A760" s="15" t="s">
        <v>4282</v>
      </c>
      <c r="B760" s="15" t="s">
        <v>4269</v>
      </c>
      <c r="C760" s="52">
        <v>196.79433800000001</v>
      </c>
      <c r="D760" s="25">
        <v>0.15902777777777777</v>
      </c>
      <c r="E760" s="53">
        <v>-23.174627000000001</v>
      </c>
      <c r="F760" s="53">
        <v>-46.281488000000003</v>
      </c>
      <c r="G760" s="53">
        <v>-22.973958</v>
      </c>
      <c r="H760" s="53">
        <v>-46.836027999999999</v>
      </c>
      <c r="I760" s="53">
        <v>-22.557307999999999</v>
      </c>
      <c r="J760" s="53">
        <v>-47.367770999999998</v>
      </c>
      <c r="L760" s="61" t="str">
        <f t="shared" si="12"/>
        <v>Cliente12-depósito B</v>
      </c>
      <c r="M760">
        <v>196.79433800000001</v>
      </c>
    </row>
    <row r="761" spans="1:13" x14ac:dyDescent="0.25">
      <c r="A761" s="15" t="s">
        <v>4282</v>
      </c>
      <c r="B761" s="15" t="s">
        <v>4270</v>
      </c>
      <c r="C761" s="54">
        <v>6.7052329999999998</v>
      </c>
      <c r="D761" s="26">
        <v>1.1111111111111112E-2</v>
      </c>
      <c r="E761" s="55">
        <v>-23.310317999999999</v>
      </c>
      <c r="F761" s="55">
        <v>-45.988298999999998</v>
      </c>
      <c r="G761" s="55">
        <v>-23.301867000000001</v>
      </c>
      <c r="H761" s="55">
        <v>-46.020529000000003</v>
      </c>
      <c r="I761" s="55">
        <v>-23.281257</v>
      </c>
      <c r="J761" s="55">
        <v>-45.983862000000002</v>
      </c>
      <c r="L761" s="61" t="str">
        <f t="shared" si="12"/>
        <v>Cliente12-depósito C</v>
      </c>
      <c r="M761">
        <v>6.7052329999999998</v>
      </c>
    </row>
    <row r="762" spans="1:13" x14ac:dyDescent="0.25">
      <c r="A762" s="15" t="s">
        <v>4282</v>
      </c>
      <c r="B762" s="15" t="s">
        <v>4271</v>
      </c>
      <c r="C762" s="52">
        <v>88.035467999999995</v>
      </c>
      <c r="D762" s="25">
        <v>7.4999999999999997E-2</v>
      </c>
      <c r="E762" s="53">
        <v>-23.204695000000001</v>
      </c>
      <c r="F762" s="53">
        <v>-46.160651000000001</v>
      </c>
      <c r="G762" s="53">
        <v>-23.168133999999998</v>
      </c>
      <c r="H762" s="53">
        <v>-46.443272</v>
      </c>
      <c r="I762" s="53">
        <v>-22.933223000000002</v>
      </c>
      <c r="J762" s="53">
        <v>-46.899517000000003</v>
      </c>
      <c r="L762" s="61" t="str">
        <f t="shared" si="12"/>
        <v>Cliente12-Cliente1</v>
      </c>
      <c r="M762">
        <v>88.035467999999995</v>
      </c>
    </row>
    <row r="763" spans="1:13" x14ac:dyDescent="0.25">
      <c r="A763" s="15" t="s">
        <v>4282</v>
      </c>
      <c r="B763" s="15" t="s">
        <v>4272</v>
      </c>
      <c r="C763" s="54">
        <v>85.633240999999998</v>
      </c>
      <c r="D763" s="26">
        <v>7.4999999999999997E-2</v>
      </c>
      <c r="E763" s="55">
        <v>-23.220604999999999</v>
      </c>
      <c r="F763" s="55">
        <v>-46.142023000000002</v>
      </c>
      <c r="G763" s="55">
        <v>-23.168427000000001</v>
      </c>
      <c r="H763" s="55">
        <v>-46.393779000000002</v>
      </c>
      <c r="I763" s="55">
        <v>-22.973958</v>
      </c>
      <c r="J763" s="55">
        <v>-46.836027999999999</v>
      </c>
      <c r="L763" s="61" t="str">
        <f t="shared" si="12"/>
        <v>Cliente12-Cliente2</v>
      </c>
      <c r="M763">
        <v>85.633240999999998</v>
      </c>
    </row>
    <row r="764" spans="1:13" x14ac:dyDescent="0.25">
      <c r="A764" s="15" t="s">
        <v>4282</v>
      </c>
      <c r="B764" s="15" t="s">
        <v>4273</v>
      </c>
      <c r="C764" s="52">
        <v>85.699727999999993</v>
      </c>
      <c r="D764" s="25">
        <v>7.5694444444444439E-2</v>
      </c>
      <c r="E764" s="53">
        <v>-23.210239999999999</v>
      </c>
      <c r="F764" s="53">
        <v>-46.156283000000002</v>
      </c>
      <c r="G764" s="53">
        <v>-23.169930999999998</v>
      </c>
      <c r="H764" s="53">
        <v>-46.439737000000001</v>
      </c>
      <c r="I764" s="53">
        <v>-22.935434000000001</v>
      </c>
      <c r="J764" s="53">
        <v>-46.894119000000003</v>
      </c>
      <c r="L764" s="61" t="str">
        <f t="shared" si="12"/>
        <v>Cliente12-Cliente3</v>
      </c>
      <c r="M764">
        <v>85.699727999999993</v>
      </c>
    </row>
    <row r="765" spans="1:13" x14ac:dyDescent="0.25">
      <c r="A765" s="15" t="s">
        <v>4282</v>
      </c>
      <c r="B765" s="15" t="s">
        <v>4274</v>
      </c>
      <c r="C765" s="54">
        <v>89.549132</v>
      </c>
      <c r="D765" s="26">
        <v>7.6388888888888895E-2</v>
      </c>
      <c r="E765" s="55">
        <v>-23.220604999999999</v>
      </c>
      <c r="F765" s="55">
        <v>-46.142023000000002</v>
      </c>
      <c r="G765" s="55">
        <v>-23.168427000000001</v>
      </c>
      <c r="H765" s="55">
        <v>-46.393779000000002</v>
      </c>
      <c r="I765" s="55">
        <v>-22.977176</v>
      </c>
      <c r="J765" s="55">
        <v>-46.830813999999997</v>
      </c>
      <c r="L765" s="61" t="str">
        <f t="shared" si="12"/>
        <v>Cliente12-Cliente4</v>
      </c>
      <c r="M765">
        <v>89.549132</v>
      </c>
    </row>
    <row r="766" spans="1:13" x14ac:dyDescent="0.25">
      <c r="A766" s="15" t="s">
        <v>4282</v>
      </c>
      <c r="B766" s="15" t="s">
        <v>4275</v>
      </c>
      <c r="C766" s="52">
        <v>89.642337999999995</v>
      </c>
      <c r="D766" s="25">
        <v>7.6388888888888895E-2</v>
      </c>
      <c r="E766" s="53">
        <v>-23.221865000000001</v>
      </c>
      <c r="F766" s="53">
        <v>-46.139142999999997</v>
      </c>
      <c r="G766" s="53">
        <v>-23.170565</v>
      </c>
      <c r="H766" s="53">
        <v>-46.391060000000003</v>
      </c>
      <c r="I766" s="53">
        <v>-22.98621</v>
      </c>
      <c r="J766" s="53">
        <v>-46.813600999999998</v>
      </c>
      <c r="L766" s="61" t="str">
        <f t="shared" si="12"/>
        <v>Cliente12-Cliente5</v>
      </c>
      <c r="M766">
        <v>89.642337999999995</v>
      </c>
    </row>
    <row r="767" spans="1:13" x14ac:dyDescent="0.25">
      <c r="A767" s="15" t="s">
        <v>4282</v>
      </c>
      <c r="B767" s="15" t="s">
        <v>4276</v>
      </c>
      <c r="C767" s="54">
        <v>84.045012</v>
      </c>
      <c r="D767" s="26">
        <v>7.4999999999999997E-2</v>
      </c>
      <c r="E767" s="55">
        <v>-23.204695000000001</v>
      </c>
      <c r="F767" s="55">
        <v>-46.160651000000001</v>
      </c>
      <c r="G767" s="55">
        <v>-23.168133999999998</v>
      </c>
      <c r="H767" s="55">
        <v>-46.443272</v>
      </c>
      <c r="I767" s="55">
        <v>-22.933866999999999</v>
      </c>
      <c r="J767" s="55">
        <v>-46.898868</v>
      </c>
      <c r="L767" s="61" t="str">
        <f t="shared" si="12"/>
        <v>Cliente12-Cliente6</v>
      </c>
      <c r="M767">
        <v>84.045012</v>
      </c>
    </row>
    <row r="768" spans="1:13" x14ac:dyDescent="0.25">
      <c r="A768" s="15" t="s">
        <v>4282</v>
      </c>
      <c r="B768" s="15" t="s">
        <v>4277</v>
      </c>
      <c r="C768" s="52">
        <v>88.695366000000007</v>
      </c>
      <c r="D768" s="25">
        <v>7.9166666666666663E-2</v>
      </c>
      <c r="E768" s="53">
        <v>-23.20243</v>
      </c>
      <c r="F768" s="53">
        <v>-46.164664999999999</v>
      </c>
      <c r="G768" s="53">
        <v>-23.131571000000001</v>
      </c>
      <c r="H768" s="53">
        <v>-46.461866999999998</v>
      </c>
      <c r="I768" s="53">
        <v>-22.931850000000001</v>
      </c>
      <c r="J768" s="53">
        <v>-46.922294000000001</v>
      </c>
      <c r="L768" s="61" t="str">
        <f t="shared" si="12"/>
        <v>Cliente12-Cliente7</v>
      </c>
      <c r="M768">
        <v>88.695366000000007</v>
      </c>
    </row>
    <row r="769" spans="1:13" x14ac:dyDescent="0.25">
      <c r="A769" s="15" t="s">
        <v>4282</v>
      </c>
      <c r="B769" s="15" t="s">
        <v>4278</v>
      </c>
      <c r="C769" s="54">
        <v>83.431717000000006</v>
      </c>
      <c r="D769" s="26">
        <v>7.0833333333333331E-2</v>
      </c>
      <c r="E769" s="55">
        <v>-23.230509999999999</v>
      </c>
      <c r="F769" s="55">
        <v>-46.130629999999996</v>
      </c>
      <c r="G769" s="55">
        <v>-23.183751000000001</v>
      </c>
      <c r="H769" s="55">
        <v>-46.372582000000001</v>
      </c>
      <c r="I769" s="55">
        <v>-23.005783999999998</v>
      </c>
      <c r="J769" s="55">
        <v>-46.767471</v>
      </c>
      <c r="L769" s="61" t="str">
        <f t="shared" si="12"/>
        <v>Cliente12-Cliente8</v>
      </c>
      <c r="M769">
        <v>83.431717000000006</v>
      </c>
    </row>
    <row r="770" spans="1:13" x14ac:dyDescent="0.25">
      <c r="A770" s="15" t="s">
        <v>4282</v>
      </c>
      <c r="B770" s="15" t="s">
        <v>4279</v>
      </c>
      <c r="C770" s="52">
        <v>107.01281299999999</v>
      </c>
      <c r="D770" s="25">
        <v>9.1666666666666674E-2</v>
      </c>
      <c r="E770" s="53">
        <v>-23.204695000000001</v>
      </c>
      <c r="F770" s="53">
        <v>-46.160651000000001</v>
      </c>
      <c r="G770" s="53">
        <v>-23.168133999999998</v>
      </c>
      <c r="H770" s="53">
        <v>-46.443272</v>
      </c>
      <c r="I770" s="53">
        <v>-22.931467000000001</v>
      </c>
      <c r="J770" s="53">
        <v>-46.901024999999997</v>
      </c>
      <c r="L770" s="61" t="str">
        <f t="shared" si="12"/>
        <v>Cliente12-Cliente9</v>
      </c>
      <c r="M770">
        <v>107.01281299999999</v>
      </c>
    </row>
    <row r="771" spans="1:13" x14ac:dyDescent="0.25">
      <c r="A771" s="15" t="s">
        <v>4282</v>
      </c>
      <c r="B771" s="15" t="s">
        <v>4280</v>
      </c>
      <c r="C771" s="54">
        <v>54.286228999999999</v>
      </c>
      <c r="D771" s="26">
        <v>5.6944444444444443E-2</v>
      </c>
      <c r="E771" s="55">
        <v>-23.320929</v>
      </c>
      <c r="F771" s="55">
        <v>-46.092657000000003</v>
      </c>
      <c r="G771" s="55">
        <v>-23.404731999999999</v>
      </c>
      <c r="H771" s="55">
        <v>-46.333511000000001</v>
      </c>
      <c r="I771" s="55">
        <v>-23.516408999999999</v>
      </c>
      <c r="J771" s="55">
        <v>-46.654031000000003</v>
      </c>
      <c r="L771" s="61" t="str">
        <f t="shared" si="12"/>
        <v>Cliente12-Cliente10</v>
      </c>
      <c r="M771">
        <v>54.286228999999999</v>
      </c>
    </row>
    <row r="772" spans="1:13" x14ac:dyDescent="0.25">
      <c r="A772" s="15" t="s">
        <v>4282</v>
      </c>
      <c r="B772" s="15" t="s">
        <v>4281</v>
      </c>
      <c r="C772" s="52">
        <v>127.56285200000001</v>
      </c>
      <c r="D772" s="25">
        <v>0.10555555555555556</v>
      </c>
      <c r="E772" s="53">
        <v>-23.196622000000001</v>
      </c>
      <c r="F772" s="53">
        <v>-46.184337999999997</v>
      </c>
      <c r="G772" s="53">
        <v>-23.107392000000001</v>
      </c>
      <c r="H772" s="53">
        <v>-46.506729</v>
      </c>
      <c r="I772" s="53">
        <v>-22.912061000000001</v>
      </c>
      <c r="J772" s="53">
        <v>-46.951534000000002</v>
      </c>
      <c r="L772" s="61" t="str">
        <f t="shared" si="12"/>
        <v>Cliente12-Cliente11</v>
      </c>
      <c r="M772">
        <v>127.56285200000001</v>
      </c>
    </row>
    <row r="773" spans="1:13" x14ac:dyDescent="0.25">
      <c r="A773" s="15" t="s">
        <v>4282</v>
      </c>
      <c r="B773" s="15" t="s">
        <v>4282</v>
      </c>
      <c r="C773" s="54">
        <v>0</v>
      </c>
      <c r="D773" s="26">
        <v>0</v>
      </c>
      <c r="E773" s="55">
        <f>'1. Locais'!D16</f>
        <v>-23.311050000000002</v>
      </c>
      <c r="F773" s="55">
        <f>'1. Locais'!E16</f>
        <v>-45.981070000000003</v>
      </c>
      <c r="G773" s="55">
        <f>'1. Locais'!D16</f>
        <v>-23.311050000000002</v>
      </c>
      <c r="H773" s="55">
        <f>'1. Locais'!E16</f>
        <v>-45.981070000000003</v>
      </c>
      <c r="I773" s="55">
        <f>'1. Locais'!D16</f>
        <v>-23.311050000000002</v>
      </c>
      <c r="J773" s="55">
        <f>'1. Locais'!E16</f>
        <v>-45.981070000000003</v>
      </c>
      <c r="L773" s="61" t="str">
        <f t="shared" si="12"/>
        <v>Cliente12-Cliente12</v>
      </c>
      <c r="M773">
        <v>0</v>
      </c>
    </row>
    <row r="774" spans="1:13" x14ac:dyDescent="0.25">
      <c r="A774" s="15" t="s">
        <v>4282</v>
      </c>
      <c r="B774" s="15" t="s">
        <v>4283</v>
      </c>
      <c r="C774" s="52">
        <v>13.630432000000001</v>
      </c>
      <c r="D774" s="25">
        <v>1.6666666666666666E-2</v>
      </c>
      <c r="E774" s="53">
        <v>-23.309902999999998</v>
      </c>
      <c r="F774" s="53">
        <v>-46.000751999999999</v>
      </c>
      <c r="G774" s="53">
        <v>-23.293949999999999</v>
      </c>
      <c r="H774" s="53">
        <v>-46.003681</v>
      </c>
      <c r="I774" s="53">
        <v>-23.222383000000001</v>
      </c>
      <c r="J774" s="53">
        <v>-45.900823000000003</v>
      </c>
      <c r="L774" s="61" t="str">
        <f t="shared" si="12"/>
        <v>Cliente12-Cliente13</v>
      </c>
      <c r="M774">
        <v>13.630432000000001</v>
      </c>
    </row>
    <row r="775" spans="1:13" x14ac:dyDescent="0.25">
      <c r="A775" s="15" t="s">
        <v>4282</v>
      </c>
      <c r="B775" s="15" t="s">
        <v>4284</v>
      </c>
      <c r="C775" s="54">
        <v>11.692992</v>
      </c>
      <c r="D775" s="26">
        <v>1.3888888888888888E-2</v>
      </c>
      <c r="E775" s="55">
        <v>-23.309972999999999</v>
      </c>
      <c r="F775" s="55">
        <v>-45.986204999999998</v>
      </c>
      <c r="G775" s="55">
        <v>-23.304376999999999</v>
      </c>
      <c r="H775" s="55">
        <v>-46.014353999999997</v>
      </c>
      <c r="I775" s="55">
        <v>-23.299318</v>
      </c>
      <c r="J775" s="55">
        <v>-46.012495999999999</v>
      </c>
      <c r="L775" s="61" t="str">
        <f t="shared" si="12"/>
        <v>Cliente12-Cliente14</v>
      </c>
      <c r="M775">
        <v>11.692992</v>
      </c>
    </row>
    <row r="776" spans="1:13" x14ac:dyDescent="0.25">
      <c r="A776" s="15" t="s">
        <v>4282</v>
      </c>
      <c r="B776" s="15" t="s">
        <v>4285</v>
      </c>
      <c r="C776" s="52">
        <v>14.071607</v>
      </c>
      <c r="D776" s="25">
        <v>1.9444444444444445E-2</v>
      </c>
      <c r="E776" s="53">
        <v>-23.309902999999998</v>
      </c>
      <c r="F776" s="53">
        <v>-46.000751999999999</v>
      </c>
      <c r="G776" s="53">
        <v>-23.293949999999999</v>
      </c>
      <c r="H776" s="53">
        <v>-46.003681</v>
      </c>
      <c r="I776" s="53" t="s">
        <v>7294</v>
      </c>
      <c r="J776" s="53">
        <v>-45.901924999999999</v>
      </c>
      <c r="L776" s="61" t="str">
        <f t="shared" si="12"/>
        <v>Cliente12-Cliente15</v>
      </c>
      <c r="M776">
        <v>14.071607</v>
      </c>
    </row>
    <row r="777" spans="1:13" x14ac:dyDescent="0.25">
      <c r="A777" s="15" t="s">
        <v>4282</v>
      </c>
      <c r="B777" s="15" t="s">
        <v>4286</v>
      </c>
      <c r="C777" s="54">
        <v>13.002224999999999</v>
      </c>
      <c r="D777" s="26">
        <v>1.8055555555555557E-2</v>
      </c>
      <c r="E777" s="55">
        <v>-23.309902999999998</v>
      </c>
      <c r="F777" s="55">
        <v>-46.000751999999999</v>
      </c>
      <c r="G777" s="55">
        <v>-23.293949999999999</v>
      </c>
      <c r="H777" s="55">
        <v>-46.003681</v>
      </c>
      <c r="I777" s="55">
        <v>-23.239395999999999</v>
      </c>
      <c r="J777" s="55">
        <v>-45.906871000000002</v>
      </c>
      <c r="L777" s="61" t="str">
        <f t="shared" si="12"/>
        <v>Cliente12-Cliente16</v>
      </c>
      <c r="M777">
        <v>13.002224999999999</v>
      </c>
    </row>
    <row r="778" spans="1:13" x14ac:dyDescent="0.25">
      <c r="A778" s="15" t="s">
        <v>4282</v>
      </c>
      <c r="B778" s="15" t="s">
        <v>4287</v>
      </c>
      <c r="C778" s="52">
        <v>14.057937000000001</v>
      </c>
      <c r="D778" s="25">
        <v>1.5972222222222224E-2</v>
      </c>
      <c r="E778" s="53">
        <v>-23.309902999999998</v>
      </c>
      <c r="F778" s="53">
        <v>-46.000751999999999</v>
      </c>
      <c r="G778" s="53">
        <v>-23.293949999999999</v>
      </c>
      <c r="H778" s="53">
        <v>-46.003681</v>
      </c>
      <c r="I778" s="53">
        <v>-23.222383000000001</v>
      </c>
      <c r="J778" s="53">
        <v>-45.900823000000003</v>
      </c>
      <c r="L778" s="61" t="str">
        <f t="shared" si="12"/>
        <v>Cliente12-Cliente17</v>
      </c>
      <c r="M778">
        <v>14.057937000000001</v>
      </c>
    </row>
    <row r="779" spans="1:13" x14ac:dyDescent="0.25">
      <c r="A779" s="15" t="s">
        <v>4282</v>
      </c>
      <c r="B779" s="15" t="s">
        <v>4288</v>
      </c>
      <c r="C779" s="54">
        <v>18.886002999999999</v>
      </c>
      <c r="D779" s="26">
        <v>2.0833333333333332E-2</v>
      </c>
      <c r="E779" s="55">
        <v>-23.311409000000001</v>
      </c>
      <c r="F779" s="55">
        <v>-45.994571999999998</v>
      </c>
      <c r="G779" s="55">
        <v>-23.300843</v>
      </c>
      <c r="H779" s="55">
        <v>-46.018656999999997</v>
      </c>
      <c r="I779" s="55">
        <v>-23.197389000000001</v>
      </c>
      <c r="J779" s="55">
        <v>-45.875340000000001</v>
      </c>
      <c r="L779" s="61" t="str">
        <f t="shared" si="12"/>
        <v>Cliente12-Cliente18</v>
      </c>
      <c r="M779">
        <v>18.886002999999999</v>
      </c>
    </row>
    <row r="780" spans="1:13" x14ac:dyDescent="0.25">
      <c r="A780" s="15" t="s">
        <v>4282</v>
      </c>
      <c r="B780" s="15" t="s">
        <v>4289</v>
      </c>
      <c r="C780" s="52">
        <v>49.458784000000001</v>
      </c>
      <c r="D780" s="25">
        <v>4.7916666666666663E-2</v>
      </c>
      <c r="E780" s="53">
        <v>-23.314094999999998</v>
      </c>
      <c r="F780" s="53">
        <v>-46.067335</v>
      </c>
      <c r="G780" s="53">
        <v>-23.393184000000002</v>
      </c>
      <c r="H780" s="53">
        <v>-46.285952000000002</v>
      </c>
      <c r="I780" s="53">
        <v>-23.527239999999999</v>
      </c>
      <c r="J780" s="53">
        <v>-46.596774000000003</v>
      </c>
      <c r="L780" s="61" t="str">
        <f t="shared" si="12"/>
        <v>Cliente12-Cliente19</v>
      </c>
      <c r="M780">
        <v>49.458784000000001</v>
      </c>
    </row>
    <row r="781" spans="1:13" x14ac:dyDescent="0.25">
      <c r="A781" s="15" t="s">
        <v>4282</v>
      </c>
      <c r="B781" s="15" t="s">
        <v>4290</v>
      </c>
      <c r="C781" s="54">
        <v>57.011569999999999</v>
      </c>
      <c r="D781" s="26">
        <v>5.6944444444444443E-2</v>
      </c>
      <c r="E781" s="55">
        <v>-23.320929</v>
      </c>
      <c r="F781" s="55">
        <v>-46.092657000000003</v>
      </c>
      <c r="G781" s="55">
        <v>-23.404731999999999</v>
      </c>
      <c r="H781" s="55">
        <v>-46.333511000000001</v>
      </c>
      <c r="I781" s="55">
        <v>-23.516408999999999</v>
      </c>
      <c r="J781" s="55">
        <v>-46.654031000000003</v>
      </c>
      <c r="L781" s="61" t="str">
        <f t="shared" si="12"/>
        <v>Cliente12-Cliente20</v>
      </c>
      <c r="M781">
        <v>57.011569999999999</v>
      </c>
    </row>
    <row r="782" spans="1:13" x14ac:dyDescent="0.25">
      <c r="A782" s="15" t="s">
        <v>4282</v>
      </c>
      <c r="B782" s="15" t="s">
        <v>4291</v>
      </c>
      <c r="C782" s="52">
        <v>56.618240999999998</v>
      </c>
      <c r="D782" s="25">
        <v>5.6944444444444443E-2</v>
      </c>
      <c r="E782" s="53">
        <v>-23.322320000000001</v>
      </c>
      <c r="F782" s="53">
        <v>-46.117054000000003</v>
      </c>
      <c r="G782" s="53">
        <v>-23.414145999999999</v>
      </c>
      <c r="H782" s="53">
        <v>-46.364620000000002</v>
      </c>
      <c r="I782" s="53">
        <v>-23.508281</v>
      </c>
      <c r="J782" s="53">
        <v>-46.706426</v>
      </c>
      <c r="L782" s="61" t="str">
        <f t="shared" si="12"/>
        <v>Cliente12-Cliente21</v>
      </c>
      <c r="M782">
        <v>56.618240999999998</v>
      </c>
    </row>
    <row r="783" spans="1:13" x14ac:dyDescent="0.25">
      <c r="A783" s="15" t="s">
        <v>4282</v>
      </c>
      <c r="B783" s="15" t="s">
        <v>4292</v>
      </c>
      <c r="C783" s="54">
        <v>53.328693999999999</v>
      </c>
      <c r="D783" s="26">
        <v>5.4166666666666669E-2</v>
      </c>
      <c r="E783" s="55">
        <v>-23.320929</v>
      </c>
      <c r="F783" s="55">
        <v>-46.092657000000003</v>
      </c>
      <c r="G783" s="55">
        <v>-23.404731999999999</v>
      </c>
      <c r="H783" s="55">
        <v>-46.333511000000001</v>
      </c>
      <c r="I783" s="55">
        <v>-23.516408999999999</v>
      </c>
      <c r="J783" s="55">
        <v>-46.654031000000003</v>
      </c>
      <c r="L783" s="61" t="str">
        <f t="shared" si="12"/>
        <v>Cliente12-Cliente22</v>
      </c>
      <c r="M783">
        <v>53.328693999999999</v>
      </c>
    </row>
    <row r="784" spans="1:13" x14ac:dyDescent="0.25">
      <c r="A784" s="15" t="s">
        <v>4282</v>
      </c>
      <c r="B784" s="15" t="s">
        <v>4293</v>
      </c>
      <c r="C784" s="52">
        <v>61.767556999999996</v>
      </c>
      <c r="D784" s="25">
        <v>6.3888888888888884E-2</v>
      </c>
      <c r="E784" s="53">
        <v>-23.344650000000001</v>
      </c>
      <c r="F784" s="53">
        <v>-46.161610000000003</v>
      </c>
      <c r="G784" s="53">
        <v>-23.470877000000002</v>
      </c>
      <c r="H784" s="53">
        <v>-46.516931999999997</v>
      </c>
      <c r="I784" s="53">
        <v>-23.517306999999999</v>
      </c>
      <c r="J784" s="53">
        <v>-46.735199000000001</v>
      </c>
      <c r="L784" s="61" t="str">
        <f t="shared" si="12"/>
        <v>Cliente12-Cliente23</v>
      </c>
      <c r="M784">
        <v>61.767556999999996</v>
      </c>
    </row>
    <row r="785" spans="1:13" x14ac:dyDescent="0.25">
      <c r="A785" s="15" t="s">
        <v>4282</v>
      </c>
      <c r="B785" s="15" t="s">
        <v>4294</v>
      </c>
      <c r="C785" s="54">
        <v>56.612026999999998</v>
      </c>
      <c r="D785" s="26">
        <v>6.6666666666666666E-2</v>
      </c>
      <c r="E785" s="55">
        <v>-23.323074999999999</v>
      </c>
      <c r="F785" s="55">
        <v>-46.119318</v>
      </c>
      <c r="G785" s="55">
        <v>-23.423829999999999</v>
      </c>
      <c r="H785" s="55">
        <v>-46.399090000000001</v>
      </c>
      <c r="I785" s="55">
        <v>-23.555022999999998</v>
      </c>
      <c r="J785" s="55">
        <v>-46.643068</v>
      </c>
      <c r="L785" s="61" t="str">
        <f t="shared" si="12"/>
        <v>Cliente12-Cliente24</v>
      </c>
      <c r="M785">
        <v>56.612026999999998</v>
      </c>
    </row>
    <row r="786" spans="1:13" x14ac:dyDescent="0.25">
      <c r="A786" s="15" t="s">
        <v>4282</v>
      </c>
      <c r="B786" s="15" t="s">
        <v>4295</v>
      </c>
      <c r="C786" s="52">
        <v>59.035381000000001</v>
      </c>
      <c r="D786" s="25">
        <v>7.2222222222222229E-2</v>
      </c>
      <c r="E786" s="53">
        <v>-23.351792</v>
      </c>
      <c r="F786" s="53">
        <v>-46.188212999999998</v>
      </c>
      <c r="G786" s="53">
        <v>-23.524584999999998</v>
      </c>
      <c r="H786" s="53">
        <v>-46.586758000000003</v>
      </c>
      <c r="I786" s="53">
        <v>-23.573169</v>
      </c>
      <c r="J786" s="53">
        <v>-46.705872999999997</v>
      </c>
      <c r="L786" s="61" t="str">
        <f t="shared" ref="L786:L849" si="13">_xlfn.CONCAT(A786,"-",B786)</f>
        <v>Cliente12-Cliente25</v>
      </c>
      <c r="M786">
        <v>59.035381000000001</v>
      </c>
    </row>
    <row r="787" spans="1:13" x14ac:dyDescent="0.25">
      <c r="A787" s="15" t="s">
        <v>4282</v>
      </c>
      <c r="B787" s="15" t="s">
        <v>4296</v>
      </c>
      <c r="C787" s="54">
        <v>65.724457999999998</v>
      </c>
      <c r="D787" s="26">
        <v>6.5277777777777782E-2</v>
      </c>
      <c r="E787" s="55">
        <v>-23.35596</v>
      </c>
      <c r="F787" s="55">
        <v>-46.205297000000002</v>
      </c>
      <c r="G787" s="55">
        <v>-23.522711000000001</v>
      </c>
      <c r="H787" s="55">
        <v>-46.608977000000003</v>
      </c>
      <c r="I787" s="55">
        <v>-23.511299000000001</v>
      </c>
      <c r="J787" s="55">
        <v>-46.809038000000001</v>
      </c>
      <c r="L787" s="61" t="str">
        <f t="shared" si="13"/>
        <v>Cliente12-Cliente26</v>
      </c>
      <c r="M787">
        <v>65.724457999999998</v>
      </c>
    </row>
    <row r="788" spans="1:13" x14ac:dyDescent="0.25">
      <c r="A788" s="15" t="s">
        <v>4282</v>
      </c>
      <c r="B788" s="15" t="s">
        <v>4297</v>
      </c>
      <c r="C788" s="52">
        <v>58.438862999999998</v>
      </c>
      <c r="D788" s="25">
        <v>6.8749999999999992E-2</v>
      </c>
      <c r="E788" s="53">
        <v>-23.345734</v>
      </c>
      <c r="F788" s="53">
        <v>-46.164152000000001</v>
      </c>
      <c r="G788" s="53">
        <v>-23.503347000000002</v>
      </c>
      <c r="H788" s="53">
        <v>-46.566929999999999</v>
      </c>
      <c r="I788" s="53">
        <v>-23.556035999999999</v>
      </c>
      <c r="J788" s="53">
        <v>-46.663559999999997</v>
      </c>
      <c r="L788" s="61" t="str">
        <f t="shared" si="13"/>
        <v>Cliente12-Cliente27</v>
      </c>
      <c r="M788">
        <v>58.438862999999998</v>
      </c>
    </row>
    <row r="789" spans="1:13" x14ac:dyDescent="0.25">
      <c r="A789" s="15" t="s">
        <v>4282</v>
      </c>
      <c r="B789" s="15" t="s">
        <v>4298</v>
      </c>
      <c r="C789" s="54">
        <v>58.226354000000001</v>
      </c>
      <c r="D789" s="26">
        <v>6.3888888888888884E-2</v>
      </c>
      <c r="E789" s="55">
        <v>-23.338882000000002</v>
      </c>
      <c r="F789" s="55">
        <v>-46.150635000000001</v>
      </c>
      <c r="G789" s="55">
        <v>-23.467075999999999</v>
      </c>
      <c r="H789" s="55">
        <v>-46.505155000000002</v>
      </c>
      <c r="I789" s="55">
        <v>-23.563884000000002</v>
      </c>
      <c r="J789" s="55">
        <v>-46.640464999999999</v>
      </c>
      <c r="L789" s="61" t="str">
        <f t="shared" si="13"/>
        <v>Cliente12-Cliente28</v>
      </c>
      <c r="M789">
        <v>58.226354000000001</v>
      </c>
    </row>
    <row r="790" spans="1:13" x14ac:dyDescent="0.25">
      <c r="A790" s="15" t="s">
        <v>4282</v>
      </c>
      <c r="B790" s="15" t="s">
        <v>4299</v>
      </c>
      <c r="C790" s="52">
        <v>55.811078000000002</v>
      </c>
      <c r="D790" s="25">
        <v>5.9027777777777783E-2</v>
      </c>
      <c r="E790" s="53">
        <v>-23.321808000000001</v>
      </c>
      <c r="F790" s="53">
        <v>-46.112901000000001</v>
      </c>
      <c r="G790" s="53">
        <v>-23.409676000000001</v>
      </c>
      <c r="H790" s="53">
        <v>-46.343687000000003</v>
      </c>
      <c r="I790" s="53">
        <v>-23.582542</v>
      </c>
      <c r="J790" s="53">
        <v>-46.573447999999999</v>
      </c>
      <c r="L790" s="61" t="str">
        <f t="shared" si="13"/>
        <v>Cliente12-Cliente29</v>
      </c>
      <c r="M790">
        <v>55.811078000000002</v>
      </c>
    </row>
    <row r="791" spans="1:13" x14ac:dyDescent="0.25">
      <c r="A791" s="15" t="s">
        <v>4282</v>
      </c>
      <c r="B791" s="15" t="s">
        <v>4300</v>
      </c>
      <c r="C791" s="54">
        <v>56.873004000000002</v>
      </c>
      <c r="D791" s="26">
        <v>5.2777777777777778E-2</v>
      </c>
      <c r="E791" s="55">
        <v>-23.329882999999999</v>
      </c>
      <c r="F791" s="55">
        <v>-46.135344000000003</v>
      </c>
      <c r="G791" s="55">
        <v>-23.465140999999999</v>
      </c>
      <c r="H791" s="55">
        <v>-46.340645000000002</v>
      </c>
      <c r="I791" s="55">
        <v>-23.663488000000001</v>
      </c>
      <c r="J791" s="55">
        <v>-46.394229000000003</v>
      </c>
      <c r="L791" s="61" t="str">
        <f t="shared" si="13"/>
        <v>Cliente12-Cliente30</v>
      </c>
      <c r="M791">
        <v>56.873004000000002</v>
      </c>
    </row>
    <row r="792" spans="1:13" x14ac:dyDescent="0.25">
      <c r="A792" s="15" t="s">
        <v>4282</v>
      </c>
      <c r="B792" s="15" t="s">
        <v>4301</v>
      </c>
      <c r="C792" s="52">
        <v>59.726968999999997</v>
      </c>
      <c r="D792" s="25">
        <v>6.1805555555555558E-2</v>
      </c>
      <c r="E792" s="53">
        <v>-23.345734</v>
      </c>
      <c r="F792" s="53">
        <v>-46.164152000000001</v>
      </c>
      <c r="G792" s="53">
        <v>-23.473317000000002</v>
      </c>
      <c r="H792" s="53">
        <v>-46.521718</v>
      </c>
      <c r="I792" s="53">
        <v>-23.517052</v>
      </c>
      <c r="J792" s="53">
        <v>-46.743102</v>
      </c>
      <c r="L792" s="61" t="str">
        <f t="shared" si="13"/>
        <v>Cliente12-Cliente31</v>
      </c>
      <c r="M792">
        <v>59.726968999999997</v>
      </c>
    </row>
    <row r="793" spans="1:13" x14ac:dyDescent="0.25">
      <c r="A793" s="15" t="s">
        <v>4282</v>
      </c>
      <c r="B793" s="15" t="s">
        <v>4302</v>
      </c>
      <c r="C793" s="54">
        <v>54.757851000000002</v>
      </c>
      <c r="D793" s="26">
        <v>5.486111111111111E-2</v>
      </c>
      <c r="E793" s="55">
        <v>-23.320332000000001</v>
      </c>
      <c r="F793" s="55">
        <v>-46.090277999999998</v>
      </c>
      <c r="G793" s="55">
        <v>-23.403383999999999</v>
      </c>
      <c r="H793" s="55">
        <v>-46.330542999999999</v>
      </c>
      <c r="I793" s="55">
        <v>-23.518077000000002</v>
      </c>
      <c r="J793" s="55">
        <v>-46.639681000000003</v>
      </c>
      <c r="L793" s="61" t="str">
        <f t="shared" si="13"/>
        <v>Cliente12-Cliente32</v>
      </c>
      <c r="M793">
        <v>54.757851000000002</v>
      </c>
    </row>
    <row r="794" spans="1:13" x14ac:dyDescent="0.25">
      <c r="A794" s="15" t="s">
        <v>4282</v>
      </c>
      <c r="B794" s="15" t="s">
        <v>4303</v>
      </c>
      <c r="C794" s="52">
        <v>44.823965000000001</v>
      </c>
      <c r="D794" s="25">
        <v>4.4444444444444446E-2</v>
      </c>
      <c r="E794" s="53">
        <v>-23.308149</v>
      </c>
      <c r="F794" s="53">
        <v>-46.056229000000002</v>
      </c>
      <c r="G794" s="53">
        <v>-23.370151</v>
      </c>
      <c r="H794" s="53">
        <v>-46.241410999999999</v>
      </c>
      <c r="I794" s="53">
        <v>-23.467492</v>
      </c>
      <c r="J794" s="53">
        <v>-46.506751999999999</v>
      </c>
      <c r="L794" s="61" t="str">
        <f t="shared" si="13"/>
        <v>Cliente12-Cliente33</v>
      </c>
      <c r="M794">
        <v>44.823965000000001</v>
      </c>
    </row>
    <row r="795" spans="1:13" x14ac:dyDescent="0.25">
      <c r="A795" s="15" t="s">
        <v>4282</v>
      </c>
      <c r="B795" s="15" t="s">
        <v>4304</v>
      </c>
      <c r="C795" s="54">
        <v>64.434488999999999</v>
      </c>
      <c r="D795" s="26">
        <v>6.6666666666666666E-2</v>
      </c>
      <c r="E795" s="55">
        <v>-23.352215999999999</v>
      </c>
      <c r="F795" s="55">
        <v>-46.199869999999997</v>
      </c>
      <c r="G795" s="55">
        <v>-23.522694000000001</v>
      </c>
      <c r="H795" s="55">
        <v>-46.602558999999999</v>
      </c>
      <c r="I795" s="55">
        <v>-23.510334</v>
      </c>
      <c r="J795" s="55">
        <v>-46.808275999999999</v>
      </c>
      <c r="L795" s="61" t="str">
        <f t="shared" si="13"/>
        <v>Cliente12-Cliente34</v>
      </c>
      <c r="M795">
        <v>64.434488999999999</v>
      </c>
    </row>
    <row r="796" spans="1:13" x14ac:dyDescent="0.25">
      <c r="A796" s="15" t="s">
        <v>4282</v>
      </c>
      <c r="B796" s="15" t="s">
        <v>4305</v>
      </c>
      <c r="C796" s="52">
        <v>65.030384999999995</v>
      </c>
      <c r="D796" s="25">
        <v>6.6666666666666666E-2</v>
      </c>
      <c r="E796" s="53">
        <v>-23.351648999999998</v>
      </c>
      <c r="F796" s="53">
        <v>-46.189768000000001</v>
      </c>
      <c r="G796" s="53">
        <v>-23.528842999999998</v>
      </c>
      <c r="H796" s="53">
        <v>-46.594597</v>
      </c>
      <c r="I796" s="53">
        <v>-23.519904</v>
      </c>
      <c r="J796" s="53">
        <v>-46.778849000000001</v>
      </c>
      <c r="L796" s="61" t="str">
        <f t="shared" si="13"/>
        <v>Cliente12-Cliente35</v>
      </c>
      <c r="M796">
        <v>65.030384999999995</v>
      </c>
    </row>
    <row r="797" spans="1:13" x14ac:dyDescent="0.25">
      <c r="A797" s="15" t="s">
        <v>4282</v>
      </c>
      <c r="B797" s="15" t="s">
        <v>4306</v>
      </c>
      <c r="C797" s="54">
        <v>173.73022499999999</v>
      </c>
      <c r="D797" s="26">
        <v>0.14375000000000002</v>
      </c>
      <c r="E797" s="55">
        <v>-23.173306</v>
      </c>
      <c r="F797" s="55">
        <v>-46.278526999999997</v>
      </c>
      <c r="G797" s="55">
        <v>-22.98593</v>
      </c>
      <c r="H797" s="55">
        <v>-46.814684</v>
      </c>
      <c r="I797" s="55">
        <v>-22.564349</v>
      </c>
      <c r="J797" s="55">
        <v>-47.365664000000002</v>
      </c>
      <c r="L797" s="61" t="str">
        <f t="shared" si="13"/>
        <v>Cliente12-Cliente36</v>
      </c>
      <c r="M797">
        <v>173.73022499999999</v>
      </c>
    </row>
    <row r="798" spans="1:13" x14ac:dyDescent="0.25">
      <c r="A798" s="15" t="s">
        <v>4282</v>
      </c>
      <c r="B798" s="15" t="s">
        <v>4307</v>
      </c>
      <c r="C798" s="52">
        <v>172.63350199999999</v>
      </c>
      <c r="D798" s="25">
        <v>0.1423611111111111</v>
      </c>
      <c r="E798" s="53">
        <v>-23.174627000000001</v>
      </c>
      <c r="F798" s="53">
        <v>-46.281488000000003</v>
      </c>
      <c r="G798" s="53">
        <v>-22.973958</v>
      </c>
      <c r="H798" s="53">
        <v>-46.836027999999999</v>
      </c>
      <c r="I798" s="53">
        <v>-22.557307999999999</v>
      </c>
      <c r="J798" s="53">
        <v>-47.367770999999998</v>
      </c>
      <c r="L798" s="61" t="str">
        <f t="shared" si="13"/>
        <v>Cliente12-Cliente37</v>
      </c>
      <c r="M798">
        <v>172.63350199999999</v>
      </c>
    </row>
    <row r="799" spans="1:13" x14ac:dyDescent="0.25">
      <c r="A799" s="15" t="s">
        <v>4282</v>
      </c>
      <c r="B799" s="15" t="s">
        <v>4308</v>
      </c>
      <c r="C799" s="54">
        <v>170.85699700000001</v>
      </c>
      <c r="D799" s="26">
        <v>0.14027777777777778</v>
      </c>
      <c r="E799" s="55">
        <v>-23.172507</v>
      </c>
      <c r="F799" s="55">
        <v>-46.262763</v>
      </c>
      <c r="G799" s="55">
        <v>-22.990003000000002</v>
      </c>
      <c r="H799" s="55">
        <v>-46.798687000000001</v>
      </c>
      <c r="I799" s="55">
        <v>-22.611640000000001</v>
      </c>
      <c r="J799" s="55">
        <v>-47.354964000000002</v>
      </c>
      <c r="L799" s="61" t="str">
        <f t="shared" si="13"/>
        <v>Cliente12-Cliente38</v>
      </c>
      <c r="M799">
        <v>170.85699700000001</v>
      </c>
    </row>
    <row r="800" spans="1:13" x14ac:dyDescent="0.25">
      <c r="A800" s="15" t="s">
        <v>4282</v>
      </c>
      <c r="B800" s="15" t="s">
        <v>4309</v>
      </c>
      <c r="C800" s="52">
        <v>39.892130000000002</v>
      </c>
      <c r="D800" s="25">
        <v>4.027777777777778E-2</v>
      </c>
      <c r="E800" s="53">
        <v>-23.301867000000001</v>
      </c>
      <c r="F800" s="53">
        <v>-46.020529000000003</v>
      </c>
      <c r="G800" s="53">
        <v>-23.111205999999999</v>
      </c>
      <c r="H800" s="53">
        <v>-45.704684999999998</v>
      </c>
      <c r="I800" s="53">
        <v>-23.036484999999999</v>
      </c>
      <c r="J800" s="53">
        <v>-45.556984999999997</v>
      </c>
      <c r="L800" s="61" t="str">
        <f t="shared" si="13"/>
        <v>Cliente12-Cliente39</v>
      </c>
      <c r="M800">
        <v>39.892130000000002</v>
      </c>
    </row>
    <row r="801" spans="1:13" x14ac:dyDescent="0.25">
      <c r="A801" s="15" t="s">
        <v>4282</v>
      </c>
      <c r="B801" s="15" t="s">
        <v>4310</v>
      </c>
      <c r="C801" s="54">
        <v>41.453639000000003</v>
      </c>
      <c r="D801" s="26">
        <v>4.3750000000000004E-2</v>
      </c>
      <c r="E801" s="55">
        <v>-23.301278</v>
      </c>
      <c r="F801" s="55">
        <v>-46.020544000000001</v>
      </c>
      <c r="G801" s="55">
        <v>-23.049916</v>
      </c>
      <c r="H801" s="55">
        <v>-45.600662999999997</v>
      </c>
      <c r="I801" s="55">
        <v>-23.029502999999998</v>
      </c>
      <c r="J801" s="55">
        <v>-45.554628000000001</v>
      </c>
      <c r="L801" s="61" t="str">
        <f t="shared" si="13"/>
        <v>Cliente12-Cliente40</v>
      </c>
      <c r="M801">
        <v>41.453639000000003</v>
      </c>
    </row>
    <row r="802" spans="1:13" x14ac:dyDescent="0.25">
      <c r="A802" s="15" t="s">
        <v>4282</v>
      </c>
      <c r="B802" s="15" t="s">
        <v>4311</v>
      </c>
      <c r="C802" s="52">
        <v>30.747387</v>
      </c>
      <c r="D802" s="25">
        <v>3.4722222222222224E-2</v>
      </c>
      <c r="E802" s="53">
        <v>-23.301511000000001</v>
      </c>
      <c r="F802" s="53">
        <v>-46.020715000000003</v>
      </c>
      <c r="G802" s="53">
        <v>-23.111070999999999</v>
      </c>
      <c r="H802" s="53">
        <v>-45.703322</v>
      </c>
      <c r="I802" s="53">
        <v>-23.087011</v>
      </c>
      <c r="J802" s="53">
        <v>-45.707093999999998</v>
      </c>
      <c r="L802" s="61" t="str">
        <f t="shared" si="13"/>
        <v>Cliente12-Cliente41</v>
      </c>
      <c r="M802">
        <v>30.747387</v>
      </c>
    </row>
    <row r="803" spans="1:13" x14ac:dyDescent="0.25">
      <c r="A803" s="15" t="s">
        <v>4282</v>
      </c>
      <c r="B803" s="15" t="s">
        <v>4312</v>
      </c>
      <c r="C803" s="54">
        <v>27.459703999999999</v>
      </c>
      <c r="D803" s="26">
        <v>2.7083333333333334E-2</v>
      </c>
      <c r="E803" s="55">
        <v>-23.311415</v>
      </c>
      <c r="F803" s="55">
        <v>-45.994701999999997</v>
      </c>
      <c r="G803" s="55">
        <v>-23.299731000000001</v>
      </c>
      <c r="H803" s="55">
        <v>-46.013592000000003</v>
      </c>
      <c r="I803" s="55">
        <v>-23.162039</v>
      </c>
      <c r="J803" s="55">
        <v>-45.804966</v>
      </c>
      <c r="L803" s="61" t="str">
        <f t="shared" si="13"/>
        <v>Cliente12-Cliente42</v>
      </c>
      <c r="M803">
        <v>27.459703999999999</v>
      </c>
    </row>
    <row r="804" spans="1:13" x14ac:dyDescent="0.25">
      <c r="A804" s="15" t="s">
        <v>4282</v>
      </c>
      <c r="B804" s="15" t="s">
        <v>4313</v>
      </c>
      <c r="C804" s="52">
        <v>46.133819000000003</v>
      </c>
      <c r="D804" s="25">
        <v>4.5833333333333337E-2</v>
      </c>
      <c r="E804" s="53">
        <v>-23.297806999999999</v>
      </c>
      <c r="F804" s="53">
        <v>-46.009369999999997</v>
      </c>
      <c r="G804" s="53">
        <v>-23.016435999999999</v>
      </c>
      <c r="H804" s="53">
        <v>-45.527253999999999</v>
      </c>
      <c r="I804" s="53">
        <v>-23.003211</v>
      </c>
      <c r="J804" s="53">
        <v>-45.512161999999996</v>
      </c>
      <c r="L804" s="61" t="str">
        <f t="shared" si="13"/>
        <v>Cliente12-Cliente43</v>
      </c>
      <c r="M804">
        <v>46.133819000000003</v>
      </c>
    </row>
    <row r="805" spans="1:13" x14ac:dyDescent="0.25">
      <c r="A805" s="15" t="s">
        <v>4282</v>
      </c>
      <c r="B805" s="15" t="s">
        <v>4314</v>
      </c>
      <c r="C805" s="54">
        <v>117.736463</v>
      </c>
      <c r="D805" s="26">
        <v>0.10555555555555556</v>
      </c>
      <c r="E805" s="55">
        <v>-23.396649</v>
      </c>
      <c r="F805" s="55">
        <v>-46.292046999999997</v>
      </c>
      <c r="G805" s="55">
        <v>-23.517655999999999</v>
      </c>
      <c r="H805" s="55">
        <v>-46.745254000000003</v>
      </c>
      <c r="I805" s="55">
        <v>-23.423231000000001</v>
      </c>
      <c r="J805" s="55">
        <v>-47.239970999999997</v>
      </c>
      <c r="L805" s="61" t="str">
        <f t="shared" si="13"/>
        <v>Cliente12-Cliente44</v>
      </c>
      <c r="M805">
        <v>117.736463</v>
      </c>
    </row>
    <row r="806" spans="1:13" x14ac:dyDescent="0.25">
      <c r="A806" s="15" t="s">
        <v>4282</v>
      </c>
      <c r="B806" s="15" t="s">
        <v>4315</v>
      </c>
      <c r="C806" s="52">
        <v>115.230467</v>
      </c>
      <c r="D806" s="25">
        <v>0.11180555555555556</v>
      </c>
      <c r="E806" s="53">
        <v>-23.422549</v>
      </c>
      <c r="F806" s="53">
        <v>-46.395031000000003</v>
      </c>
      <c r="G806" s="53">
        <v>-23.500024</v>
      </c>
      <c r="H806" s="53">
        <v>-46.982743999999997</v>
      </c>
      <c r="I806" s="53">
        <v>-23.494073</v>
      </c>
      <c r="J806" s="53">
        <v>-47.391548</v>
      </c>
      <c r="L806" s="61" t="str">
        <f t="shared" si="13"/>
        <v>Cliente12-Cliente45</v>
      </c>
      <c r="M806">
        <v>115.230467</v>
      </c>
    </row>
    <row r="807" spans="1:13" x14ac:dyDescent="0.25">
      <c r="A807" s="15" t="s">
        <v>4282</v>
      </c>
      <c r="B807" s="15" t="s">
        <v>4316</v>
      </c>
      <c r="C807" s="54">
        <v>106.45854799999999</v>
      </c>
      <c r="D807" s="26">
        <v>9.9999999999999992E-2</v>
      </c>
      <c r="E807" s="55">
        <v>-23.377419</v>
      </c>
      <c r="F807" s="55">
        <v>-46.253095000000002</v>
      </c>
      <c r="G807" s="55">
        <v>-23.511538999999999</v>
      </c>
      <c r="H807" s="55">
        <v>-46.722845999999997</v>
      </c>
      <c r="I807" s="55">
        <v>-23.430001000000001</v>
      </c>
      <c r="J807" s="55">
        <v>-47.128892</v>
      </c>
      <c r="L807" s="61" t="str">
        <f t="shared" si="13"/>
        <v>Cliente12-Cliente46</v>
      </c>
      <c r="M807">
        <v>106.45854799999999</v>
      </c>
    </row>
    <row r="808" spans="1:13" x14ac:dyDescent="0.25">
      <c r="A808" s="15" t="s">
        <v>4282</v>
      </c>
      <c r="B808" s="15" t="s">
        <v>4317</v>
      </c>
      <c r="C808" s="52">
        <v>220.18653599999999</v>
      </c>
      <c r="D808" s="25">
        <v>0.17847222222222223</v>
      </c>
      <c r="E808" s="53">
        <v>-23.18205</v>
      </c>
      <c r="F808" s="53">
        <v>-46.306840999999999</v>
      </c>
      <c r="G808" s="53">
        <v>-22.935656999999999</v>
      </c>
      <c r="H808" s="53">
        <v>-46.883384</v>
      </c>
      <c r="I808" s="53">
        <v>-22.445357000000001</v>
      </c>
      <c r="J808" s="53">
        <v>-47.398279000000002</v>
      </c>
      <c r="L808" s="61" t="str">
        <f t="shared" si="13"/>
        <v>Cliente12-Cliente47</v>
      </c>
      <c r="M808">
        <v>220.18653599999999</v>
      </c>
    </row>
    <row r="809" spans="1:13" x14ac:dyDescent="0.25">
      <c r="A809" s="15" t="s">
        <v>4282</v>
      </c>
      <c r="B809" s="15" t="s">
        <v>4318</v>
      </c>
      <c r="C809" s="54">
        <v>229.29772500000001</v>
      </c>
      <c r="D809" s="26">
        <v>0.18680555555555556</v>
      </c>
      <c r="E809" s="55">
        <v>-23.185936000000002</v>
      </c>
      <c r="F809" s="55">
        <v>-46.329045999999998</v>
      </c>
      <c r="G809" s="55">
        <v>-22.922059000000001</v>
      </c>
      <c r="H809" s="55">
        <v>-46.942433999999999</v>
      </c>
      <c r="I809" s="55">
        <v>-22.229434999999999</v>
      </c>
      <c r="J809" s="55">
        <v>-47.391249000000002</v>
      </c>
      <c r="L809" s="61" t="str">
        <f t="shared" si="13"/>
        <v>Cliente12-Cliente48</v>
      </c>
      <c r="M809">
        <v>229.29772500000001</v>
      </c>
    </row>
    <row r="810" spans="1:13" x14ac:dyDescent="0.25">
      <c r="A810" s="15" t="s">
        <v>4282</v>
      </c>
      <c r="B810" s="15" t="s">
        <v>4319</v>
      </c>
      <c r="C810" s="52">
        <v>222.93548899999999</v>
      </c>
      <c r="D810" s="25">
        <v>0.18263888888888891</v>
      </c>
      <c r="E810" s="53">
        <v>-23.178225000000001</v>
      </c>
      <c r="F810" s="53">
        <v>-46.316353999999997</v>
      </c>
      <c r="G810" s="53">
        <v>-22.931611</v>
      </c>
      <c r="H810" s="53">
        <v>-46.921290999999997</v>
      </c>
      <c r="I810" s="53">
        <v>-22.331306000000001</v>
      </c>
      <c r="J810" s="53">
        <v>-47.388916000000002</v>
      </c>
      <c r="L810" s="61" t="str">
        <f t="shared" si="13"/>
        <v>Cliente12-Cliente49</v>
      </c>
      <c r="M810">
        <v>222.93548899999999</v>
      </c>
    </row>
    <row r="811" spans="1:13" x14ac:dyDescent="0.25">
      <c r="A811" s="15" t="s">
        <v>4282</v>
      </c>
      <c r="B811" s="15" t="s">
        <v>4320</v>
      </c>
      <c r="C811" s="54">
        <v>253.857482</v>
      </c>
      <c r="D811" s="26">
        <v>0.20833333333333334</v>
      </c>
      <c r="E811" s="55">
        <v>-23.168427000000001</v>
      </c>
      <c r="F811" s="55">
        <v>-46.393779000000002</v>
      </c>
      <c r="G811" s="55">
        <v>-22.772186000000001</v>
      </c>
      <c r="H811" s="55">
        <v>-47.237149000000002</v>
      </c>
      <c r="I811" s="55">
        <v>-22.291412999999999</v>
      </c>
      <c r="J811" s="55">
        <v>-48.068430999999997</v>
      </c>
      <c r="L811" s="61" t="str">
        <f t="shared" si="13"/>
        <v>Cliente12-Cliente50</v>
      </c>
      <c r="M811">
        <v>253.857482</v>
      </c>
    </row>
    <row r="812" spans="1:13" x14ac:dyDescent="0.25">
      <c r="A812" s="15" t="s">
        <v>4282</v>
      </c>
      <c r="B812" s="15" t="s">
        <v>4321</v>
      </c>
      <c r="C812" s="52">
        <v>247.51264499999999</v>
      </c>
      <c r="D812" s="25">
        <v>0.20416666666666669</v>
      </c>
      <c r="E812" s="53">
        <v>-23.177406000000001</v>
      </c>
      <c r="F812" s="53">
        <v>-46.379396999999997</v>
      </c>
      <c r="G812" s="53">
        <v>-22.849519000000001</v>
      </c>
      <c r="H812" s="53">
        <v>-47.160221</v>
      </c>
      <c r="I812" s="53">
        <v>-22.255071000000001</v>
      </c>
      <c r="J812" s="53">
        <v>-47.843907999999999</v>
      </c>
      <c r="L812" s="61" t="str">
        <f t="shared" si="13"/>
        <v>Cliente12-Cliente51</v>
      </c>
      <c r="M812">
        <v>247.51264499999999</v>
      </c>
    </row>
    <row r="813" spans="1:13" x14ac:dyDescent="0.25">
      <c r="A813" s="15" t="s">
        <v>4283</v>
      </c>
      <c r="B813" s="15" t="s">
        <v>4268</v>
      </c>
      <c r="C813" s="54">
        <v>112.868008</v>
      </c>
      <c r="D813" s="26">
        <v>9.7222222222222224E-2</v>
      </c>
      <c r="E813" s="55">
        <v>-23.393184000000002</v>
      </c>
      <c r="F813" s="55">
        <v>-46.285952000000002</v>
      </c>
      <c r="G813" s="55">
        <v>-23.507998000000001</v>
      </c>
      <c r="H813" s="55">
        <v>-46.719386999999998</v>
      </c>
      <c r="I813" s="55">
        <v>-23.436260000000001</v>
      </c>
      <c r="J813" s="55">
        <v>-47.094776000000003</v>
      </c>
      <c r="L813" s="61" t="str">
        <f t="shared" si="13"/>
        <v>Cliente13-depósito A</v>
      </c>
      <c r="M813">
        <v>112.868008</v>
      </c>
    </row>
    <row r="814" spans="1:13" x14ac:dyDescent="0.25">
      <c r="A814" s="15" t="s">
        <v>4283</v>
      </c>
      <c r="B814" s="15" t="s">
        <v>4269</v>
      </c>
      <c r="C814" s="52">
        <v>202.95587</v>
      </c>
      <c r="D814" s="25">
        <v>0.16250000000000001</v>
      </c>
      <c r="E814" s="53">
        <v>-23.182113000000001</v>
      </c>
      <c r="F814" s="53">
        <v>-46.307738000000001</v>
      </c>
      <c r="G814" s="53">
        <v>-22.960808</v>
      </c>
      <c r="H814" s="53">
        <v>-46.848519000000003</v>
      </c>
      <c r="I814" s="53">
        <v>-22.525133</v>
      </c>
      <c r="J814" s="53">
        <v>-47.389913999999997</v>
      </c>
      <c r="L814" s="61" t="str">
        <f t="shared" si="13"/>
        <v>Cliente13-depósito B</v>
      </c>
      <c r="M814">
        <v>202.95587</v>
      </c>
    </row>
    <row r="815" spans="1:13" x14ac:dyDescent="0.25">
      <c r="A815" s="15" t="s">
        <v>4283</v>
      </c>
      <c r="B815" s="15" t="s">
        <v>4270</v>
      </c>
      <c r="C815" s="54">
        <v>7.8510450000000001</v>
      </c>
      <c r="D815" s="26">
        <v>1.1111111111111112E-2</v>
      </c>
      <c r="E815" s="55">
        <v>-23.230858000000001</v>
      </c>
      <c r="F815" s="55">
        <v>-45.912396999999999</v>
      </c>
      <c r="G815" s="55">
        <v>-23.280193000000001</v>
      </c>
      <c r="H815" s="55">
        <v>-45.982520000000001</v>
      </c>
      <c r="I815" s="55">
        <v>-23.278257</v>
      </c>
      <c r="J815" s="55">
        <v>-45.978924999999997</v>
      </c>
      <c r="L815" s="61" t="str">
        <f t="shared" si="13"/>
        <v>Cliente13-depósito C</v>
      </c>
      <c r="M815">
        <v>7.8510450000000001</v>
      </c>
    </row>
    <row r="816" spans="1:13" x14ac:dyDescent="0.25">
      <c r="A816" s="15" t="s">
        <v>4283</v>
      </c>
      <c r="B816" s="15" t="s">
        <v>4271</v>
      </c>
      <c r="C816" s="52">
        <v>94.197000000000003</v>
      </c>
      <c r="D816" s="25">
        <v>7.8472222222222221E-2</v>
      </c>
      <c r="E816" s="53">
        <v>-23.197765</v>
      </c>
      <c r="F816" s="53">
        <v>-46.182915999999999</v>
      </c>
      <c r="G816" s="53">
        <v>-23.133094</v>
      </c>
      <c r="H816" s="53">
        <v>-46.461038000000002</v>
      </c>
      <c r="I816" s="53">
        <v>-22.930872999999998</v>
      </c>
      <c r="J816" s="53">
        <v>-46.901926000000003</v>
      </c>
      <c r="L816" s="61" t="str">
        <f t="shared" si="13"/>
        <v>Cliente13-Cliente1</v>
      </c>
      <c r="M816">
        <v>94.197000000000003</v>
      </c>
    </row>
    <row r="817" spans="1:13" x14ac:dyDescent="0.25">
      <c r="A817" s="15" t="s">
        <v>4283</v>
      </c>
      <c r="B817" s="15" t="s">
        <v>4272</v>
      </c>
      <c r="C817" s="54">
        <v>91.794773000000006</v>
      </c>
      <c r="D817" s="26">
        <v>7.7777777777777779E-2</v>
      </c>
      <c r="E817" s="55">
        <v>-23.204695000000001</v>
      </c>
      <c r="F817" s="55">
        <v>-46.160651000000001</v>
      </c>
      <c r="G817" s="55">
        <v>-23.16572</v>
      </c>
      <c r="H817" s="55">
        <v>-46.406353000000003</v>
      </c>
      <c r="I817" s="55">
        <v>-22.965062</v>
      </c>
      <c r="J817" s="55">
        <v>-46.843525999999997</v>
      </c>
      <c r="L817" s="61" t="str">
        <f t="shared" si="13"/>
        <v>Cliente13-Cliente2</v>
      </c>
      <c r="M817">
        <v>91.794773000000006</v>
      </c>
    </row>
    <row r="818" spans="1:13" x14ac:dyDescent="0.25">
      <c r="A818" s="15" t="s">
        <v>4283</v>
      </c>
      <c r="B818" s="15" t="s">
        <v>4273</v>
      </c>
      <c r="C818" s="52">
        <v>91.861260000000001</v>
      </c>
      <c r="D818" s="25">
        <v>7.8472222222222221E-2</v>
      </c>
      <c r="E818" s="53">
        <v>-23.198744000000001</v>
      </c>
      <c r="F818" s="53">
        <v>-46.179428999999999</v>
      </c>
      <c r="G818" s="53">
        <v>-23.167555</v>
      </c>
      <c r="H818" s="53">
        <v>-46.443784999999998</v>
      </c>
      <c r="I818" s="53">
        <v>-22.935181</v>
      </c>
      <c r="J818" s="53">
        <v>-46.896372</v>
      </c>
      <c r="L818" s="61" t="str">
        <f t="shared" si="13"/>
        <v>Cliente13-Cliente3</v>
      </c>
      <c r="M818">
        <v>91.861260000000001</v>
      </c>
    </row>
    <row r="819" spans="1:13" x14ac:dyDescent="0.25">
      <c r="A819" s="15" t="s">
        <v>4283</v>
      </c>
      <c r="B819" s="15" t="s">
        <v>4274</v>
      </c>
      <c r="C819" s="54">
        <v>95.710663999999994</v>
      </c>
      <c r="D819" s="26">
        <v>7.9166666666666663E-2</v>
      </c>
      <c r="E819" s="55">
        <v>-23.204695000000001</v>
      </c>
      <c r="F819" s="55">
        <v>-46.160651000000001</v>
      </c>
      <c r="G819" s="55">
        <v>-23.16572</v>
      </c>
      <c r="H819" s="55">
        <v>-46.406353000000003</v>
      </c>
      <c r="I819" s="55">
        <v>-22.973958</v>
      </c>
      <c r="J819" s="55">
        <v>-46.836027999999999</v>
      </c>
      <c r="L819" s="61" t="str">
        <f t="shared" si="13"/>
        <v>Cliente13-Cliente4</v>
      </c>
      <c r="M819">
        <v>95.710663999999994</v>
      </c>
    </row>
    <row r="820" spans="1:13" x14ac:dyDescent="0.25">
      <c r="A820" s="15" t="s">
        <v>4283</v>
      </c>
      <c r="B820" s="15" t="s">
        <v>4275</v>
      </c>
      <c r="C820" s="52">
        <v>95.803870000000003</v>
      </c>
      <c r="D820" s="25">
        <v>7.9861111111111105E-2</v>
      </c>
      <c r="E820" s="53">
        <v>-23.206067999999998</v>
      </c>
      <c r="F820" s="53">
        <v>-46.159305000000003</v>
      </c>
      <c r="G820" s="53">
        <v>-23.165711999999999</v>
      </c>
      <c r="H820" s="53">
        <v>-46.403644</v>
      </c>
      <c r="I820" s="53">
        <v>-22.98545</v>
      </c>
      <c r="J820" s="53">
        <v>-46.815925999999997</v>
      </c>
      <c r="L820" s="61" t="str">
        <f t="shared" si="13"/>
        <v>Cliente13-Cliente5</v>
      </c>
      <c r="M820">
        <v>95.803870000000003</v>
      </c>
    </row>
    <row r="821" spans="1:13" x14ac:dyDescent="0.25">
      <c r="A821" s="15" t="s">
        <v>4283</v>
      </c>
      <c r="B821" s="15" t="s">
        <v>4276</v>
      </c>
      <c r="C821" s="54">
        <v>90.206543999999994</v>
      </c>
      <c r="D821" s="26">
        <v>7.8472222222222221E-2</v>
      </c>
      <c r="E821" s="55">
        <v>-23.197237000000001</v>
      </c>
      <c r="F821" s="55">
        <v>-46.183689999999999</v>
      </c>
      <c r="G821" s="55">
        <v>-23.130599</v>
      </c>
      <c r="H821" s="55">
        <v>-46.462705</v>
      </c>
      <c r="I821" s="55">
        <v>-22.928781000000001</v>
      </c>
      <c r="J821" s="55">
        <v>-46.9084</v>
      </c>
      <c r="L821" s="61" t="str">
        <f t="shared" si="13"/>
        <v>Cliente13-Cliente6</v>
      </c>
      <c r="M821">
        <v>90.206543999999994</v>
      </c>
    </row>
    <row r="822" spans="1:13" x14ac:dyDescent="0.25">
      <c r="A822" s="15" t="s">
        <v>4283</v>
      </c>
      <c r="B822" s="15" t="s">
        <v>4277</v>
      </c>
      <c r="C822" s="52">
        <v>94.856898000000001</v>
      </c>
      <c r="D822" s="25">
        <v>8.1944444444444445E-2</v>
      </c>
      <c r="E822" s="53">
        <v>-23.190270000000002</v>
      </c>
      <c r="F822" s="53">
        <v>-46.189027000000003</v>
      </c>
      <c r="G822" s="53">
        <v>-23.117764000000001</v>
      </c>
      <c r="H822" s="53">
        <v>-46.478580999999998</v>
      </c>
      <c r="I822" s="53">
        <v>-22.932721999999998</v>
      </c>
      <c r="J822" s="53">
        <v>-46.932287000000002</v>
      </c>
      <c r="L822" s="61" t="str">
        <f t="shared" si="13"/>
        <v>Cliente13-Cliente7</v>
      </c>
      <c r="M822">
        <v>94.856898000000001</v>
      </c>
    </row>
    <row r="823" spans="1:13" x14ac:dyDescent="0.25">
      <c r="A823" s="15" t="s">
        <v>4283</v>
      </c>
      <c r="B823" s="15" t="s">
        <v>4278</v>
      </c>
      <c r="C823" s="54">
        <v>89.593249</v>
      </c>
      <c r="D823" s="26">
        <v>7.3611111111111113E-2</v>
      </c>
      <c r="E823" s="55">
        <v>-23.215240999999999</v>
      </c>
      <c r="F823" s="55">
        <v>-46.148916999999997</v>
      </c>
      <c r="G823" s="55">
        <v>-23.172978000000001</v>
      </c>
      <c r="H823" s="55">
        <v>-46.385638</v>
      </c>
      <c r="I823" s="55">
        <v>-23.002006000000002</v>
      </c>
      <c r="J823" s="55">
        <v>-46.778523999999997</v>
      </c>
      <c r="L823" s="61" t="str">
        <f t="shared" si="13"/>
        <v>Cliente13-Cliente8</v>
      </c>
      <c r="M823">
        <v>89.593249</v>
      </c>
    </row>
    <row r="824" spans="1:13" x14ac:dyDescent="0.25">
      <c r="A824" s="15" t="s">
        <v>4283</v>
      </c>
      <c r="B824" s="15" t="s">
        <v>4279</v>
      </c>
      <c r="C824" s="52">
        <v>113.174345</v>
      </c>
      <c r="D824" s="25">
        <v>9.4444444444444442E-2</v>
      </c>
      <c r="E824" s="53">
        <v>-23.197765</v>
      </c>
      <c r="F824" s="53">
        <v>-46.182915999999999</v>
      </c>
      <c r="G824" s="53">
        <v>-23.133094</v>
      </c>
      <c r="H824" s="53">
        <v>-46.461038000000002</v>
      </c>
      <c r="I824" s="53">
        <v>-22.930403999999999</v>
      </c>
      <c r="J824" s="53">
        <v>-46.903140999999998</v>
      </c>
      <c r="L824" s="61" t="str">
        <f t="shared" si="13"/>
        <v>Cliente13-Cliente9</v>
      </c>
      <c r="M824">
        <v>113.174345</v>
      </c>
    </row>
    <row r="825" spans="1:13" x14ac:dyDescent="0.25">
      <c r="A825" s="15" t="s">
        <v>4283</v>
      </c>
      <c r="B825" s="15" t="s">
        <v>4280</v>
      </c>
      <c r="C825" s="54">
        <v>60.447761</v>
      </c>
      <c r="D825" s="26">
        <v>5.9722222222222225E-2</v>
      </c>
      <c r="E825" s="55">
        <v>-23.339831</v>
      </c>
      <c r="F825" s="55">
        <v>-46.152166999999999</v>
      </c>
      <c r="G825" s="55">
        <v>-23.412445000000002</v>
      </c>
      <c r="H825" s="55">
        <v>-46.359893</v>
      </c>
      <c r="I825" s="55">
        <v>-23.514144999999999</v>
      </c>
      <c r="J825" s="55">
        <v>-46.671329999999998</v>
      </c>
      <c r="L825" s="61" t="str">
        <f t="shared" si="13"/>
        <v>Cliente13-Cliente10</v>
      </c>
      <c r="M825">
        <v>60.447761</v>
      </c>
    </row>
    <row r="826" spans="1:13" x14ac:dyDescent="0.25">
      <c r="A826" s="15" t="s">
        <v>4283</v>
      </c>
      <c r="B826" s="15" t="s">
        <v>4281</v>
      </c>
      <c r="C826" s="52">
        <v>133.72438399999999</v>
      </c>
      <c r="D826" s="25">
        <v>0.10902777777777778</v>
      </c>
      <c r="E826" s="53">
        <v>-23.182383000000002</v>
      </c>
      <c r="F826" s="53">
        <v>-46.204673999999997</v>
      </c>
      <c r="G826" s="53">
        <v>-23.099077000000001</v>
      </c>
      <c r="H826" s="53">
        <v>-46.540903999999998</v>
      </c>
      <c r="I826" s="53">
        <v>-22.913067000000002</v>
      </c>
      <c r="J826" s="53">
        <v>-46.964053</v>
      </c>
      <c r="L826" s="61" t="str">
        <f t="shared" si="13"/>
        <v>Cliente13-Cliente11</v>
      </c>
      <c r="M826">
        <v>133.72438399999999</v>
      </c>
    </row>
    <row r="827" spans="1:13" x14ac:dyDescent="0.25">
      <c r="A827" s="15" t="s">
        <v>4283</v>
      </c>
      <c r="B827" s="15" t="s">
        <v>4282</v>
      </c>
      <c r="C827" s="54">
        <v>12.655499000000001</v>
      </c>
      <c r="D827" s="26">
        <v>1.5277777777777777E-2</v>
      </c>
      <c r="E827" s="55">
        <v>-23.236781000000001</v>
      </c>
      <c r="F827" s="55">
        <v>-45.918635000000002</v>
      </c>
      <c r="G827" s="55">
        <v>-23.301386000000001</v>
      </c>
      <c r="H827" s="55">
        <v>-46.022556000000002</v>
      </c>
      <c r="I827" s="55">
        <v>-23.311188999999999</v>
      </c>
      <c r="J827" s="55">
        <v>-45.997289000000002</v>
      </c>
      <c r="L827" s="61" t="str">
        <f t="shared" si="13"/>
        <v>Cliente13-Cliente12</v>
      </c>
      <c r="M827">
        <v>12.655499000000001</v>
      </c>
    </row>
    <row r="828" spans="1:13" x14ac:dyDescent="0.25">
      <c r="A828" s="15" t="s">
        <v>4283</v>
      </c>
      <c r="B828" s="15" t="s">
        <v>4283</v>
      </c>
      <c r="C828" s="52">
        <v>0</v>
      </c>
      <c r="D828" s="25">
        <v>0</v>
      </c>
      <c r="E828" s="53">
        <f>'1. Locais'!D17</f>
        <v>-23.222989999999999</v>
      </c>
      <c r="F828" s="53">
        <f>'1. Locais'!E17</f>
        <v>-45.905949999999997</v>
      </c>
      <c r="G828" s="53">
        <f>'1. Locais'!D17</f>
        <v>-23.222989999999999</v>
      </c>
      <c r="H828" s="53">
        <f>'1. Locais'!E17</f>
        <v>-45.905949999999997</v>
      </c>
      <c r="I828" s="53">
        <f>'1. Locais'!D17</f>
        <v>-23.222989999999999</v>
      </c>
      <c r="J828" s="53">
        <f>'1. Locais'!E17</f>
        <v>-45.905949999999997</v>
      </c>
      <c r="L828" s="61" t="str">
        <f t="shared" si="13"/>
        <v>Cliente13-Cliente13</v>
      </c>
      <c r="M828">
        <v>0</v>
      </c>
    </row>
    <row r="829" spans="1:13" x14ac:dyDescent="0.25">
      <c r="A829" s="15" t="s">
        <v>4283</v>
      </c>
      <c r="B829" s="15" t="s">
        <v>4284</v>
      </c>
      <c r="C829" s="54">
        <v>2.4196249999999999</v>
      </c>
      <c r="D829" s="26">
        <v>5.5555555555555558E-3</v>
      </c>
      <c r="E829" s="55">
        <v>-23.224208999999998</v>
      </c>
      <c r="F829" s="55">
        <v>-45.905490999999998</v>
      </c>
      <c r="G829" s="55">
        <v>-23.234798999999999</v>
      </c>
      <c r="H829" s="55">
        <v>-45.917574000000002</v>
      </c>
      <c r="I829" s="55">
        <v>-23.235603000000001</v>
      </c>
      <c r="J829" s="55">
        <v>-45.916083</v>
      </c>
      <c r="L829" s="61" t="str">
        <f t="shared" si="13"/>
        <v>Cliente13-Cliente14</v>
      </c>
      <c r="M829">
        <v>2.4196249999999999</v>
      </c>
    </row>
    <row r="830" spans="1:13" x14ac:dyDescent="0.25">
      <c r="A830" s="15" t="s">
        <v>4283</v>
      </c>
      <c r="B830" s="15" t="s">
        <v>4285</v>
      </c>
      <c r="C830" s="52">
        <v>4.8081820000000004</v>
      </c>
      <c r="D830" s="25">
        <v>1.1805555555555555E-2</v>
      </c>
      <c r="E830" s="53">
        <v>-23.233823000000001</v>
      </c>
      <c r="F830" s="53">
        <v>-45.917847999999999</v>
      </c>
      <c r="G830" s="53">
        <v>-23.233623999999999</v>
      </c>
      <c r="H830" s="53">
        <v>-45.914631</v>
      </c>
      <c r="I830" s="53" t="s">
        <v>7298</v>
      </c>
      <c r="J830" s="53">
        <v>-45.901677999999997</v>
      </c>
      <c r="L830" s="61" t="str">
        <f t="shared" si="13"/>
        <v>Cliente13-Cliente15</v>
      </c>
      <c r="M830">
        <v>4.8081820000000004</v>
      </c>
    </row>
    <row r="831" spans="1:13" x14ac:dyDescent="0.25">
      <c r="A831" s="15" t="s">
        <v>4283</v>
      </c>
      <c r="B831" s="15" t="s">
        <v>4286</v>
      </c>
      <c r="C831" s="54">
        <v>3.7288579999999998</v>
      </c>
      <c r="D831" s="26">
        <v>9.7222222222222224E-3</v>
      </c>
      <c r="E831" s="55">
        <v>-23.234798999999999</v>
      </c>
      <c r="F831" s="55">
        <v>-45.917574000000002</v>
      </c>
      <c r="G831" s="55">
        <v>-23.235676999999999</v>
      </c>
      <c r="H831" s="55">
        <v>-45.916519000000001</v>
      </c>
      <c r="I831" s="55">
        <v>-23.242453999999999</v>
      </c>
      <c r="J831" s="55">
        <v>-45.906793</v>
      </c>
      <c r="L831" s="61" t="str">
        <f t="shared" si="13"/>
        <v>Cliente13-Cliente16</v>
      </c>
      <c r="M831">
        <v>3.7288579999999998</v>
      </c>
    </row>
    <row r="832" spans="1:13" x14ac:dyDescent="0.25">
      <c r="A832" s="15" t="s">
        <v>4283</v>
      </c>
      <c r="B832" s="15" t="s">
        <v>4287</v>
      </c>
      <c r="C832" s="52">
        <v>0.62945099999999998</v>
      </c>
      <c r="D832" s="25">
        <v>2.7777777777777779E-3</v>
      </c>
      <c r="E832" s="53">
        <v>-23.223320999999999</v>
      </c>
      <c r="F832" s="53">
        <v>-45.905403999999997</v>
      </c>
      <c r="G832" s="53">
        <v>-23.223882</v>
      </c>
      <c r="H832" s="53">
        <v>-45.905602999999999</v>
      </c>
      <c r="I832" s="53">
        <v>-23.224208999999998</v>
      </c>
      <c r="J832" s="53">
        <v>-45.905490999999998</v>
      </c>
      <c r="L832" s="61" t="str">
        <f t="shared" si="13"/>
        <v>Cliente13-Cliente17</v>
      </c>
      <c r="M832">
        <v>0.62945099999999998</v>
      </c>
    </row>
    <row r="833" spans="1:13" x14ac:dyDescent="0.25">
      <c r="A833" s="15" t="s">
        <v>4283</v>
      </c>
      <c r="B833" s="15" t="s">
        <v>4288</v>
      </c>
      <c r="C833" s="54">
        <v>9.6225780000000007</v>
      </c>
      <c r="D833" s="26">
        <v>1.3194444444444444E-2</v>
      </c>
      <c r="E833" s="55">
        <v>-23.234985999999999</v>
      </c>
      <c r="F833" s="55">
        <v>-45.917268</v>
      </c>
      <c r="G833" s="55">
        <v>-23.236433999999999</v>
      </c>
      <c r="H833" s="55">
        <v>-45.917121999999999</v>
      </c>
      <c r="I833" s="55">
        <v>-23.187984</v>
      </c>
      <c r="J833" s="55">
        <v>-45.856850999999999</v>
      </c>
      <c r="L833" s="61" t="str">
        <f t="shared" si="13"/>
        <v>Cliente13-Cliente18</v>
      </c>
      <c r="M833">
        <v>9.6225780000000007</v>
      </c>
    </row>
    <row r="834" spans="1:13" x14ac:dyDescent="0.25">
      <c r="A834" s="15" t="s">
        <v>4283</v>
      </c>
      <c r="B834" s="15" t="s">
        <v>4289</v>
      </c>
      <c r="C834" s="52">
        <v>55.620316000000003</v>
      </c>
      <c r="D834" s="25">
        <v>5.0694444444444452E-2</v>
      </c>
      <c r="E834" s="53">
        <v>-23.321603</v>
      </c>
      <c r="F834" s="53">
        <v>-46.097622000000001</v>
      </c>
      <c r="G834" s="53">
        <v>-23.39845</v>
      </c>
      <c r="H834" s="53">
        <v>-46.298672000000003</v>
      </c>
      <c r="I834" s="53">
        <v>-23.522694000000001</v>
      </c>
      <c r="J834" s="53">
        <v>-46.602558999999999</v>
      </c>
      <c r="L834" s="61" t="str">
        <f t="shared" si="13"/>
        <v>Cliente13-Cliente19</v>
      </c>
      <c r="M834">
        <v>55.620316000000003</v>
      </c>
    </row>
    <row r="835" spans="1:13" x14ac:dyDescent="0.25">
      <c r="A835" s="15" t="s">
        <v>4283</v>
      </c>
      <c r="B835" s="15" t="s">
        <v>4290</v>
      </c>
      <c r="C835" s="54">
        <v>63.173102</v>
      </c>
      <c r="D835" s="26">
        <v>5.9722222222222225E-2</v>
      </c>
      <c r="E835" s="55">
        <v>-23.339831</v>
      </c>
      <c r="F835" s="55">
        <v>-46.152166999999999</v>
      </c>
      <c r="G835" s="55">
        <v>-23.412445000000002</v>
      </c>
      <c r="H835" s="55">
        <v>-46.359893</v>
      </c>
      <c r="I835" s="55">
        <v>-23.513407000000001</v>
      </c>
      <c r="J835" s="55">
        <v>-46.676952999999997</v>
      </c>
      <c r="L835" s="61" t="str">
        <f t="shared" si="13"/>
        <v>Cliente13-Cliente20</v>
      </c>
      <c r="M835">
        <v>63.173102</v>
      </c>
    </row>
    <row r="836" spans="1:13" x14ac:dyDescent="0.25">
      <c r="A836" s="15" t="s">
        <v>4283</v>
      </c>
      <c r="B836" s="15" t="s">
        <v>4291</v>
      </c>
      <c r="C836" s="52">
        <v>62.779772999999999</v>
      </c>
      <c r="D836" s="25">
        <v>6.0416666666666667E-2</v>
      </c>
      <c r="E836" s="53">
        <v>-23.351894999999999</v>
      </c>
      <c r="F836" s="53">
        <v>-46.180186999999997</v>
      </c>
      <c r="G836" s="53">
        <v>-23.433873999999999</v>
      </c>
      <c r="H836" s="53">
        <v>-46.423414000000001</v>
      </c>
      <c r="I836" s="53">
        <v>-23.507642000000001</v>
      </c>
      <c r="J836" s="53">
        <v>-46.717461999999998</v>
      </c>
      <c r="L836" s="61" t="str">
        <f t="shared" si="13"/>
        <v>Cliente13-Cliente21</v>
      </c>
      <c r="M836">
        <v>62.779772999999999</v>
      </c>
    </row>
    <row r="837" spans="1:13" x14ac:dyDescent="0.25">
      <c r="A837" s="15" t="s">
        <v>4283</v>
      </c>
      <c r="B837" s="15" t="s">
        <v>4292</v>
      </c>
      <c r="C837" s="54">
        <v>59.490226</v>
      </c>
      <c r="D837" s="26">
        <v>5.6944444444444443E-2</v>
      </c>
      <c r="E837" s="55">
        <v>-23.339831</v>
      </c>
      <c r="F837" s="55">
        <v>-46.152166999999999</v>
      </c>
      <c r="G837" s="55">
        <v>-23.412445000000002</v>
      </c>
      <c r="H837" s="55">
        <v>-46.359893</v>
      </c>
      <c r="I837" s="55">
        <v>-23.514144999999999</v>
      </c>
      <c r="J837" s="55">
        <v>-46.671329999999998</v>
      </c>
      <c r="L837" s="61" t="str">
        <f t="shared" si="13"/>
        <v>Cliente13-Cliente22</v>
      </c>
      <c r="M837">
        <v>59.490226</v>
      </c>
    </row>
    <row r="838" spans="1:13" x14ac:dyDescent="0.25">
      <c r="A838" s="15" t="s">
        <v>4283</v>
      </c>
      <c r="B838" s="15" t="s">
        <v>4293</v>
      </c>
      <c r="C838" s="52">
        <v>67.929089000000005</v>
      </c>
      <c r="D838" s="25">
        <v>6.6666666666666666E-2</v>
      </c>
      <c r="E838" s="53">
        <v>-23.351769999999998</v>
      </c>
      <c r="F838" s="53">
        <v>-46.197811999999999</v>
      </c>
      <c r="G838" s="53">
        <v>-23.50525</v>
      </c>
      <c r="H838" s="53">
        <v>-46.569184999999997</v>
      </c>
      <c r="I838" s="53">
        <v>-23.517800000000001</v>
      </c>
      <c r="J838" s="53">
        <v>-46.745029000000002</v>
      </c>
      <c r="L838" s="61" t="str">
        <f t="shared" si="13"/>
        <v>Cliente13-Cliente23</v>
      </c>
      <c r="M838">
        <v>67.929089000000005</v>
      </c>
    </row>
    <row r="839" spans="1:13" x14ac:dyDescent="0.25">
      <c r="A839" s="15" t="s">
        <v>4283</v>
      </c>
      <c r="B839" s="15" t="s">
        <v>4294</v>
      </c>
      <c r="C839" s="54">
        <v>62.773558999999999</v>
      </c>
      <c r="D839" s="26">
        <v>6.9444444444444434E-2</v>
      </c>
      <c r="E839" s="55">
        <v>-23.352288999999999</v>
      </c>
      <c r="F839" s="55">
        <v>-46.181894</v>
      </c>
      <c r="G839" s="55">
        <v>-23.467075999999999</v>
      </c>
      <c r="H839" s="55">
        <v>-46.505155000000002</v>
      </c>
      <c r="I839" s="55">
        <v>-23.554034000000001</v>
      </c>
      <c r="J839" s="55">
        <v>-46.645032</v>
      </c>
      <c r="L839" s="61" t="str">
        <f t="shared" si="13"/>
        <v>Cliente13-Cliente24</v>
      </c>
      <c r="M839">
        <v>62.773558999999999</v>
      </c>
    </row>
    <row r="840" spans="1:13" x14ac:dyDescent="0.25">
      <c r="A840" s="15" t="s">
        <v>4283</v>
      </c>
      <c r="B840" s="15" t="s">
        <v>4295</v>
      </c>
      <c r="C840" s="52">
        <v>65.196912999999995</v>
      </c>
      <c r="D840" s="25">
        <v>7.4999999999999997E-2</v>
      </c>
      <c r="E840" s="53">
        <v>-23.358464000000001</v>
      </c>
      <c r="F840" s="53">
        <v>-46.214416</v>
      </c>
      <c r="G840" s="53">
        <v>-23.534013999999999</v>
      </c>
      <c r="H840" s="53">
        <v>-46.583258000000001</v>
      </c>
      <c r="I840" s="53">
        <v>-23.572956000000001</v>
      </c>
      <c r="J840" s="53">
        <v>-46.711208999999997</v>
      </c>
      <c r="L840" s="61" t="str">
        <f t="shared" si="13"/>
        <v>Cliente13-Cliente25</v>
      </c>
      <c r="M840">
        <v>65.196912999999995</v>
      </c>
    </row>
    <row r="841" spans="1:13" x14ac:dyDescent="0.25">
      <c r="A841" s="15" t="s">
        <v>4283</v>
      </c>
      <c r="B841" s="15" t="s">
        <v>4296</v>
      </c>
      <c r="C841" s="54">
        <v>71.885991000000004</v>
      </c>
      <c r="D841" s="26">
        <v>6.8749999999999992E-2</v>
      </c>
      <c r="E841" s="55">
        <v>-23.369004</v>
      </c>
      <c r="F841" s="55">
        <v>-46.235911000000002</v>
      </c>
      <c r="G841" s="55">
        <v>-23.519344</v>
      </c>
      <c r="H841" s="55">
        <v>-46.615735999999998</v>
      </c>
      <c r="I841" s="55">
        <v>-23.511925999999999</v>
      </c>
      <c r="J841" s="55">
        <v>-46.809699000000002</v>
      </c>
      <c r="L841" s="61" t="str">
        <f t="shared" si="13"/>
        <v>Cliente13-Cliente26</v>
      </c>
      <c r="M841">
        <v>71.885991000000004</v>
      </c>
    </row>
    <row r="842" spans="1:13" x14ac:dyDescent="0.25">
      <c r="A842" s="15" t="s">
        <v>4283</v>
      </c>
      <c r="B842" s="15" t="s">
        <v>4297</v>
      </c>
      <c r="C842" s="52">
        <v>64.600395000000006</v>
      </c>
      <c r="D842" s="25">
        <v>7.1527777777777787E-2</v>
      </c>
      <c r="E842" s="53">
        <v>-23.351959000000001</v>
      </c>
      <c r="F842" s="53">
        <v>-46.199005</v>
      </c>
      <c r="G842" s="53">
        <v>-23.519207000000002</v>
      </c>
      <c r="H842" s="53">
        <v>-46.582768000000002</v>
      </c>
      <c r="I842" s="53">
        <v>-23.556940000000001</v>
      </c>
      <c r="J842" s="53">
        <v>-46.666370000000001</v>
      </c>
      <c r="L842" s="61" t="str">
        <f t="shared" si="13"/>
        <v>Cliente13-Cliente27</v>
      </c>
      <c r="M842">
        <v>64.600395000000006</v>
      </c>
    </row>
    <row r="843" spans="1:13" x14ac:dyDescent="0.25">
      <c r="A843" s="15" t="s">
        <v>4283</v>
      </c>
      <c r="B843" s="15" t="s">
        <v>4298</v>
      </c>
      <c r="C843" s="54">
        <v>64.387885999999995</v>
      </c>
      <c r="D843" s="26">
        <v>6.6666666666666666E-2</v>
      </c>
      <c r="E843" s="55">
        <v>-23.351792</v>
      </c>
      <c r="F843" s="55">
        <v>-46.188212999999998</v>
      </c>
      <c r="G843" s="55">
        <v>-23.503347000000002</v>
      </c>
      <c r="H843" s="55">
        <v>-46.566929999999999</v>
      </c>
      <c r="I843" s="55">
        <v>-23.567345</v>
      </c>
      <c r="J843" s="55">
        <v>-46.640782000000002</v>
      </c>
      <c r="L843" s="61" t="str">
        <f t="shared" si="13"/>
        <v>Cliente13-Cliente28</v>
      </c>
      <c r="M843">
        <v>64.387885999999995</v>
      </c>
    </row>
    <row r="844" spans="1:13" x14ac:dyDescent="0.25">
      <c r="A844" s="15" t="s">
        <v>4283</v>
      </c>
      <c r="B844" s="15" t="s">
        <v>4299</v>
      </c>
      <c r="C844" s="52">
        <v>61.972610000000003</v>
      </c>
      <c r="D844" s="25">
        <v>6.25E-2</v>
      </c>
      <c r="E844" s="53">
        <v>-23.345734</v>
      </c>
      <c r="F844" s="53">
        <v>-46.164152000000001</v>
      </c>
      <c r="G844" s="53">
        <v>-23.421146</v>
      </c>
      <c r="H844" s="53">
        <v>-46.390081000000002</v>
      </c>
      <c r="I844" s="53">
        <v>-23.584282000000002</v>
      </c>
      <c r="J844" s="53">
        <v>-46.577697999999998</v>
      </c>
      <c r="L844" s="61" t="str">
        <f t="shared" si="13"/>
        <v>Cliente13-Cliente29</v>
      </c>
      <c r="M844">
        <v>61.972610000000003</v>
      </c>
    </row>
    <row r="845" spans="1:13" x14ac:dyDescent="0.25">
      <c r="A845" s="15" t="s">
        <v>4283</v>
      </c>
      <c r="B845" s="15" t="s">
        <v>4300</v>
      </c>
      <c r="C845" s="54">
        <v>63.034536000000003</v>
      </c>
      <c r="D845" s="26">
        <v>5.5555555555555552E-2</v>
      </c>
      <c r="E845" s="55">
        <v>-23.353618999999998</v>
      </c>
      <c r="F845" s="55">
        <v>-46.125287</v>
      </c>
      <c r="G845" s="55">
        <v>-23.478470999999999</v>
      </c>
      <c r="H845" s="55">
        <v>-46.329762000000002</v>
      </c>
      <c r="I845" s="55">
        <v>-23.673462000000001</v>
      </c>
      <c r="J845" s="55">
        <v>-46.398313999999999</v>
      </c>
      <c r="L845" s="61" t="str">
        <f t="shared" si="13"/>
        <v>Cliente13-Cliente30</v>
      </c>
      <c r="M845">
        <v>63.034536000000003</v>
      </c>
    </row>
    <row r="846" spans="1:13" x14ac:dyDescent="0.25">
      <c r="A846" s="15" t="s">
        <v>4283</v>
      </c>
      <c r="B846" s="15" t="s">
        <v>4301</v>
      </c>
      <c r="C846" s="52">
        <v>65.888501000000005</v>
      </c>
      <c r="D846" s="25">
        <v>6.5277777777777782E-2</v>
      </c>
      <c r="E846" s="53">
        <v>-23.351959000000001</v>
      </c>
      <c r="F846" s="53">
        <v>-46.199005</v>
      </c>
      <c r="G846" s="53">
        <v>-23.516342999999999</v>
      </c>
      <c r="H846" s="53">
        <v>-46.579737000000002</v>
      </c>
      <c r="I846" s="53">
        <v>-23.519438999999998</v>
      </c>
      <c r="J846" s="53">
        <v>-46.747270999999998</v>
      </c>
      <c r="L846" s="61" t="str">
        <f t="shared" si="13"/>
        <v>Cliente13-Cliente31</v>
      </c>
      <c r="M846">
        <v>65.888501000000005</v>
      </c>
    </row>
    <row r="847" spans="1:13" x14ac:dyDescent="0.25">
      <c r="A847" s="15" t="s">
        <v>4283</v>
      </c>
      <c r="B847" s="15" t="s">
        <v>4302</v>
      </c>
      <c r="C847" s="54">
        <v>60.919383000000003</v>
      </c>
      <c r="D847" s="26">
        <v>5.8333333333333327E-2</v>
      </c>
      <c r="E847" s="55">
        <v>-23.337675000000001</v>
      </c>
      <c r="F847" s="55">
        <v>-46.147956999999998</v>
      </c>
      <c r="G847" s="55">
        <v>-23.408674999999999</v>
      </c>
      <c r="H847" s="55">
        <v>-46.340190999999997</v>
      </c>
      <c r="I847" s="55">
        <v>-23.517638999999999</v>
      </c>
      <c r="J847" s="55">
        <v>-46.644252999999999</v>
      </c>
      <c r="L847" s="61" t="str">
        <f t="shared" si="13"/>
        <v>Cliente13-Cliente32</v>
      </c>
      <c r="M847">
        <v>60.919383000000003</v>
      </c>
    </row>
    <row r="848" spans="1:13" x14ac:dyDescent="0.25">
      <c r="A848" s="15" t="s">
        <v>4283</v>
      </c>
      <c r="B848" s="15" t="s">
        <v>4303</v>
      </c>
      <c r="C848" s="52">
        <v>50.985497000000002</v>
      </c>
      <c r="D848" s="25">
        <v>4.7916666666666663E-2</v>
      </c>
      <c r="E848" s="53">
        <v>-23.316233</v>
      </c>
      <c r="F848" s="53">
        <v>-46.079599999999999</v>
      </c>
      <c r="G848" s="53">
        <v>-23.377419</v>
      </c>
      <c r="H848" s="53">
        <v>-46.253095000000002</v>
      </c>
      <c r="I848" s="53">
        <v>-23.474284999999998</v>
      </c>
      <c r="J848" s="53">
        <v>-46.523529000000003</v>
      </c>
      <c r="L848" s="61" t="str">
        <f t="shared" si="13"/>
        <v>Cliente13-Cliente33</v>
      </c>
      <c r="M848">
        <v>50.985497000000002</v>
      </c>
    </row>
    <row r="849" spans="1:13" x14ac:dyDescent="0.25">
      <c r="A849" s="15" t="s">
        <v>4283</v>
      </c>
      <c r="B849" s="15" t="s">
        <v>4304</v>
      </c>
      <c r="C849" s="54">
        <v>70.596020999999993</v>
      </c>
      <c r="D849" s="26">
        <v>7.013888888888889E-2</v>
      </c>
      <c r="E849" s="55">
        <v>-23.367366000000001</v>
      </c>
      <c r="F849" s="55">
        <v>-46.232011</v>
      </c>
      <c r="G849" s="55">
        <v>-23.521847999999999</v>
      </c>
      <c r="H849" s="55">
        <v>-46.612279999999998</v>
      </c>
      <c r="I849" s="55">
        <v>-23.507615000000001</v>
      </c>
      <c r="J849" s="55">
        <v>-46.828420999999999</v>
      </c>
      <c r="L849" s="61" t="str">
        <f t="shared" si="13"/>
        <v>Cliente13-Cliente34</v>
      </c>
      <c r="M849">
        <v>70.596020999999993</v>
      </c>
    </row>
    <row r="850" spans="1:13" x14ac:dyDescent="0.25">
      <c r="A850" s="15" t="s">
        <v>4283</v>
      </c>
      <c r="B850" s="15" t="s">
        <v>4305</v>
      </c>
      <c r="C850" s="52">
        <v>71.191917000000004</v>
      </c>
      <c r="D850" s="25">
        <v>6.9444444444444434E-2</v>
      </c>
      <c r="E850" s="53">
        <v>-23.359231999999999</v>
      </c>
      <c r="F850" s="53">
        <v>-46.21658</v>
      </c>
      <c r="G850" s="53">
        <v>-23.522431999999998</v>
      </c>
      <c r="H850" s="53">
        <v>-46.603338000000001</v>
      </c>
      <c r="I850" s="53">
        <v>-23.514800999999999</v>
      </c>
      <c r="J850" s="53">
        <v>-46.794089</v>
      </c>
      <c r="L850" s="61" t="str">
        <f t="shared" ref="L850:L913" si="14">_xlfn.CONCAT(A850,"-",B850)</f>
        <v>Cliente13-Cliente35</v>
      </c>
      <c r="M850">
        <v>71.191917000000004</v>
      </c>
    </row>
    <row r="851" spans="1:13" x14ac:dyDescent="0.25">
      <c r="A851" s="15" t="s">
        <v>4283</v>
      </c>
      <c r="B851" s="15" t="s">
        <v>4306</v>
      </c>
      <c r="C851" s="54">
        <v>179.89175700000001</v>
      </c>
      <c r="D851" s="26">
        <v>0.14722222222222223</v>
      </c>
      <c r="E851" s="55">
        <v>-23.181649</v>
      </c>
      <c r="F851" s="55">
        <v>-46.303299000000003</v>
      </c>
      <c r="G851" s="55">
        <v>-22.973023000000001</v>
      </c>
      <c r="H851" s="55">
        <v>-46.836962999999997</v>
      </c>
      <c r="I851" s="55">
        <v>-22.561449</v>
      </c>
      <c r="J851" s="55">
        <v>-47.366067999999999</v>
      </c>
      <c r="L851" s="61" t="str">
        <f t="shared" si="14"/>
        <v>Cliente13-Cliente36</v>
      </c>
      <c r="M851">
        <v>179.89175700000001</v>
      </c>
    </row>
    <row r="852" spans="1:13" x14ac:dyDescent="0.25">
      <c r="A852" s="15" t="s">
        <v>4283</v>
      </c>
      <c r="B852" s="15" t="s">
        <v>4307</v>
      </c>
      <c r="C852" s="52">
        <v>178.79503399999999</v>
      </c>
      <c r="D852" s="25">
        <v>0.14583333333333334</v>
      </c>
      <c r="E852" s="53">
        <v>-23.182113000000001</v>
      </c>
      <c r="F852" s="53">
        <v>-46.307738000000001</v>
      </c>
      <c r="G852" s="53">
        <v>-22.960808</v>
      </c>
      <c r="H852" s="53">
        <v>-46.848519000000003</v>
      </c>
      <c r="I852" s="53">
        <v>-22.525133</v>
      </c>
      <c r="J852" s="53">
        <v>-47.389913999999997</v>
      </c>
      <c r="L852" s="61" t="str">
        <f t="shared" si="14"/>
        <v>Cliente13-Cliente37</v>
      </c>
      <c r="M852">
        <v>178.79503399999999</v>
      </c>
    </row>
    <row r="853" spans="1:13" x14ac:dyDescent="0.25">
      <c r="A853" s="15" t="s">
        <v>4283</v>
      </c>
      <c r="B853" s="15" t="s">
        <v>4308</v>
      </c>
      <c r="C853" s="54">
        <v>177.018529</v>
      </c>
      <c r="D853" s="26">
        <v>0.14375000000000002</v>
      </c>
      <c r="E853" s="55">
        <v>-23.182300000000001</v>
      </c>
      <c r="F853" s="55">
        <v>-46.293897000000001</v>
      </c>
      <c r="G853" s="55">
        <v>-22.98621</v>
      </c>
      <c r="H853" s="55">
        <v>-46.813600999999998</v>
      </c>
      <c r="I853" s="55">
        <v>-22.608166000000001</v>
      </c>
      <c r="J853" s="55">
        <v>-47.360585999999998</v>
      </c>
      <c r="L853" s="61" t="str">
        <f t="shared" si="14"/>
        <v>Cliente13-Cliente38</v>
      </c>
      <c r="M853">
        <v>177.018529</v>
      </c>
    </row>
    <row r="854" spans="1:13" x14ac:dyDescent="0.25">
      <c r="A854" s="15" t="s">
        <v>4283</v>
      </c>
      <c r="B854" s="15" t="s">
        <v>4309</v>
      </c>
      <c r="C854" s="52">
        <v>30.628705</v>
      </c>
      <c r="D854" s="25">
        <v>3.2638888888888891E-2</v>
      </c>
      <c r="E854" s="53">
        <v>-23.236615</v>
      </c>
      <c r="F854" s="53">
        <v>-45.916435</v>
      </c>
      <c r="G854" s="53">
        <v>-23.074159999999999</v>
      </c>
      <c r="H854" s="53">
        <v>-45.649872000000002</v>
      </c>
      <c r="I854" s="53">
        <v>-23.032136999999999</v>
      </c>
      <c r="J854" s="53">
        <v>-45.556815999999998</v>
      </c>
      <c r="L854" s="61" t="str">
        <f t="shared" si="14"/>
        <v>Cliente13-Cliente39</v>
      </c>
      <c r="M854">
        <v>30.628705</v>
      </c>
    </row>
    <row r="855" spans="1:13" x14ac:dyDescent="0.25">
      <c r="A855" s="15" t="s">
        <v>4283</v>
      </c>
      <c r="B855" s="15" t="s">
        <v>4310</v>
      </c>
      <c r="C855" s="54">
        <v>32.190215000000002</v>
      </c>
      <c r="D855" s="26">
        <v>3.6111111111111115E-2</v>
      </c>
      <c r="E855" s="55">
        <v>-23.236822</v>
      </c>
      <c r="F855" s="55">
        <v>-45.917048000000001</v>
      </c>
      <c r="G855" s="55">
        <v>-23.039522000000002</v>
      </c>
      <c r="H855" s="55">
        <v>-45.562919999999998</v>
      </c>
      <c r="I855" s="55">
        <v>-23.027342999999998</v>
      </c>
      <c r="J855" s="55">
        <v>-45.556888999999998</v>
      </c>
      <c r="L855" s="61" t="str">
        <f t="shared" si="14"/>
        <v>Cliente13-Cliente40</v>
      </c>
      <c r="M855">
        <v>32.190215000000002</v>
      </c>
    </row>
    <row r="856" spans="1:13" x14ac:dyDescent="0.25">
      <c r="A856" s="15" t="s">
        <v>4283</v>
      </c>
      <c r="B856" s="15" t="s">
        <v>4311</v>
      </c>
      <c r="C856" s="52">
        <v>21.483961999999998</v>
      </c>
      <c r="D856" s="25">
        <v>2.7083333333333334E-2</v>
      </c>
      <c r="E856" s="53">
        <v>-23.236919</v>
      </c>
      <c r="F856" s="53">
        <v>-45.916770999999997</v>
      </c>
      <c r="G856" s="53">
        <v>-23.110982</v>
      </c>
      <c r="H856" s="53">
        <v>-45.703119999999998</v>
      </c>
      <c r="I856" s="53">
        <v>-23.086368</v>
      </c>
      <c r="J856" s="53">
        <v>-45.707968999999999</v>
      </c>
      <c r="L856" s="61" t="str">
        <f t="shared" si="14"/>
        <v>Cliente13-Cliente41</v>
      </c>
      <c r="M856">
        <v>21.483961999999998</v>
      </c>
    </row>
    <row r="857" spans="1:13" x14ac:dyDescent="0.25">
      <c r="A857" s="15" t="s">
        <v>4283</v>
      </c>
      <c r="B857" s="15" t="s">
        <v>4312</v>
      </c>
      <c r="C857" s="54">
        <v>18.196279000000001</v>
      </c>
      <c r="D857" s="26">
        <v>1.9444444444444445E-2</v>
      </c>
      <c r="E857" s="55">
        <v>-23.234798999999999</v>
      </c>
      <c r="F857" s="55">
        <v>-45.917574000000002</v>
      </c>
      <c r="G857" s="55">
        <v>-23.235676999999999</v>
      </c>
      <c r="H857" s="55">
        <v>-45.916519000000001</v>
      </c>
      <c r="I857" s="55">
        <v>-23.132035999999999</v>
      </c>
      <c r="J857" s="55">
        <v>-45.745474999999999</v>
      </c>
      <c r="L857" s="61" t="str">
        <f t="shared" si="14"/>
        <v>Cliente13-Cliente42</v>
      </c>
      <c r="M857">
        <v>18.196279000000001</v>
      </c>
    </row>
    <row r="858" spans="1:13" x14ac:dyDescent="0.25">
      <c r="A858" s="15" t="s">
        <v>4283</v>
      </c>
      <c r="B858" s="15" t="s">
        <v>4313</v>
      </c>
      <c r="C858" s="52">
        <v>36.870393999999997</v>
      </c>
      <c r="D858" s="25">
        <v>3.888888888888889E-2</v>
      </c>
      <c r="E858" s="53">
        <v>-23.233892999999998</v>
      </c>
      <c r="F858" s="53">
        <v>-45.914718999999998</v>
      </c>
      <c r="G858" s="53">
        <v>-23.016214999999999</v>
      </c>
      <c r="H858" s="53">
        <v>-45.526941000000001</v>
      </c>
      <c r="I858" s="53">
        <v>-23.000060000000001</v>
      </c>
      <c r="J858" s="53">
        <v>-45.512571999999999</v>
      </c>
      <c r="L858" s="61" t="str">
        <f t="shared" si="14"/>
        <v>Cliente13-Cliente43</v>
      </c>
      <c r="M858">
        <v>36.870393999999997</v>
      </c>
    </row>
    <row r="859" spans="1:13" x14ac:dyDescent="0.25">
      <c r="A859" s="15" t="s">
        <v>4283</v>
      </c>
      <c r="B859" s="15" t="s">
        <v>4314</v>
      </c>
      <c r="C859" s="54">
        <v>123.89799499999999</v>
      </c>
      <c r="D859" s="26">
        <v>0.10902777777777778</v>
      </c>
      <c r="E859" s="55">
        <v>-23.402591000000001</v>
      </c>
      <c r="F859" s="55">
        <v>-46.318618000000001</v>
      </c>
      <c r="G859" s="55">
        <v>-23.522424999999998</v>
      </c>
      <c r="H859" s="55">
        <v>-46.748714999999997</v>
      </c>
      <c r="I859" s="55">
        <v>-23.423137000000001</v>
      </c>
      <c r="J859" s="55">
        <v>-47.241554000000001</v>
      </c>
      <c r="L859" s="61" t="str">
        <f t="shared" si="14"/>
        <v>Cliente13-Cliente44</v>
      </c>
      <c r="M859">
        <v>123.89799499999999</v>
      </c>
    </row>
    <row r="860" spans="1:13" x14ac:dyDescent="0.25">
      <c r="A860" s="15" t="s">
        <v>4283</v>
      </c>
      <c r="B860" s="15" t="s">
        <v>4315</v>
      </c>
      <c r="C860" s="52">
        <v>128.19105999999999</v>
      </c>
      <c r="D860" s="25">
        <v>0.11805555555555557</v>
      </c>
      <c r="E860" s="53">
        <v>-23.409676000000001</v>
      </c>
      <c r="F860" s="53">
        <v>-46.343687000000003</v>
      </c>
      <c r="G860" s="53">
        <v>-23.511906</v>
      </c>
      <c r="H860" s="53">
        <v>-46.802810000000001</v>
      </c>
      <c r="I860" s="53">
        <v>-23.369681</v>
      </c>
      <c r="J860" s="53">
        <v>-47.457163999999999</v>
      </c>
      <c r="L860" s="61" t="str">
        <f t="shared" si="14"/>
        <v>Cliente13-Cliente45</v>
      </c>
      <c r="M860">
        <v>128.19105999999999</v>
      </c>
    </row>
    <row r="861" spans="1:13" x14ac:dyDescent="0.25">
      <c r="A861" s="15" t="s">
        <v>4283</v>
      </c>
      <c r="B861" s="15" t="s">
        <v>4316</v>
      </c>
      <c r="C861" s="54">
        <v>112.62008</v>
      </c>
      <c r="D861" s="26">
        <v>0.10277777777777779</v>
      </c>
      <c r="E861" s="55">
        <v>-23.397998000000001</v>
      </c>
      <c r="F861" s="55">
        <v>-46.296940999999997</v>
      </c>
      <c r="G861" s="55">
        <v>-23.516947999999999</v>
      </c>
      <c r="H861" s="55">
        <v>-46.732973999999999</v>
      </c>
      <c r="I861" s="55">
        <v>-23.42869</v>
      </c>
      <c r="J861" s="55">
        <v>-47.134228</v>
      </c>
      <c r="L861" s="61" t="str">
        <f t="shared" si="14"/>
        <v>Cliente13-Cliente46</v>
      </c>
      <c r="M861">
        <v>112.62008</v>
      </c>
    </row>
    <row r="862" spans="1:13" x14ac:dyDescent="0.25">
      <c r="A862" s="15" t="s">
        <v>4283</v>
      </c>
      <c r="B862" s="15" t="s">
        <v>4317</v>
      </c>
      <c r="C862" s="52">
        <v>226.34806800000001</v>
      </c>
      <c r="D862" s="25">
        <v>0.18124999999999999</v>
      </c>
      <c r="E862" s="53">
        <v>-23.178274999999999</v>
      </c>
      <c r="F862" s="53">
        <v>-46.315071000000003</v>
      </c>
      <c r="G862" s="53">
        <v>-22.935393000000001</v>
      </c>
      <c r="H862" s="53">
        <v>-46.895313999999999</v>
      </c>
      <c r="I862" s="53">
        <v>-22.431723000000002</v>
      </c>
      <c r="J862" s="53">
        <v>-47.394686999999998</v>
      </c>
      <c r="L862" s="61" t="str">
        <f t="shared" si="14"/>
        <v>Cliente13-Cliente47</v>
      </c>
      <c r="M862">
        <v>226.34806800000001</v>
      </c>
    </row>
    <row r="863" spans="1:13" x14ac:dyDescent="0.25">
      <c r="A863" s="15" t="s">
        <v>4283</v>
      </c>
      <c r="B863" s="15" t="s">
        <v>4318</v>
      </c>
      <c r="C863" s="54">
        <v>235.45925700000001</v>
      </c>
      <c r="D863" s="26">
        <v>0.18958333333333333</v>
      </c>
      <c r="E863" s="55">
        <v>-23.193853000000001</v>
      </c>
      <c r="F863" s="55">
        <v>-46.346238999999997</v>
      </c>
      <c r="G863" s="55">
        <v>-22.916698</v>
      </c>
      <c r="H863" s="55">
        <v>-46.946623000000002</v>
      </c>
      <c r="I863" s="55">
        <v>-22.228504999999998</v>
      </c>
      <c r="J863" s="55">
        <v>-47.391308000000002</v>
      </c>
      <c r="L863" s="61" t="str">
        <f t="shared" si="14"/>
        <v>Cliente13-Cliente48</v>
      </c>
      <c r="M863">
        <v>235.45925700000001</v>
      </c>
    </row>
    <row r="864" spans="1:13" x14ac:dyDescent="0.25">
      <c r="A864" s="15" t="s">
        <v>4283</v>
      </c>
      <c r="B864" s="15" t="s">
        <v>4319</v>
      </c>
      <c r="C864" s="52">
        <v>229.09702100000001</v>
      </c>
      <c r="D864" s="25">
        <v>0.18541666666666667</v>
      </c>
      <c r="E864" s="53">
        <v>-23.187263999999999</v>
      </c>
      <c r="F864" s="53">
        <v>-46.332563</v>
      </c>
      <c r="G864" s="53">
        <v>-22.93197</v>
      </c>
      <c r="H864" s="53">
        <v>-46.934762999999997</v>
      </c>
      <c r="I864" s="53">
        <v>-22.286245000000001</v>
      </c>
      <c r="J864" s="53">
        <v>-47.393428999999998</v>
      </c>
      <c r="L864" s="61" t="str">
        <f t="shared" si="14"/>
        <v>Cliente13-Cliente49</v>
      </c>
      <c r="M864">
        <v>229.09702100000001</v>
      </c>
    </row>
    <row r="865" spans="1:13" x14ac:dyDescent="0.25">
      <c r="A865" s="15" t="s">
        <v>4283</v>
      </c>
      <c r="B865" s="15" t="s">
        <v>4320</v>
      </c>
      <c r="C865" s="54">
        <v>260.01901400000003</v>
      </c>
      <c r="D865" s="26">
        <v>0.21111111111111111</v>
      </c>
      <c r="E865" s="55">
        <v>-23.171143000000001</v>
      </c>
      <c r="F865" s="55">
        <v>-46.425604999999997</v>
      </c>
      <c r="G865" s="55">
        <v>-22.733618</v>
      </c>
      <c r="H865" s="55">
        <v>-47.286608000000001</v>
      </c>
      <c r="I865" s="55">
        <v>-22.29082</v>
      </c>
      <c r="J865" s="55">
        <v>-48.098317000000002</v>
      </c>
      <c r="L865" s="61" t="str">
        <f t="shared" si="14"/>
        <v>Cliente13-Cliente50</v>
      </c>
      <c r="M865">
        <v>260.01901400000003</v>
      </c>
    </row>
    <row r="866" spans="1:13" x14ac:dyDescent="0.25">
      <c r="A866" s="15" t="s">
        <v>4283</v>
      </c>
      <c r="B866" s="15" t="s">
        <v>4321</v>
      </c>
      <c r="C866" s="52">
        <v>253.67417699999999</v>
      </c>
      <c r="D866" s="25">
        <v>0.20694444444444446</v>
      </c>
      <c r="E866" s="53">
        <v>-23.170565</v>
      </c>
      <c r="F866" s="53">
        <v>-46.391060000000003</v>
      </c>
      <c r="G866" s="53">
        <v>-22.830112</v>
      </c>
      <c r="H866" s="53">
        <v>-47.179805000000002</v>
      </c>
      <c r="I866" s="53">
        <v>-22.260732000000001</v>
      </c>
      <c r="J866" s="53">
        <v>-47.882624</v>
      </c>
      <c r="L866" s="61" t="str">
        <f t="shared" si="14"/>
        <v>Cliente13-Cliente51</v>
      </c>
      <c r="M866">
        <v>253.67417699999999</v>
      </c>
    </row>
    <row r="867" spans="1:13" x14ac:dyDescent="0.25">
      <c r="A867" s="15" t="s">
        <v>4284</v>
      </c>
      <c r="B867" s="15" t="s">
        <v>4268</v>
      </c>
      <c r="C867" s="54">
        <v>114.608473</v>
      </c>
      <c r="D867" s="26">
        <v>9.7916666666666666E-2</v>
      </c>
      <c r="E867" s="55">
        <v>-23.369153000000001</v>
      </c>
      <c r="F867" s="55">
        <v>-46.236646999999998</v>
      </c>
      <c r="G867" s="55">
        <v>-23.507957000000001</v>
      </c>
      <c r="H867" s="55">
        <v>-46.692433000000001</v>
      </c>
      <c r="I867" s="55">
        <v>-23.437957999999998</v>
      </c>
      <c r="J867" s="55">
        <v>-47.068005999999997</v>
      </c>
      <c r="L867" s="61" t="str">
        <f t="shared" si="14"/>
        <v>Cliente14-depósito A</v>
      </c>
      <c r="M867">
        <v>114.608473</v>
      </c>
    </row>
    <row r="868" spans="1:13" x14ac:dyDescent="0.25">
      <c r="A868" s="15" t="s">
        <v>4284</v>
      </c>
      <c r="B868" s="15" t="s">
        <v>4269</v>
      </c>
      <c r="C868" s="52">
        <v>204.696335</v>
      </c>
      <c r="D868" s="25">
        <v>0.16388888888888889</v>
      </c>
      <c r="E868" s="53">
        <v>-23.173138000000002</v>
      </c>
      <c r="F868" s="53">
        <v>-46.260356999999999</v>
      </c>
      <c r="G868" s="53">
        <v>-22.98621</v>
      </c>
      <c r="H868" s="53">
        <v>-46.813600999999998</v>
      </c>
      <c r="I868" s="53">
        <v>-22.560054000000001</v>
      </c>
      <c r="J868" s="53">
        <v>-47.366478999999998</v>
      </c>
      <c r="L868" s="61" t="str">
        <f t="shared" si="14"/>
        <v>Cliente14-depósito B</v>
      </c>
      <c r="M868">
        <v>204.696335</v>
      </c>
    </row>
    <row r="869" spans="1:13" x14ac:dyDescent="0.25">
      <c r="A869" s="15" t="s">
        <v>4284</v>
      </c>
      <c r="B869" s="15" t="s">
        <v>4270</v>
      </c>
      <c r="C869" s="54">
        <v>9.5915099999999995</v>
      </c>
      <c r="D869" s="26">
        <v>1.2499999999999999E-2</v>
      </c>
      <c r="E869" s="55">
        <v>-23.219467000000002</v>
      </c>
      <c r="F869" s="55">
        <v>-45.900928999999998</v>
      </c>
      <c r="G869" s="55">
        <v>-23.235627999999998</v>
      </c>
      <c r="H869" s="55">
        <v>-45.917524</v>
      </c>
      <c r="I869" s="55">
        <v>-23.279022000000001</v>
      </c>
      <c r="J869" s="55">
        <v>-45.981014000000002</v>
      </c>
      <c r="L869" s="61" t="str">
        <f t="shared" si="14"/>
        <v>Cliente14-depósito C</v>
      </c>
      <c r="M869">
        <v>9.5915099999999995</v>
      </c>
    </row>
    <row r="870" spans="1:13" x14ac:dyDescent="0.25">
      <c r="A870" s="15" t="s">
        <v>4284</v>
      </c>
      <c r="B870" s="15" t="s">
        <v>4271</v>
      </c>
      <c r="C870" s="52">
        <v>95.675246000000001</v>
      </c>
      <c r="D870" s="25">
        <v>8.4027777777777771E-2</v>
      </c>
      <c r="E870" s="53">
        <v>-23.210239999999999</v>
      </c>
      <c r="F870" s="53">
        <v>-46.156283000000002</v>
      </c>
      <c r="G870" s="53">
        <v>-23.133094</v>
      </c>
      <c r="H870" s="53">
        <v>-46.461038000000002</v>
      </c>
      <c r="I870" s="53">
        <v>-22.932464</v>
      </c>
      <c r="J870" s="53">
        <v>-46.933490999999997</v>
      </c>
      <c r="L870" s="61" t="str">
        <f t="shared" si="14"/>
        <v>Cliente14-Cliente1</v>
      </c>
      <c r="M870">
        <v>95.675246000000001</v>
      </c>
    </row>
    <row r="871" spans="1:13" x14ac:dyDescent="0.25">
      <c r="A871" s="15" t="s">
        <v>4284</v>
      </c>
      <c r="B871" s="15" t="s">
        <v>4272</v>
      </c>
      <c r="C871" s="54">
        <v>93.535238000000007</v>
      </c>
      <c r="D871" s="26">
        <v>7.9166666666666663E-2</v>
      </c>
      <c r="E871" s="55" t="s">
        <v>7281</v>
      </c>
      <c r="F871" s="55">
        <v>-46.129336000000002</v>
      </c>
      <c r="G871" s="55">
        <v>-23.172978000000001</v>
      </c>
      <c r="H871" s="55">
        <v>-46.385638</v>
      </c>
      <c r="I871" s="55">
        <v>-22.98545</v>
      </c>
      <c r="J871" s="55">
        <v>-46.815925999999997</v>
      </c>
      <c r="L871" s="61" t="str">
        <f t="shared" si="14"/>
        <v>Cliente14-Cliente2</v>
      </c>
      <c r="M871">
        <v>93.535238000000007</v>
      </c>
    </row>
    <row r="872" spans="1:13" x14ac:dyDescent="0.25">
      <c r="A872" s="15" t="s">
        <v>4284</v>
      </c>
      <c r="B872" s="15" t="s">
        <v>4273</v>
      </c>
      <c r="C872" s="52">
        <v>93.601725000000002</v>
      </c>
      <c r="D872" s="25">
        <v>7.9861111111111105E-2</v>
      </c>
      <c r="E872" s="53">
        <v>-23.221865000000001</v>
      </c>
      <c r="F872" s="53">
        <v>-46.139142999999997</v>
      </c>
      <c r="G872" s="53">
        <v>-23.170704000000001</v>
      </c>
      <c r="H872" s="53">
        <v>-46.421967000000002</v>
      </c>
      <c r="I872" s="53">
        <v>-22.935407000000001</v>
      </c>
      <c r="J872" s="53">
        <v>-46.883921999999998</v>
      </c>
      <c r="L872" s="61" t="str">
        <f t="shared" si="14"/>
        <v>Cliente14-Cliente3</v>
      </c>
      <c r="M872">
        <v>93.601725000000002</v>
      </c>
    </row>
    <row r="873" spans="1:13" x14ac:dyDescent="0.25">
      <c r="A873" s="15" t="s">
        <v>4284</v>
      </c>
      <c r="B873" s="15" t="s">
        <v>4274</v>
      </c>
      <c r="C873" s="54">
        <v>97.451128999999995</v>
      </c>
      <c r="D873" s="26">
        <v>8.0555555555555561E-2</v>
      </c>
      <c r="E873" s="55" t="s">
        <v>7281</v>
      </c>
      <c r="F873" s="55">
        <v>-46.129336000000002</v>
      </c>
      <c r="G873" s="55">
        <v>-23.172978000000001</v>
      </c>
      <c r="H873" s="55">
        <v>-46.385638</v>
      </c>
      <c r="I873" s="55">
        <v>-22.98621</v>
      </c>
      <c r="J873" s="55">
        <v>-46.813600999999998</v>
      </c>
      <c r="L873" s="61" t="str">
        <f t="shared" si="14"/>
        <v>Cliente14-Cliente4</v>
      </c>
      <c r="M873">
        <v>97.451128999999995</v>
      </c>
    </row>
    <row r="874" spans="1:13" x14ac:dyDescent="0.25">
      <c r="A874" s="15" t="s">
        <v>4284</v>
      </c>
      <c r="B874" s="15" t="s">
        <v>4275</v>
      </c>
      <c r="C874" s="52">
        <v>97.544335000000004</v>
      </c>
      <c r="D874" s="25">
        <v>8.0555555555555561E-2</v>
      </c>
      <c r="E874" s="53" t="s">
        <v>7299</v>
      </c>
      <c r="F874" s="53">
        <v>-46.128891000000003</v>
      </c>
      <c r="G874" s="53">
        <v>-23.175182</v>
      </c>
      <c r="H874" s="53">
        <v>-46.383360000000003</v>
      </c>
      <c r="I874" s="53">
        <v>-22.988848999999998</v>
      </c>
      <c r="J874" s="53">
        <v>-46.801557000000003</v>
      </c>
      <c r="L874" s="61" t="str">
        <f t="shared" si="14"/>
        <v>Cliente14-Cliente5</v>
      </c>
      <c r="M874">
        <v>97.544335000000004</v>
      </c>
    </row>
    <row r="875" spans="1:13" x14ac:dyDescent="0.25">
      <c r="A875" s="15" t="s">
        <v>4284</v>
      </c>
      <c r="B875" s="15" t="s">
        <v>4276</v>
      </c>
      <c r="C875" s="54">
        <v>97.866206000000005</v>
      </c>
      <c r="D875" s="26">
        <v>8.6805555555555566E-2</v>
      </c>
      <c r="E875" s="55">
        <v>-23.20243</v>
      </c>
      <c r="F875" s="55">
        <v>-46.164664999999999</v>
      </c>
      <c r="G875" s="55">
        <v>-23.114518</v>
      </c>
      <c r="H875" s="55">
        <v>-46.487740000000002</v>
      </c>
      <c r="I875" s="55">
        <v>-22.914642000000001</v>
      </c>
      <c r="J875" s="55">
        <v>-46.949216999999997</v>
      </c>
      <c r="L875" s="61" t="str">
        <f t="shared" si="14"/>
        <v>Cliente14-Cliente6</v>
      </c>
      <c r="M875">
        <v>97.866206000000005</v>
      </c>
    </row>
    <row r="876" spans="1:13" x14ac:dyDescent="0.25">
      <c r="A876" s="15" t="s">
        <v>4284</v>
      </c>
      <c r="B876" s="15" t="s">
        <v>4277</v>
      </c>
      <c r="C876" s="52">
        <v>96.597363000000001</v>
      </c>
      <c r="D876" s="25">
        <v>8.3333333333333329E-2</v>
      </c>
      <c r="E876" s="53">
        <v>-23.211431000000001</v>
      </c>
      <c r="F876" s="53">
        <v>-46.155064000000003</v>
      </c>
      <c r="G876" s="53">
        <v>-23.167555</v>
      </c>
      <c r="H876" s="53">
        <v>-46.443784999999998</v>
      </c>
      <c r="I876" s="53">
        <v>-22.928688999999999</v>
      </c>
      <c r="J876" s="53">
        <v>-46.914214999999999</v>
      </c>
      <c r="L876" s="61" t="str">
        <f t="shared" si="14"/>
        <v>Cliente14-Cliente7</v>
      </c>
      <c r="M876">
        <v>96.597363000000001</v>
      </c>
    </row>
    <row r="877" spans="1:13" x14ac:dyDescent="0.25">
      <c r="A877" s="15" t="s">
        <v>4284</v>
      </c>
      <c r="B877" s="15" t="s">
        <v>4278</v>
      </c>
      <c r="C877" s="54">
        <v>91.333714000000001</v>
      </c>
      <c r="D877" s="26">
        <v>7.4999999999999997E-2</v>
      </c>
      <c r="E877" s="55">
        <v>-23.238475999999999</v>
      </c>
      <c r="F877" s="55">
        <v>-46.123672999999997</v>
      </c>
      <c r="G877" s="55">
        <v>-23.18526</v>
      </c>
      <c r="H877" s="55">
        <v>-46.369996999999998</v>
      </c>
      <c r="I877" s="55">
        <v>-23.005783999999998</v>
      </c>
      <c r="J877" s="55">
        <v>-46.767471</v>
      </c>
      <c r="L877" s="61" t="str">
        <f t="shared" si="14"/>
        <v>Cliente14-Cliente8</v>
      </c>
      <c r="M877">
        <v>91.333714000000001</v>
      </c>
    </row>
    <row r="878" spans="1:13" x14ac:dyDescent="0.25">
      <c r="A878" s="15" t="s">
        <v>4284</v>
      </c>
      <c r="B878" s="15" t="s">
        <v>4279</v>
      </c>
      <c r="C878" s="52">
        <v>114.91481</v>
      </c>
      <c r="D878" s="25">
        <v>9.5833333333333326E-2</v>
      </c>
      <c r="E878" s="53">
        <v>-23.219885000000001</v>
      </c>
      <c r="F878" s="53">
        <v>-46.143355</v>
      </c>
      <c r="G878" s="53">
        <v>-23.170057</v>
      </c>
      <c r="H878" s="53">
        <v>-46.438690000000001</v>
      </c>
      <c r="I878" s="53">
        <v>-22.934774000000001</v>
      </c>
      <c r="J878" s="53">
        <v>-46.897452000000001</v>
      </c>
      <c r="L878" s="61" t="str">
        <f t="shared" si="14"/>
        <v>Cliente14-Cliente9</v>
      </c>
      <c r="M878">
        <v>114.91481</v>
      </c>
    </row>
    <row r="879" spans="1:13" x14ac:dyDescent="0.25">
      <c r="A879" s="15" t="s">
        <v>4284</v>
      </c>
      <c r="B879" s="15" t="s">
        <v>4280</v>
      </c>
      <c r="C879" s="54">
        <v>62.188226</v>
      </c>
      <c r="D879" s="26">
        <v>6.1111111111111116E-2</v>
      </c>
      <c r="E879" s="55">
        <v>-23.315766</v>
      </c>
      <c r="F879" s="55">
        <v>-46.077271000000003</v>
      </c>
      <c r="G879" s="55">
        <v>-23.403053</v>
      </c>
      <c r="H879" s="55">
        <v>-46.328882</v>
      </c>
      <c r="I879" s="55">
        <v>-23.516734</v>
      </c>
      <c r="J879" s="55">
        <v>-46.650905999999999</v>
      </c>
      <c r="L879" s="61" t="str">
        <f t="shared" si="14"/>
        <v>Cliente14-Cliente10</v>
      </c>
      <c r="M879">
        <v>62.188226</v>
      </c>
    </row>
    <row r="880" spans="1:13" x14ac:dyDescent="0.25">
      <c r="A880" s="15" t="s">
        <v>4284</v>
      </c>
      <c r="B880" s="15" t="s">
        <v>4281</v>
      </c>
      <c r="C880" s="52">
        <v>135.46484899999999</v>
      </c>
      <c r="D880" s="25">
        <v>0.10972222222222222</v>
      </c>
      <c r="E880" s="53">
        <v>-23.202031000000002</v>
      </c>
      <c r="F880" s="53">
        <v>-46.166092999999996</v>
      </c>
      <c r="G880" s="53">
        <v>-23.109475</v>
      </c>
      <c r="H880" s="53">
        <v>-46.496800999999998</v>
      </c>
      <c r="I880" s="53">
        <v>-22.912061000000001</v>
      </c>
      <c r="J880" s="53">
        <v>-46.951534000000002</v>
      </c>
      <c r="L880" s="61" t="str">
        <f t="shared" si="14"/>
        <v>Cliente14-Cliente11</v>
      </c>
      <c r="M880">
        <v>135.46484899999999</v>
      </c>
    </row>
    <row r="881" spans="1:13" x14ac:dyDescent="0.25">
      <c r="A881" s="15" t="s">
        <v>4284</v>
      </c>
      <c r="B881" s="15" t="s">
        <v>4282</v>
      </c>
      <c r="C881" s="54">
        <v>14.395963999999999</v>
      </c>
      <c r="D881" s="26">
        <v>1.6666666666666666E-2</v>
      </c>
      <c r="E881" s="55">
        <v>-23.218264000000001</v>
      </c>
      <c r="F881" s="55">
        <v>-45.900205999999997</v>
      </c>
      <c r="G881" s="55">
        <v>-23.296289999999999</v>
      </c>
      <c r="H881" s="55">
        <v>-46.007776</v>
      </c>
      <c r="I881" s="55">
        <v>-23.301742000000001</v>
      </c>
      <c r="J881" s="55">
        <v>-46.021715</v>
      </c>
      <c r="L881" s="61" t="str">
        <f t="shared" si="14"/>
        <v>Cliente14-Cliente12</v>
      </c>
      <c r="M881">
        <v>14.395963999999999</v>
      </c>
    </row>
    <row r="882" spans="1:13" x14ac:dyDescent="0.25">
      <c r="A882" s="15" t="s">
        <v>4284</v>
      </c>
      <c r="B882" s="15" t="s">
        <v>4283</v>
      </c>
      <c r="C882" s="52">
        <v>1.9424110000000001</v>
      </c>
      <c r="D882" s="25">
        <v>4.1666666666666666E-3</v>
      </c>
      <c r="E882" s="53">
        <v>-23.221266</v>
      </c>
      <c r="F882" s="53">
        <v>-45.899543000000001</v>
      </c>
      <c r="G882" s="53">
        <v>-23.220677999999999</v>
      </c>
      <c r="H882" s="53">
        <v>-45.900927000000003</v>
      </c>
      <c r="I882" s="53">
        <v>-23.218356</v>
      </c>
      <c r="J882" s="53">
        <v>-45.900039999999997</v>
      </c>
      <c r="L882" s="61" t="str">
        <f t="shared" si="14"/>
        <v>Cliente14-Cliente13</v>
      </c>
      <c r="M882">
        <v>1.9424110000000001</v>
      </c>
    </row>
    <row r="883" spans="1:13" x14ac:dyDescent="0.25">
      <c r="A883" s="15" t="s">
        <v>4284</v>
      </c>
      <c r="B883" s="15" t="s">
        <v>4284</v>
      </c>
      <c r="C883" s="54">
        <v>0</v>
      </c>
      <c r="D883" s="26">
        <v>0</v>
      </c>
      <c r="E883" s="55">
        <f>'1. Locais'!D18</f>
        <v>-23.228284630000001</v>
      </c>
      <c r="F883" s="55">
        <f>'1. Locais'!E18</f>
        <v>-45.908522089999998</v>
      </c>
      <c r="G883" s="55">
        <f>'1. Locais'!D18</f>
        <v>-23.228284630000001</v>
      </c>
      <c r="H883" s="55">
        <f>'1. Locais'!E18</f>
        <v>-45.908522089999998</v>
      </c>
      <c r="I883" s="55">
        <f>'1. Locais'!D18</f>
        <v>-23.228284630000001</v>
      </c>
      <c r="J883" s="55">
        <f>'1. Locais'!E18</f>
        <v>-45.908522089999998</v>
      </c>
      <c r="L883" s="61" t="str">
        <f t="shared" si="14"/>
        <v>Cliente14-Cliente14</v>
      </c>
      <c r="M883">
        <v>0</v>
      </c>
    </row>
    <row r="884" spans="1:13" x14ac:dyDescent="0.25">
      <c r="A884" s="15" t="s">
        <v>4284</v>
      </c>
      <c r="B884" s="15" t="s">
        <v>4285</v>
      </c>
      <c r="C884" s="52">
        <v>2.3835860000000002</v>
      </c>
      <c r="D884" s="25">
        <v>6.9444444444444441E-3</v>
      </c>
      <c r="E884" s="53">
        <v>-23.227184999999999</v>
      </c>
      <c r="F884" s="53">
        <v>-45.901088999999999</v>
      </c>
      <c r="G884" s="53">
        <v>-23.237880000000001</v>
      </c>
      <c r="H884" s="53">
        <v>-45.901124000000003</v>
      </c>
      <c r="I884" s="53">
        <v>-23.240043</v>
      </c>
      <c r="J884" s="53">
        <v>-45.898128999999997</v>
      </c>
      <c r="L884" s="61" t="str">
        <f t="shared" si="14"/>
        <v>Cliente14-Cliente15</v>
      </c>
      <c r="M884">
        <v>2.3835860000000002</v>
      </c>
    </row>
    <row r="885" spans="1:13" x14ac:dyDescent="0.25">
      <c r="A885" s="15" t="s">
        <v>4284</v>
      </c>
      <c r="B885" s="15" t="s">
        <v>4286</v>
      </c>
      <c r="C885" s="54">
        <v>2.916102</v>
      </c>
      <c r="D885" s="26">
        <v>6.2499999999999995E-3</v>
      </c>
      <c r="E885" s="55">
        <v>-23.226474</v>
      </c>
      <c r="F885" s="55">
        <v>-45.901111</v>
      </c>
      <c r="G885" s="55">
        <v>-23.244669999999999</v>
      </c>
      <c r="H885" s="55">
        <v>-45.907263999999998</v>
      </c>
      <c r="I885" s="55">
        <v>-23.24728</v>
      </c>
      <c r="J885" s="55">
        <v>-45.907980000000002</v>
      </c>
      <c r="L885" s="61" t="str">
        <f t="shared" si="14"/>
        <v>Cliente14-Cliente16</v>
      </c>
      <c r="M885">
        <v>2.916102</v>
      </c>
    </row>
    <row r="886" spans="1:13" x14ac:dyDescent="0.25">
      <c r="A886" s="15" t="s">
        <v>4284</v>
      </c>
      <c r="B886" s="15" t="s">
        <v>4287</v>
      </c>
      <c r="C886" s="52">
        <v>2.3699159999999999</v>
      </c>
      <c r="D886" s="25">
        <v>4.1666666666666666E-3</v>
      </c>
      <c r="E886" s="53">
        <v>-23.221266</v>
      </c>
      <c r="F886" s="53">
        <v>-45.899543000000001</v>
      </c>
      <c r="G886" s="53">
        <v>-23.220677999999999</v>
      </c>
      <c r="H886" s="53">
        <v>-45.900927000000003</v>
      </c>
      <c r="I886" s="53">
        <v>-23.218356</v>
      </c>
      <c r="J886" s="53">
        <v>-45.900039999999997</v>
      </c>
      <c r="L886" s="61" t="str">
        <f t="shared" si="14"/>
        <v>Cliente14-Cliente17</v>
      </c>
      <c r="M886">
        <v>2.3699159999999999</v>
      </c>
    </row>
    <row r="887" spans="1:13" x14ac:dyDescent="0.25">
      <c r="A887" s="15" t="s">
        <v>4284</v>
      </c>
      <c r="B887" s="15" t="s">
        <v>4288</v>
      </c>
      <c r="C887" s="54">
        <v>7.1992250000000002</v>
      </c>
      <c r="D887" s="26">
        <v>9.7222222222222224E-3</v>
      </c>
      <c r="E887" s="55">
        <v>-23.200312</v>
      </c>
      <c r="F887" s="55">
        <v>-45.878925000000002</v>
      </c>
      <c r="G887" s="55">
        <v>-23.187987</v>
      </c>
      <c r="H887" s="55">
        <v>-45.856741</v>
      </c>
      <c r="I887" s="55">
        <v>-23.178981</v>
      </c>
      <c r="J887" s="55">
        <v>-45.836556999999999</v>
      </c>
      <c r="L887" s="61" t="str">
        <f t="shared" si="14"/>
        <v>Cliente14-Cliente18</v>
      </c>
      <c r="M887">
        <v>7.1992250000000002</v>
      </c>
    </row>
    <row r="888" spans="1:13" x14ac:dyDescent="0.25">
      <c r="A888" s="15" t="s">
        <v>4284</v>
      </c>
      <c r="B888" s="15" t="s">
        <v>4289</v>
      </c>
      <c r="C888" s="52">
        <v>57.360781000000003</v>
      </c>
      <c r="D888" s="25">
        <v>5.2083333333333336E-2</v>
      </c>
      <c r="E888" s="53">
        <v>-23.308782999999998</v>
      </c>
      <c r="F888" s="53">
        <v>-46.058050000000001</v>
      </c>
      <c r="G888" s="53">
        <v>-23.378318</v>
      </c>
      <c r="H888" s="53">
        <v>-46.255564999999997</v>
      </c>
      <c r="I888" s="53">
        <v>-23.528376999999999</v>
      </c>
      <c r="J888" s="53">
        <v>-46.595298</v>
      </c>
      <c r="L888" s="61" t="str">
        <f t="shared" si="14"/>
        <v>Cliente14-Cliente19</v>
      </c>
      <c r="M888">
        <v>57.360781000000003</v>
      </c>
    </row>
    <row r="889" spans="1:13" x14ac:dyDescent="0.25">
      <c r="A889" s="15" t="s">
        <v>4284</v>
      </c>
      <c r="B889" s="15" t="s">
        <v>4290</v>
      </c>
      <c r="C889" s="54">
        <v>64.913567</v>
      </c>
      <c r="D889" s="26">
        <v>6.1111111111111116E-2</v>
      </c>
      <c r="E889" s="55">
        <v>-23.315766</v>
      </c>
      <c r="F889" s="55">
        <v>-46.077271000000003</v>
      </c>
      <c r="G889" s="55">
        <v>-23.403053</v>
      </c>
      <c r="H889" s="55">
        <v>-46.328882</v>
      </c>
      <c r="I889" s="55">
        <v>-23.516734</v>
      </c>
      <c r="J889" s="55">
        <v>-46.650905999999999</v>
      </c>
      <c r="L889" s="61" t="str">
        <f t="shared" si="14"/>
        <v>Cliente14-Cliente20</v>
      </c>
      <c r="M889">
        <v>64.913567</v>
      </c>
    </row>
    <row r="890" spans="1:13" x14ac:dyDescent="0.25">
      <c r="A890" s="15" t="s">
        <v>4284</v>
      </c>
      <c r="B890" s="15" t="s">
        <v>4291</v>
      </c>
      <c r="C890" s="52">
        <v>64.520238000000006</v>
      </c>
      <c r="D890" s="25">
        <v>6.1111111111111116E-2</v>
      </c>
      <c r="E890" s="53">
        <v>-23.320929</v>
      </c>
      <c r="F890" s="53">
        <v>-46.092657000000003</v>
      </c>
      <c r="G890" s="53">
        <v>-23.412445000000002</v>
      </c>
      <c r="H890" s="53">
        <v>-46.359893</v>
      </c>
      <c r="I890" s="53">
        <v>-23.507504000000001</v>
      </c>
      <c r="J890" s="53">
        <v>-46.697887000000001</v>
      </c>
      <c r="L890" s="61" t="str">
        <f t="shared" si="14"/>
        <v>Cliente14-Cliente21</v>
      </c>
      <c r="M890">
        <v>64.520238000000006</v>
      </c>
    </row>
    <row r="891" spans="1:13" x14ac:dyDescent="0.25">
      <c r="A891" s="15" t="s">
        <v>4284</v>
      </c>
      <c r="B891" s="15" t="s">
        <v>4292</v>
      </c>
      <c r="C891" s="54">
        <v>61.230691</v>
      </c>
      <c r="D891" s="26">
        <v>5.8333333333333327E-2</v>
      </c>
      <c r="E891" s="55">
        <v>-23.315766</v>
      </c>
      <c r="F891" s="55">
        <v>-46.077271000000003</v>
      </c>
      <c r="G891" s="55">
        <v>-23.403053</v>
      </c>
      <c r="H891" s="55">
        <v>-46.328882</v>
      </c>
      <c r="I891" s="55">
        <v>-23.516734</v>
      </c>
      <c r="J891" s="55">
        <v>-46.650905999999999</v>
      </c>
      <c r="L891" s="61" t="str">
        <f t="shared" si="14"/>
        <v>Cliente14-Cliente22</v>
      </c>
      <c r="M891">
        <v>61.230691</v>
      </c>
    </row>
    <row r="892" spans="1:13" x14ac:dyDescent="0.25">
      <c r="A892" s="15" t="s">
        <v>4284</v>
      </c>
      <c r="B892" s="15" t="s">
        <v>4293</v>
      </c>
      <c r="C892" s="52">
        <v>69.669554000000005</v>
      </c>
      <c r="D892" s="25">
        <v>6.805555555555555E-2</v>
      </c>
      <c r="E892" s="53">
        <v>-23.322858</v>
      </c>
      <c r="F892" s="53">
        <v>-46.118774999999999</v>
      </c>
      <c r="G892" s="53">
        <v>-23.461801000000001</v>
      </c>
      <c r="H892" s="53">
        <v>-46.490561</v>
      </c>
      <c r="I892" s="53">
        <v>-23.517299000000001</v>
      </c>
      <c r="J892" s="53">
        <v>-46.733860999999997</v>
      </c>
      <c r="L892" s="61" t="str">
        <f t="shared" si="14"/>
        <v>Cliente14-Cliente23</v>
      </c>
      <c r="M892">
        <v>69.669554000000005</v>
      </c>
    </row>
    <row r="893" spans="1:13" x14ac:dyDescent="0.25">
      <c r="A893" s="15" t="s">
        <v>4284</v>
      </c>
      <c r="B893" s="15" t="s">
        <v>4294</v>
      </c>
      <c r="C893" s="54">
        <v>64.514024000000006</v>
      </c>
      <c r="D893" s="26">
        <v>7.0833333333333331E-2</v>
      </c>
      <c r="E893" s="55">
        <v>-23.321603</v>
      </c>
      <c r="F893" s="55">
        <v>-46.097622000000001</v>
      </c>
      <c r="G893" s="55">
        <v>-23.413972000000001</v>
      </c>
      <c r="H893" s="55">
        <v>-46.364187000000001</v>
      </c>
      <c r="I893" s="55">
        <v>-23.555394</v>
      </c>
      <c r="J893" s="55">
        <v>-46.641953000000001</v>
      </c>
      <c r="L893" s="61" t="str">
        <f t="shared" si="14"/>
        <v>Cliente14-Cliente24</v>
      </c>
      <c r="M893">
        <v>64.514024000000006</v>
      </c>
    </row>
    <row r="894" spans="1:13" x14ac:dyDescent="0.25">
      <c r="A894" s="15" t="s">
        <v>4284</v>
      </c>
      <c r="B894" s="15" t="s">
        <v>4295</v>
      </c>
      <c r="C894" s="52">
        <v>72.045062000000001</v>
      </c>
      <c r="D894" s="25">
        <v>7.4305555555555555E-2</v>
      </c>
      <c r="E894" s="53">
        <v>-23.351894999999999</v>
      </c>
      <c r="F894" s="53">
        <v>-46.180186999999997</v>
      </c>
      <c r="G894" s="53">
        <v>-23.529337999999999</v>
      </c>
      <c r="H894" s="53">
        <v>-46.592793</v>
      </c>
      <c r="I894" s="53">
        <v>-23.560417000000001</v>
      </c>
      <c r="J894" s="53">
        <v>-46.712006000000002</v>
      </c>
      <c r="L894" s="61" t="str">
        <f t="shared" si="14"/>
        <v>Cliente14-Cliente25</v>
      </c>
      <c r="M894">
        <v>72.045062000000001</v>
      </c>
    </row>
    <row r="895" spans="1:13" x14ac:dyDescent="0.25">
      <c r="A895" s="15" t="s">
        <v>4284</v>
      </c>
      <c r="B895" s="15" t="s">
        <v>4296</v>
      </c>
      <c r="C895" s="54">
        <v>73.626456000000005</v>
      </c>
      <c r="D895" s="26">
        <v>6.9444444444444434E-2</v>
      </c>
      <c r="E895" s="55">
        <v>-23.351792</v>
      </c>
      <c r="F895" s="55">
        <v>-46.188212999999998</v>
      </c>
      <c r="G895" s="55">
        <v>-23.523509000000001</v>
      </c>
      <c r="H895" s="55">
        <v>-46.601160999999998</v>
      </c>
      <c r="I895" s="55">
        <v>-23.509474999999998</v>
      </c>
      <c r="J895" s="55">
        <v>-46.806263999999999</v>
      </c>
      <c r="L895" s="61" t="str">
        <f t="shared" si="14"/>
        <v>Cliente14-Cliente26</v>
      </c>
      <c r="M895">
        <v>73.626456000000005</v>
      </c>
    </row>
    <row r="896" spans="1:13" x14ac:dyDescent="0.25">
      <c r="A896" s="15" t="s">
        <v>4284</v>
      </c>
      <c r="B896" s="15" t="s">
        <v>4297</v>
      </c>
      <c r="C896" s="52">
        <v>71.448543999999998</v>
      </c>
      <c r="D896" s="25">
        <v>7.0833333333333331E-2</v>
      </c>
      <c r="E896" s="53">
        <v>-23.337675000000001</v>
      </c>
      <c r="F896" s="53">
        <v>-46.147956999999998</v>
      </c>
      <c r="G896" s="53">
        <v>-23.472128999999999</v>
      </c>
      <c r="H896" s="53">
        <v>-46.519630999999997</v>
      </c>
      <c r="I896" s="53">
        <v>-23.518191999999999</v>
      </c>
      <c r="J896" s="53">
        <v>-46.745730000000002</v>
      </c>
      <c r="L896" s="61" t="str">
        <f t="shared" si="14"/>
        <v>Cliente14-Cliente27</v>
      </c>
      <c r="M896">
        <v>71.448543999999998</v>
      </c>
    </row>
    <row r="897" spans="1:13" x14ac:dyDescent="0.25">
      <c r="A897" s="15" t="s">
        <v>4284</v>
      </c>
      <c r="B897" s="15" t="s">
        <v>4298</v>
      </c>
      <c r="C897" s="54">
        <v>66.128350999999995</v>
      </c>
      <c r="D897" s="26">
        <v>6.805555555555555E-2</v>
      </c>
      <c r="E897" s="55">
        <v>-23.322126000000001</v>
      </c>
      <c r="F897" s="55">
        <v>-46.116160999999998</v>
      </c>
      <c r="G897" s="55">
        <v>-23.432136</v>
      </c>
      <c r="H897" s="55">
        <v>-46.419510000000002</v>
      </c>
      <c r="I897" s="55">
        <v>-23.560534000000001</v>
      </c>
      <c r="J897" s="55">
        <v>-46.639854999999997</v>
      </c>
      <c r="L897" s="61" t="str">
        <f t="shared" si="14"/>
        <v>Cliente14-Cliente28</v>
      </c>
      <c r="M897">
        <v>66.128350999999995</v>
      </c>
    </row>
    <row r="898" spans="1:13" x14ac:dyDescent="0.25">
      <c r="A898" s="15" t="s">
        <v>4284</v>
      </c>
      <c r="B898" s="15" t="s">
        <v>4299</v>
      </c>
      <c r="C898" s="52">
        <v>63.713075000000003</v>
      </c>
      <c r="D898" s="25">
        <v>6.3194444444444442E-2</v>
      </c>
      <c r="E898" s="53">
        <v>-23.31972</v>
      </c>
      <c r="F898" s="53">
        <v>-46.088408999999999</v>
      </c>
      <c r="G898" s="53">
        <v>-23.407961</v>
      </c>
      <c r="H898" s="53">
        <v>-46.338622999999998</v>
      </c>
      <c r="I898" s="53">
        <v>-23.581783999999999</v>
      </c>
      <c r="J898" s="53">
        <v>-46.572367999999997</v>
      </c>
      <c r="L898" s="61" t="str">
        <f t="shared" si="14"/>
        <v>Cliente14-Cliente29</v>
      </c>
      <c r="M898">
        <v>63.713075000000003</v>
      </c>
    </row>
    <row r="899" spans="1:13" x14ac:dyDescent="0.25">
      <c r="A899" s="15" t="s">
        <v>4284</v>
      </c>
      <c r="B899" s="15" t="s">
        <v>4300</v>
      </c>
      <c r="C899" s="54">
        <v>64.775001000000003</v>
      </c>
      <c r="D899" s="26">
        <v>5.6944444444444443E-2</v>
      </c>
      <c r="E899" s="55">
        <v>-23.328043999999998</v>
      </c>
      <c r="F899" s="55">
        <v>-46.1342</v>
      </c>
      <c r="G899" s="55">
        <v>-23.461653999999999</v>
      </c>
      <c r="H899" s="55">
        <v>-46.347417</v>
      </c>
      <c r="I899" s="55">
        <v>-23.656227999999999</v>
      </c>
      <c r="J899" s="55">
        <v>-46.395367</v>
      </c>
      <c r="L899" s="61" t="str">
        <f t="shared" si="14"/>
        <v>Cliente14-Cliente30</v>
      </c>
      <c r="M899">
        <v>64.775001000000003</v>
      </c>
    </row>
    <row r="900" spans="1:13" x14ac:dyDescent="0.25">
      <c r="A900" s="15" t="s">
        <v>4284</v>
      </c>
      <c r="B900" s="15" t="s">
        <v>4301</v>
      </c>
      <c r="C900" s="52">
        <v>67.628966000000005</v>
      </c>
      <c r="D900" s="25">
        <v>6.6666666666666666E-2</v>
      </c>
      <c r="E900" s="53">
        <v>-23.324159999999999</v>
      </c>
      <c r="F900" s="53">
        <v>-46.121547999999997</v>
      </c>
      <c r="G900" s="53">
        <v>-23.469995999999998</v>
      </c>
      <c r="H900" s="53">
        <v>-46.514377000000003</v>
      </c>
      <c r="I900" s="53">
        <v>-23.516981000000001</v>
      </c>
      <c r="J900" s="53">
        <v>-46.741700000000002</v>
      </c>
      <c r="L900" s="61" t="str">
        <f t="shared" si="14"/>
        <v>Cliente14-Cliente31</v>
      </c>
      <c r="M900">
        <v>67.628966000000005</v>
      </c>
    </row>
    <row r="901" spans="1:13" x14ac:dyDescent="0.25">
      <c r="A901" s="15" t="s">
        <v>4284</v>
      </c>
      <c r="B901" s="15" t="s">
        <v>4302</v>
      </c>
      <c r="C901" s="54">
        <v>62.659847999999997</v>
      </c>
      <c r="D901" s="26">
        <v>5.9722222222222225E-2</v>
      </c>
      <c r="E901" s="55">
        <v>-23.314546</v>
      </c>
      <c r="F901" s="55">
        <v>-46.068800000000003</v>
      </c>
      <c r="G901" s="55">
        <v>-23.400100999999999</v>
      </c>
      <c r="H901" s="55">
        <v>-46.303072</v>
      </c>
      <c r="I901" s="55">
        <v>-23.518393</v>
      </c>
      <c r="J901" s="55">
        <v>-46.620145999999998</v>
      </c>
      <c r="L901" s="61" t="str">
        <f t="shared" si="14"/>
        <v>Cliente14-Cliente32</v>
      </c>
      <c r="M901">
        <v>62.659847999999997</v>
      </c>
    </row>
    <row r="902" spans="1:13" x14ac:dyDescent="0.25">
      <c r="A902" s="15" t="s">
        <v>4284</v>
      </c>
      <c r="B902" s="15" t="s">
        <v>4303</v>
      </c>
      <c r="C902" s="52">
        <v>52.725962000000003</v>
      </c>
      <c r="D902" s="25">
        <v>4.8611111111111112E-2</v>
      </c>
      <c r="E902" s="53">
        <v>-23.306722000000001</v>
      </c>
      <c r="F902" s="53">
        <v>-46.039996000000002</v>
      </c>
      <c r="G902" s="53">
        <v>-23.369153000000001</v>
      </c>
      <c r="H902" s="53">
        <v>-46.236646999999998</v>
      </c>
      <c r="I902" s="53">
        <v>-23.460854999999999</v>
      </c>
      <c r="J902" s="53">
        <v>-46.488413999999999</v>
      </c>
      <c r="L902" s="61" t="str">
        <f t="shared" si="14"/>
        <v>Cliente14-Cliente33</v>
      </c>
      <c r="M902">
        <v>52.725962000000003</v>
      </c>
    </row>
    <row r="903" spans="1:13" x14ac:dyDescent="0.25">
      <c r="A903" s="15" t="s">
        <v>4284</v>
      </c>
      <c r="B903" s="15" t="s">
        <v>4304</v>
      </c>
      <c r="C903" s="54">
        <v>72.336485999999994</v>
      </c>
      <c r="D903" s="26">
        <v>7.0833333333333331E-2</v>
      </c>
      <c r="E903" s="55">
        <v>-23.352374999999999</v>
      </c>
      <c r="F903" s="55">
        <v>-46.183948999999998</v>
      </c>
      <c r="G903" s="55">
        <v>-23.525928</v>
      </c>
      <c r="H903" s="55">
        <v>-46.598052000000003</v>
      </c>
      <c r="I903" s="55">
        <v>-23.510712999999999</v>
      </c>
      <c r="J903" s="55">
        <v>-46.804582000000003</v>
      </c>
      <c r="L903" s="61" t="str">
        <f t="shared" si="14"/>
        <v>Cliente14-Cliente34</v>
      </c>
      <c r="M903">
        <v>72.336485999999994</v>
      </c>
    </row>
    <row r="904" spans="1:13" x14ac:dyDescent="0.25">
      <c r="A904" s="15" t="s">
        <v>4284</v>
      </c>
      <c r="B904" s="15" t="s">
        <v>4305</v>
      </c>
      <c r="C904" s="52">
        <v>72.932382000000004</v>
      </c>
      <c r="D904" s="25">
        <v>7.0833333333333331E-2</v>
      </c>
      <c r="E904" s="53">
        <v>-23.351894999999999</v>
      </c>
      <c r="F904" s="53">
        <v>-46.180186999999997</v>
      </c>
      <c r="G904" s="53">
        <v>-23.529337999999999</v>
      </c>
      <c r="H904" s="53">
        <v>-46.592793</v>
      </c>
      <c r="I904" s="53">
        <v>-23.520171999999999</v>
      </c>
      <c r="J904" s="53">
        <v>-46.776637999999998</v>
      </c>
      <c r="L904" s="61" t="str">
        <f t="shared" si="14"/>
        <v>Cliente14-Cliente35</v>
      </c>
      <c r="M904">
        <v>72.932382000000004</v>
      </c>
    </row>
    <row r="905" spans="1:13" x14ac:dyDescent="0.25">
      <c r="A905" s="15" t="s">
        <v>4284</v>
      </c>
      <c r="B905" s="15" t="s">
        <v>4306</v>
      </c>
      <c r="C905" s="54">
        <v>181.63222200000001</v>
      </c>
      <c r="D905" s="26">
        <v>0.14861111111111111</v>
      </c>
      <c r="E905" s="55">
        <v>-23.175599999999999</v>
      </c>
      <c r="F905" s="55">
        <v>-46.254511000000001</v>
      </c>
      <c r="G905" s="55">
        <v>-22.989374999999999</v>
      </c>
      <c r="H905" s="55">
        <v>-46.800041</v>
      </c>
      <c r="I905" s="55">
        <v>-22.589946999999999</v>
      </c>
      <c r="J905" s="55">
        <v>-47.367457999999999</v>
      </c>
      <c r="L905" s="61" t="str">
        <f t="shared" si="14"/>
        <v>Cliente14-Cliente36</v>
      </c>
      <c r="M905">
        <v>181.63222200000001</v>
      </c>
    </row>
    <row r="906" spans="1:13" x14ac:dyDescent="0.25">
      <c r="A906" s="15" t="s">
        <v>4284</v>
      </c>
      <c r="B906" s="15" t="s">
        <v>4307</v>
      </c>
      <c r="C906" s="52">
        <v>180.53549899999999</v>
      </c>
      <c r="D906" s="25">
        <v>0.14722222222222223</v>
      </c>
      <c r="E906" s="53">
        <v>-23.173138000000002</v>
      </c>
      <c r="F906" s="53">
        <v>-46.260356999999999</v>
      </c>
      <c r="G906" s="53">
        <v>-22.98621</v>
      </c>
      <c r="H906" s="53">
        <v>-46.813600999999998</v>
      </c>
      <c r="I906" s="53">
        <v>-22.560054000000001</v>
      </c>
      <c r="J906" s="53">
        <v>-47.366478999999998</v>
      </c>
      <c r="L906" s="61" t="str">
        <f t="shared" si="14"/>
        <v>Cliente14-Cliente37</v>
      </c>
      <c r="M906">
        <v>180.53549899999999</v>
      </c>
    </row>
    <row r="907" spans="1:13" x14ac:dyDescent="0.25">
      <c r="A907" s="15" t="s">
        <v>4284</v>
      </c>
      <c r="B907" s="15" t="s">
        <v>4308</v>
      </c>
      <c r="C907" s="54">
        <v>178.758994</v>
      </c>
      <c r="D907" s="26">
        <v>0.14444444444444446</v>
      </c>
      <c r="E907" s="55">
        <v>-23.175111999999999</v>
      </c>
      <c r="F907" s="55">
        <v>-46.252409999999998</v>
      </c>
      <c r="G907" s="55">
        <v>-23.003177000000001</v>
      </c>
      <c r="H907" s="55">
        <v>-46.775430999999998</v>
      </c>
      <c r="I907" s="55">
        <v>-22.627230000000001</v>
      </c>
      <c r="J907" s="55">
        <v>-47.339827999999997</v>
      </c>
      <c r="L907" s="61" t="str">
        <f t="shared" si="14"/>
        <v>Cliente14-Cliente38</v>
      </c>
      <c r="M907">
        <v>178.758994</v>
      </c>
    </row>
    <row r="908" spans="1:13" x14ac:dyDescent="0.25">
      <c r="A908" s="15" t="s">
        <v>4284</v>
      </c>
      <c r="B908" s="15" t="s">
        <v>4309</v>
      </c>
      <c r="C908" s="52">
        <v>28.205351</v>
      </c>
      <c r="D908" s="25">
        <v>2.9166666666666664E-2</v>
      </c>
      <c r="E908" s="53">
        <v>-23.076118000000001</v>
      </c>
      <c r="F908" s="53">
        <v>-45.653188</v>
      </c>
      <c r="G908" s="53">
        <v>-23.038954</v>
      </c>
      <c r="H908" s="53">
        <v>-45.558115000000001</v>
      </c>
      <c r="I908" s="53">
        <v>-23.02459</v>
      </c>
      <c r="J908" s="53">
        <v>-45.549737</v>
      </c>
      <c r="L908" s="61" t="str">
        <f t="shared" si="14"/>
        <v>Cliente14-Cliente39</v>
      </c>
      <c r="M908">
        <v>28.205351</v>
      </c>
    </row>
    <row r="909" spans="1:13" x14ac:dyDescent="0.25">
      <c r="A909" s="15" t="s">
        <v>4284</v>
      </c>
      <c r="B909" s="15" t="s">
        <v>4310</v>
      </c>
      <c r="C909" s="54">
        <v>29.766860999999999</v>
      </c>
      <c r="D909" s="26">
        <v>3.2638888888888891E-2</v>
      </c>
      <c r="E909" s="55">
        <v>-23.050951999999999</v>
      </c>
      <c r="F909" s="55">
        <v>-45.603090000000002</v>
      </c>
      <c r="G909" s="55">
        <v>-23.036792999999999</v>
      </c>
      <c r="H909" s="55">
        <v>-45.556955000000002</v>
      </c>
      <c r="I909" s="55">
        <v>-23.013909000000002</v>
      </c>
      <c r="J909" s="55">
        <v>-45.550407</v>
      </c>
      <c r="L909" s="61" t="str">
        <f t="shared" si="14"/>
        <v>Cliente14-Cliente40</v>
      </c>
      <c r="M909">
        <v>29.766860999999999</v>
      </c>
    </row>
    <row r="910" spans="1:13" x14ac:dyDescent="0.25">
      <c r="A910" s="15" t="s">
        <v>4284</v>
      </c>
      <c r="B910" s="15" t="s">
        <v>4311</v>
      </c>
      <c r="C910" s="52">
        <v>19.060608999999999</v>
      </c>
      <c r="D910" s="25">
        <v>2.2916666666666669E-2</v>
      </c>
      <c r="E910" s="53">
        <v>-23.111089</v>
      </c>
      <c r="F910" s="53">
        <v>-45.703792</v>
      </c>
      <c r="G910" s="53">
        <v>-23.099254999999999</v>
      </c>
      <c r="H910" s="53">
        <v>-45.703125</v>
      </c>
      <c r="I910" s="53">
        <v>-23.084672999999999</v>
      </c>
      <c r="J910" s="53">
        <v>-45.710155999999998</v>
      </c>
      <c r="L910" s="61" t="str">
        <f t="shared" si="14"/>
        <v>Cliente14-Cliente41</v>
      </c>
      <c r="M910">
        <v>19.060608999999999</v>
      </c>
    </row>
    <row r="911" spans="1:13" x14ac:dyDescent="0.25">
      <c r="A911" s="15" t="s">
        <v>4284</v>
      </c>
      <c r="B911" s="15" t="s">
        <v>4312</v>
      </c>
      <c r="C911" s="54">
        <v>15.772926</v>
      </c>
      <c r="D911" s="26">
        <v>1.5972222222222224E-2</v>
      </c>
      <c r="E911" s="55">
        <v>-23.198671999999998</v>
      </c>
      <c r="F911" s="55">
        <v>-45.876918000000003</v>
      </c>
      <c r="G911" s="55">
        <v>-23.113880999999999</v>
      </c>
      <c r="H911" s="55">
        <v>-45.709819000000003</v>
      </c>
      <c r="I911" s="55">
        <v>-23.118162999999999</v>
      </c>
      <c r="J911" s="55">
        <v>-45.710968999999999</v>
      </c>
      <c r="L911" s="61" t="str">
        <f t="shared" si="14"/>
        <v>Cliente14-Cliente42</v>
      </c>
      <c r="M911">
        <v>15.772926</v>
      </c>
    </row>
    <row r="912" spans="1:13" x14ac:dyDescent="0.25">
      <c r="A912" s="15" t="s">
        <v>4284</v>
      </c>
      <c r="B912" s="15" t="s">
        <v>4313</v>
      </c>
      <c r="C912" s="52">
        <v>34.447040000000001</v>
      </c>
      <c r="D912" s="25">
        <v>3.4722222222222224E-2</v>
      </c>
      <c r="E912" s="53">
        <v>-23.036474999999999</v>
      </c>
      <c r="F912" s="53">
        <v>-45.556173999999999</v>
      </c>
      <c r="G912" s="53">
        <v>-23.010670000000001</v>
      </c>
      <c r="H912" s="53">
        <v>-45.520904999999999</v>
      </c>
      <c r="I912" s="53">
        <v>-22.984894000000001</v>
      </c>
      <c r="J912" s="53">
        <v>-45.515456999999998</v>
      </c>
      <c r="L912" s="61" t="str">
        <f t="shared" si="14"/>
        <v>Cliente14-Cliente43</v>
      </c>
      <c r="M912">
        <v>34.447040000000001</v>
      </c>
    </row>
    <row r="913" spans="1:13" x14ac:dyDescent="0.25">
      <c r="A913" s="15" t="s">
        <v>4284</v>
      </c>
      <c r="B913" s="15" t="s">
        <v>4314</v>
      </c>
      <c r="C913" s="54">
        <v>125.63845999999999</v>
      </c>
      <c r="D913" s="26">
        <v>0.11041666666666666</v>
      </c>
      <c r="E913" s="55">
        <v>-23.377828999999998</v>
      </c>
      <c r="F913" s="55">
        <v>-46.254559</v>
      </c>
      <c r="G913" s="55">
        <v>-23.517015000000001</v>
      </c>
      <c r="H913" s="55">
        <v>-46.734730999999996</v>
      </c>
      <c r="I913" s="55">
        <v>-23.418369999999999</v>
      </c>
      <c r="J913" s="55">
        <v>-47.218603999999999</v>
      </c>
      <c r="L913" s="61" t="str">
        <f t="shared" si="14"/>
        <v>Cliente14-Cliente44</v>
      </c>
      <c r="M913">
        <v>125.63845999999999</v>
      </c>
    </row>
    <row r="914" spans="1:13" x14ac:dyDescent="0.25">
      <c r="A914" s="15" t="s">
        <v>4284</v>
      </c>
      <c r="B914" s="15" t="s">
        <v>4315</v>
      </c>
      <c r="C914" s="52">
        <v>123.132464</v>
      </c>
      <c r="D914" s="25">
        <v>0.11597222222222221</v>
      </c>
      <c r="E914" s="53">
        <v>-23.412445000000002</v>
      </c>
      <c r="F914" s="53">
        <v>-46.359893</v>
      </c>
      <c r="G914" s="53">
        <v>-23.507991000000001</v>
      </c>
      <c r="H914" s="53">
        <v>-46.975509000000002</v>
      </c>
      <c r="I914" s="53">
        <v>-23.492453000000001</v>
      </c>
      <c r="J914" s="53">
        <v>-47.390563</v>
      </c>
      <c r="L914" s="61" t="str">
        <f t="shared" ref="L914:L977" si="15">_xlfn.CONCAT(A914,"-",B914)</f>
        <v>Cliente14-Cliente45</v>
      </c>
      <c r="M914">
        <v>123.132464</v>
      </c>
    </row>
    <row r="915" spans="1:13" x14ac:dyDescent="0.25">
      <c r="A915" s="15" t="s">
        <v>4284</v>
      </c>
      <c r="B915" s="15" t="s">
        <v>4316</v>
      </c>
      <c r="C915" s="54">
        <v>114.360545</v>
      </c>
      <c r="D915" s="26">
        <v>0.10416666666666667</v>
      </c>
      <c r="E915" s="55">
        <v>-23.371203000000001</v>
      </c>
      <c r="F915" s="55">
        <v>-46.242761000000002</v>
      </c>
      <c r="G915" s="55">
        <v>-23.507998000000001</v>
      </c>
      <c r="H915" s="55">
        <v>-46.719386999999998</v>
      </c>
      <c r="I915" s="55">
        <v>-23.436747</v>
      </c>
      <c r="J915" s="55">
        <v>-47.118594999999999</v>
      </c>
      <c r="L915" s="61" t="str">
        <f t="shared" si="15"/>
        <v>Cliente14-Cliente46</v>
      </c>
      <c r="M915">
        <v>114.360545</v>
      </c>
    </row>
    <row r="916" spans="1:13" x14ac:dyDescent="0.25">
      <c r="A916" s="15" t="s">
        <v>4284</v>
      </c>
      <c r="B916" s="15" t="s">
        <v>4317</v>
      </c>
      <c r="C916" s="52">
        <v>228.08853300000001</v>
      </c>
      <c r="D916" s="25">
        <v>0.18263888888888891</v>
      </c>
      <c r="E916" s="53">
        <v>-23.174627000000001</v>
      </c>
      <c r="F916" s="53">
        <v>-46.281488000000003</v>
      </c>
      <c r="G916" s="53">
        <v>-22.948468999999999</v>
      </c>
      <c r="H916" s="53">
        <v>-46.868358999999998</v>
      </c>
      <c r="I916" s="53">
        <v>-22.453492000000001</v>
      </c>
      <c r="J916" s="53">
        <v>-47.398679999999999</v>
      </c>
      <c r="L916" s="61" t="str">
        <f t="shared" si="15"/>
        <v>Cliente14-Cliente47</v>
      </c>
      <c r="M916">
        <v>228.08853300000001</v>
      </c>
    </row>
    <row r="917" spans="1:13" x14ac:dyDescent="0.25">
      <c r="A917" s="15" t="s">
        <v>4284</v>
      </c>
      <c r="B917" s="15" t="s">
        <v>4318</v>
      </c>
      <c r="C917" s="54">
        <v>237.19972200000001</v>
      </c>
      <c r="D917" s="26">
        <v>0.19097222222222221</v>
      </c>
      <c r="E917" s="55">
        <v>-23.178274999999999</v>
      </c>
      <c r="F917" s="55">
        <v>-46.315071000000003</v>
      </c>
      <c r="G917" s="55">
        <v>-22.929143</v>
      </c>
      <c r="H917" s="55">
        <v>-46.940201000000002</v>
      </c>
      <c r="I917" s="55">
        <v>-22.248802999999999</v>
      </c>
      <c r="J917" s="55">
        <v>-47.389876000000001</v>
      </c>
      <c r="L917" s="61" t="str">
        <f t="shared" si="15"/>
        <v>Cliente14-Cliente48</v>
      </c>
      <c r="M917">
        <v>237.19972200000001</v>
      </c>
    </row>
    <row r="918" spans="1:13" x14ac:dyDescent="0.25">
      <c r="A918" s="15" t="s">
        <v>4284</v>
      </c>
      <c r="B918" s="15" t="s">
        <v>4319</v>
      </c>
      <c r="C918" s="52">
        <v>230.83748600000001</v>
      </c>
      <c r="D918" s="25">
        <v>0.18680555555555556</v>
      </c>
      <c r="E918" s="53">
        <v>-23.182054999999998</v>
      </c>
      <c r="F918" s="53">
        <v>-46.308515</v>
      </c>
      <c r="G918" s="53">
        <v>-22.928504</v>
      </c>
      <c r="H918" s="53">
        <v>-46.909339000000003</v>
      </c>
      <c r="I918" s="53">
        <v>-22.335405000000002</v>
      </c>
      <c r="J918" s="53">
        <v>-47.389561</v>
      </c>
      <c r="L918" s="61" t="str">
        <f t="shared" si="15"/>
        <v>Cliente14-Cliente49</v>
      </c>
      <c r="M918">
        <v>230.83748600000001</v>
      </c>
    </row>
    <row r="919" spans="1:13" x14ac:dyDescent="0.25">
      <c r="A919" s="15" t="s">
        <v>4284</v>
      </c>
      <c r="B919" s="15" t="s">
        <v>4320</v>
      </c>
      <c r="C919" s="54">
        <v>261.759479</v>
      </c>
      <c r="D919" s="26">
        <v>0.21249999999999999</v>
      </c>
      <c r="E919" s="55">
        <v>-23.173535000000001</v>
      </c>
      <c r="F919" s="55">
        <v>-46.384925000000003</v>
      </c>
      <c r="G919" s="55">
        <v>-22.774830999999999</v>
      </c>
      <c r="H919" s="55">
        <v>-47.234921999999997</v>
      </c>
      <c r="I919" s="55">
        <v>-22.291412999999999</v>
      </c>
      <c r="J919" s="55">
        <v>-48.068430999999997</v>
      </c>
      <c r="L919" s="61" t="str">
        <f t="shared" si="15"/>
        <v>Cliente14-Cliente50</v>
      </c>
      <c r="M919">
        <v>261.759479</v>
      </c>
    </row>
    <row r="920" spans="1:13" x14ac:dyDescent="0.25">
      <c r="A920" s="15" t="s">
        <v>4284</v>
      </c>
      <c r="B920" s="15" t="s">
        <v>4321</v>
      </c>
      <c r="C920" s="52">
        <v>255.41464199999999</v>
      </c>
      <c r="D920" s="25">
        <v>0.20833333333333334</v>
      </c>
      <c r="E920" s="53">
        <v>-23.18544</v>
      </c>
      <c r="F920" s="53">
        <v>-46.367669999999997</v>
      </c>
      <c r="G920" s="53">
        <v>-22.857859999999999</v>
      </c>
      <c r="H920" s="53">
        <v>-47.145806999999998</v>
      </c>
      <c r="I920" s="53">
        <v>-22.253502000000001</v>
      </c>
      <c r="J920" s="53">
        <v>-47.839981999999999</v>
      </c>
      <c r="L920" s="61" t="str">
        <f t="shared" si="15"/>
        <v>Cliente14-Cliente51</v>
      </c>
      <c r="M920">
        <v>255.41464199999999</v>
      </c>
    </row>
    <row r="921" spans="1:13" x14ac:dyDescent="0.25">
      <c r="A921" s="15" t="s">
        <v>4285</v>
      </c>
      <c r="B921" s="15" t="s">
        <v>4268</v>
      </c>
      <c r="C921" s="54">
        <v>115.19877700000001</v>
      </c>
      <c r="D921" s="26">
        <v>0.10208333333333335</v>
      </c>
      <c r="E921" s="55">
        <v>-23.359231999999999</v>
      </c>
      <c r="F921" s="55">
        <v>-46.21658</v>
      </c>
      <c r="G921" s="55">
        <v>-23.509692999999999</v>
      </c>
      <c r="H921" s="55">
        <v>-46.683678</v>
      </c>
      <c r="I921" s="55">
        <v>-23.438381</v>
      </c>
      <c r="J921" s="55">
        <v>-47.066941999999997</v>
      </c>
      <c r="L921" s="61" t="str">
        <f t="shared" si="15"/>
        <v>Cliente15-depósito A</v>
      </c>
      <c r="M921">
        <v>115.19877700000001</v>
      </c>
    </row>
    <row r="922" spans="1:13" x14ac:dyDescent="0.25">
      <c r="A922" s="15" t="s">
        <v>4285</v>
      </c>
      <c r="B922" s="15" t="s">
        <v>4269</v>
      </c>
      <c r="C922" s="52">
        <v>205.28663900000001</v>
      </c>
      <c r="D922" s="25">
        <v>0.1673611111111111</v>
      </c>
      <c r="E922" s="53">
        <v>-23.175111999999999</v>
      </c>
      <c r="F922" s="53">
        <v>-46.252409999999998</v>
      </c>
      <c r="G922" s="53">
        <v>-22.988848999999998</v>
      </c>
      <c r="H922" s="53">
        <v>-46.801557000000003</v>
      </c>
      <c r="I922" s="53">
        <v>-22.561449</v>
      </c>
      <c r="J922" s="53">
        <v>-47.366067999999999</v>
      </c>
      <c r="L922" s="61" t="str">
        <f t="shared" si="15"/>
        <v>Cliente15-depósito B</v>
      </c>
      <c r="M922">
        <v>205.28663900000001</v>
      </c>
    </row>
    <row r="923" spans="1:13" x14ac:dyDescent="0.25">
      <c r="A923" s="15" t="s">
        <v>4285</v>
      </c>
      <c r="B923" s="15" t="s">
        <v>4270</v>
      </c>
      <c r="C923" s="54">
        <v>10.181813999999999</v>
      </c>
      <c r="D923" s="26">
        <v>1.5972222222222224E-2</v>
      </c>
      <c r="E923" s="55">
        <v>-23.226485</v>
      </c>
      <c r="F923" s="55">
        <v>-45.900886</v>
      </c>
      <c r="G923" s="55">
        <v>-23.230858000000001</v>
      </c>
      <c r="H923" s="55">
        <v>-45.912396999999999</v>
      </c>
      <c r="I923" s="55">
        <v>-23.279040999999999</v>
      </c>
      <c r="J923" s="55">
        <v>-45.981039000000003</v>
      </c>
      <c r="L923" s="61" t="str">
        <f t="shared" si="15"/>
        <v>Cliente15-depósito C</v>
      </c>
      <c r="M923">
        <v>10.181813999999999</v>
      </c>
    </row>
    <row r="924" spans="1:13" x14ac:dyDescent="0.25">
      <c r="A924" s="15" t="s">
        <v>4285</v>
      </c>
      <c r="B924" s="15" t="s">
        <v>4271</v>
      </c>
      <c r="C924" s="52">
        <v>96.265550000000005</v>
      </c>
      <c r="D924" s="25">
        <v>8.819444444444445E-2</v>
      </c>
      <c r="E924" s="53">
        <v>-23.219885000000001</v>
      </c>
      <c r="F924" s="53">
        <v>-46.143355</v>
      </c>
      <c r="G924" s="53">
        <v>-23.156666999999999</v>
      </c>
      <c r="H924" s="53">
        <v>-46.450750999999997</v>
      </c>
      <c r="I924" s="53">
        <v>-22.932721999999998</v>
      </c>
      <c r="J924" s="53">
        <v>-46.932287000000002</v>
      </c>
      <c r="L924" s="61" t="str">
        <f t="shared" si="15"/>
        <v>Cliente15-Cliente1</v>
      </c>
      <c r="M924">
        <v>96.265550000000005</v>
      </c>
    </row>
    <row r="925" spans="1:13" x14ac:dyDescent="0.25">
      <c r="A925" s="15" t="s">
        <v>4285</v>
      </c>
      <c r="B925" s="15" t="s">
        <v>4272</v>
      </c>
      <c r="C925" s="54">
        <v>94.125541999999996</v>
      </c>
      <c r="D925" s="26">
        <v>8.3333333333333329E-2</v>
      </c>
      <c r="E925" s="55">
        <v>-23.238475999999999</v>
      </c>
      <c r="F925" s="55">
        <v>-46.123672999999997</v>
      </c>
      <c r="G925" s="55">
        <v>-23.175943</v>
      </c>
      <c r="H925" s="55">
        <v>-46.382437000000003</v>
      </c>
      <c r="I925" s="55">
        <v>-22.98593</v>
      </c>
      <c r="J925" s="55">
        <v>-46.814684</v>
      </c>
      <c r="L925" s="61" t="str">
        <f t="shared" si="15"/>
        <v>Cliente15-Cliente2</v>
      </c>
      <c r="M925">
        <v>94.125541999999996</v>
      </c>
    </row>
    <row r="926" spans="1:13" x14ac:dyDescent="0.25">
      <c r="A926" s="15" t="s">
        <v>4285</v>
      </c>
      <c r="B926" s="15" t="s">
        <v>4273</v>
      </c>
      <c r="C926" s="52">
        <v>94.192029000000005</v>
      </c>
      <c r="D926" s="25">
        <v>8.3333333333333329E-2</v>
      </c>
      <c r="E926" s="53">
        <v>-23.230509999999999</v>
      </c>
      <c r="F926" s="53">
        <v>-46.130629999999996</v>
      </c>
      <c r="G926" s="53">
        <v>-23.165593999999999</v>
      </c>
      <c r="H926" s="53">
        <v>-46.405121999999999</v>
      </c>
      <c r="I926" s="53">
        <v>-22.935656999999999</v>
      </c>
      <c r="J926" s="53">
        <v>-46.883384</v>
      </c>
      <c r="L926" s="61" t="str">
        <f t="shared" si="15"/>
        <v>Cliente15-Cliente3</v>
      </c>
      <c r="M926">
        <v>94.192029000000005</v>
      </c>
    </row>
    <row r="927" spans="1:13" x14ac:dyDescent="0.25">
      <c r="A927" s="15" t="s">
        <v>4285</v>
      </c>
      <c r="B927" s="15" t="s">
        <v>4274</v>
      </c>
      <c r="C927" s="54">
        <v>98.041432999999998</v>
      </c>
      <c r="D927" s="26">
        <v>8.4027777777777771E-2</v>
      </c>
      <c r="E927" s="55">
        <v>-23.238475999999999</v>
      </c>
      <c r="F927" s="55">
        <v>-46.123672999999997</v>
      </c>
      <c r="G927" s="55">
        <v>-23.175943</v>
      </c>
      <c r="H927" s="55">
        <v>-46.382437000000003</v>
      </c>
      <c r="I927" s="55">
        <v>-22.986495999999999</v>
      </c>
      <c r="J927" s="55">
        <v>-46.810516999999997</v>
      </c>
      <c r="L927" s="61" t="str">
        <f t="shared" si="15"/>
        <v>Cliente15-Cliente4</v>
      </c>
      <c r="M927">
        <v>98.041432999999998</v>
      </c>
    </row>
    <row r="928" spans="1:13" x14ac:dyDescent="0.25">
      <c r="A928" s="15" t="s">
        <v>4285</v>
      </c>
      <c r="B928" s="15" t="s">
        <v>4275</v>
      </c>
      <c r="C928" s="52">
        <v>98.134639000000007</v>
      </c>
      <c r="D928" s="25">
        <v>8.4722222222222213E-2</v>
      </c>
      <c r="E928" s="53">
        <v>-23.242108999999999</v>
      </c>
      <c r="F928" s="53">
        <v>-46.120468000000002</v>
      </c>
      <c r="G928" s="53">
        <v>-23.177406000000001</v>
      </c>
      <c r="H928" s="53">
        <v>-46.379396999999997</v>
      </c>
      <c r="I928" s="53">
        <v>-22.989374999999999</v>
      </c>
      <c r="J928" s="53">
        <v>-46.800041</v>
      </c>
      <c r="L928" s="61" t="str">
        <f t="shared" si="15"/>
        <v>Cliente15-Cliente5</v>
      </c>
      <c r="M928">
        <v>98.134639000000007</v>
      </c>
    </row>
    <row r="929" spans="1:13" x14ac:dyDescent="0.25">
      <c r="A929" s="15" t="s">
        <v>4285</v>
      </c>
      <c r="B929" s="15" t="s">
        <v>4276</v>
      </c>
      <c r="C929" s="54">
        <v>92.537312999999997</v>
      </c>
      <c r="D929" s="26">
        <v>8.3333333333333329E-2</v>
      </c>
      <c r="E929" s="55">
        <v>-23.223521000000002</v>
      </c>
      <c r="F929" s="55">
        <v>-46.136958999999997</v>
      </c>
      <c r="G929" s="55">
        <v>-23.171102999999999</v>
      </c>
      <c r="H929" s="55">
        <v>-46.424118999999997</v>
      </c>
      <c r="I929" s="55">
        <v>-22.935434000000001</v>
      </c>
      <c r="J929" s="55">
        <v>-46.894119000000003</v>
      </c>
      <c r="L929" s="61" t="str">
        <f t="shared" si="15"/>
        <v>Cliente15-Cliente6</v>
      </c>
      <c r="M929">
        <v>92.537312999999997</v>
      </c>
    </row>
    <row r="930" spans="1:13" x14ac:dyDescent="0.25">
      <c r="A930" s="15" t="s">
        <v>4285</v>
      </c>
      <c r="B930" s="15" t="s">
        <v>4277</v>
      </c>
      <c r="C930" s="52">
        <v>97.187667000000005</v>
      </c>
      <c r="D930" s="25">
        <v>8.7500000000000008E-2</v>
      </c>
      <c r="E930" s="53">
        <v>-23.221865000000001</v>
      </c>
      <c r="F930" s="53">
        <v>-46.139142999999997</v>
      </c>
      <c r="G930" s="53">
        <v>-23.169357000000002</v>
      </c>
      <c r="H930" s="53">
        <v>-46.441541000000001</v>
      </c>
      <c r="I930" s="53">
        <v>-22.928287999999998</v>
      </c>
      <c r="J930" s="53">
        <v>-46.912492</v>
      </c>
      <c r="L930" s="61" t="str">
        <f t="shared" si="15"/>
        <v>Cliente15-Cliente7</v>
      </c>
      <c r="M930">
        <v>97.187667000000005</v>
      </c>
    </row>
    <row r="931" spans="1:13" x14ac:dyDescent="0.25">
      <c r="A931" s="15" t="s">
        <v>4285</v>
      </c>
      <c r="B931" s="15" t="s">
        <v>4278</v>
      </c>
      <c r="C931" s="54">
        <v>91.924019000000001</v>
      </c>
      <c r="D931" s="26">
        <v>7.9166666666666663E-2</v>
      </c>
      <c r="E931" s="55">
        <v>-23.249168999999998</v>
      </c>
      <c r="F931" s="55">
        <v>-46.107391999999997</v>
      </c>
      <c r="G931" s="55">
        <v>-23.185276000000002</v>
      </c>
      <c r="H931" s="55">
        <v>-46.361981999999998</v>
      </c>
      <c r="I931" s="55">
        <v>-23.012801</v>
      </c>
      <c r="J931" s="55">
        <v>-46.763508999999999</v>
      </c>
      <c r="L931" s="61" t="str">
        <f t="shared" si="15"/>
        <v>Cliente15-Cliente8</v>
      </c>
      <c r="M931">
        <v>91.924019000000001</v>
      </c>
    </row>
    <row r="932" spans="1:13" x14ac:dyDescent="0.25">
      <c r="A932" s="15" t="s">
        <v>4285</v>
      </c>
      <c r="B932" s="15" t="s">
        <v>4279</v>
      </c>
      <c r="C932" s="52">
        <v>115.50511400000001</v>
      </c>
      <c r="D932" s="25">
        <v>9.9999999999999992E-2</v>
      </c>
      <c r="E932" s="53">
        <v>-23.223521000000002</v>
      </c>
      <c r="F932" s="53">
        <v>-46.136958999999997</v>
      </c>
      <c r="G932" s="53">
        <v>-23.171102999999999</v>
      </c>
      <c r="H932" s="53">
        <v>-46.424118999999997</v>
      </c>
      <c r="I932" s="53">
        <v>-22.935181</v>
      </c>
      <c r="J932" s="53">
        <v>-46.896372</v>
      </c>
      <c r="L932" s="61" t="str">
        <f t="shared" si="15"/>
        <v>Cliente15-Cliente9</v>
      </c>
      <c r="M932">
        <v>115.50511400000001</v>
      </c>
    </row>
    <row r="933" spans="1:13" x14ac:dyDescent="0.25">
      <c r="A933" s="15" t="s">
        <v>4285</v>
      </c>
      <c r="B933" s="15" t="s">
        <v>4280</v>
      </c>
      <c r="C933" s="54">
        <v>62.778530000000003</v>
      </c>
      <c r="D933" s="26">
        <v>6.5277777777777782E-2</v>
      </c>
      <c r="E933" s="55">
        <v>-23.312625000000001</v>
      </c>
      <c r="F933" s="55">
        <v>-46.064214999999997</v>
      </c>
      <c r="G933" s="55">
        <v>-23.401969999999999</v>
      </c>
      <c r="H933" s="55">
        <v>-46.313215999999997</v>
      </c>
      <c r="I933" s="55">
        <v>-23.517638999999999</v>
      </c>
      <c r="J933" s="55">
        <v>-46.644252999999999</v>
      </c>
      <c r="L933" s="61" t="str">
        <f t="shared" si="15"/>
        <v>Cliente15-Cliente10</v>
      </c>
      <c r="M933">
        <v>62.778530000000003</v>
      </c>
    </row>
    <row r="934" spans="1:13" x14ac:dyDescent="0.25">
      <c r="A934" s="15" t="s">
        <v>4285</v>
      </c>
      <c r="B934" s="15" t="s">
        <v>4281</v>
      </c>
      <c r="C934" s="52">
        <v>136.05515299999999</v>
      </c>
      <c r="D934" s="25">
        <v>0.11388888888888889</v>
      </c>
      <c r="E934" s="53">
        <v>-23.210239999999999</v>
      </c>
      <c r="F934" s="53">
        <v>-46.156283000000002</v>
      </c>
      <c r="G934" s="53">
        <v>-23.117228000000001</v>
      </c>
      <c r="H934" s="53">
        <v>-46.479554</v>
      </c>
      <c r="I934" s="53">
        <v>-22.915326</v>
      </c>
      <c r="J934" s="53">
        <v>-46.948582999999999</v>
      </c>
      <c r="L934" s="61" t="str">
        <f t="shared" si="15"/>
        <v>Cliente15-Cliente11</v>
      </c>
      <c r="M934">
        <v>136.05515299999999</v>
      </c>
    </row>
    <row r="935" spans="1:13" x14ac:dyDescent="0.25">
      <c r="A935" s="15" t="s">
        <v>4285</v>
      </c>
      <c r="B935" s="15" t="s">
        <v>4282</v>
      </c>
      <c r="C935" s="54">
        <v>14.986268000000001</v>
      </c>
      <c r="D935" s="26">
        <v>2.0833333333333332E-2</v>
      </c>
      <c r="E935" s="55">
        <v>-23.219467000000002</v>
      </c>
      <c r="F935" s="55">
        <v>-45.900928999999998</v>
      </c>
      <c r="G935" s="55">
        <v>-23.244399000000001</v>
      </c>
      <c r="H935" s="55">
        <v>-45.926785000000002</v>
      </c>
      <c r="I935" s="55">
        <v>-23.301850999999999</v>
      </c>
      <c r="J935" s="55">
        <v>-46.022123000000001</v>
      </c>
      <c r="L935" s="61" t="str">
        <f t="shared" si="15"/>
        <v>Cliente15-Cliente12</v>
      </c>
      <c r="M935">
        <v>14.986268000000001</v>
      </c>
    </row>
    <row r="936" spans="1:13" x14ac:dyDescent="0.25">
      <c r="A936" s="15" t="s">
        <v>4285</v>
      </c>
      <c r="B936" s="15" t="s">
        <v>4283</v>
      </c>
      <c r="C936" s="52">
        <v>2.532715</v>
      </c>
      <c r="D936" s="25">
        <v>7.6388888888888886E-3</v>
      </c>
      <c r="E936" s="53">
        <v>-23.238772999999998</v>
      </c>
      <c r="F936" s="53">
        <v>-45.899797999999997</v>
      </c>
      <c r="G936" s="53">
        <v>-23.226485</v>
      </c>
      <c r="H936" s="53">
        <v>-45.900886</v>
      </c>
      <c r="I936" s="53">
        <v>-23.218264000000001</v>
      </c>
      <c r="J936" s="53">
        <v>-45.900205999999997</v>
      </c>
      <c r="L936" s="61" t="str">
        <f t="shared" si="15"/>
        <v>Cliente15-Cliente13</v>
      </c>
      <c r="M936">
        <v>2.532715</v>
      </c>
    </row>
    <row r="937" spans="1:13" x14ac:dyDescent="0.25">
      <c r="A937" s="15" t="s">
        <v>4285</v>
      </c>
      <c r="B937" s="15" t="s">
        <v>4284</v>
      </c>
      <c r="C937" s="54">
        <v>2.2897590000000001</v>
      </c>
      <c r="D937" s="26">
        <v>6.9444444444444441E-3</v>
      </c>
      <c r="E937" s="55">
        <v>-23.238772999999998</v>
      </c>
      <c r="F937" s="55">
        <v>-45.899797999999997</v>
      </c>
      <c r="G937" s="55">
        <v>-23.236609999999999</v>
      </c>
      <c r="H937" s="55">
        <v>-45.904103999999997</v>
      </c>
      <c r="I937" s="55">
        <v>-23.238458999999999</v>
      </c>
      <c r="J937" s="55">
        <v>-45.907023000000002</v>
      </c>
      <c r="L937" s="61" t="str">
        <f t="shared" si="15"/>
        <v>Cliente15-Cliente14</v>
      </c>
      <c r="M937">
        <v>2.2897590000000001</v>
      </c>
    </row>
    <row r="938" spans="1:13" x14ac:dyDescent="0.25">
      <c r="A938" s="15" t="s">
        <v>4285</v>
      </c>
      <c r="B938" s="15" t="s">
        <v>4285</v>
      </c>
      <c r="C938" s="52">
        <v>0</v>
      </c>
      <c r="D938" s="25">
        <v>0</v>
      </c>
      <c r="E938" s="53">
        <f>'1. Locais'!D19</f>
        <v>-23.237400000000001</v>
      </c>
      <c r="F938" s="53">
        <f>'1. Locais'!E19</f>
        <v>-45.896599999999999</v>
      </c>
      <c r="G938" s="53">
        <f>'1. Locais'!D19</f>
        <v>-23.237400000000001</v>
      </c>
      <c r="H938" s="53">
        <f>'1. Locais'!E19</f>
        <v>-45.896599999999999</v>
      </c>
      <c r="I938" s="53">
        <f>'1. Locais'!D19</f>
        <v>-23.237400000000001</v>
      </c>
      <c r="J938" s="53">
        <f>'1. Locais'!E19</f>
        <v>-45.896599999999999</v>
      </c>
      <c r="L938" s="61" t="str">
        <f t="shared" si="15"/>
        <v>Cliente15-Cliente15</v>
      </c>
      <c r="M938">
        <v>0</v>
      </c>
    </row>
    <row r="939" spans="1:13" x14ac:dyDescent="0.25">
      <c r="A939" s="15" t="s">
        <v>4285</v>
      </c>
      <c r="B939" s="15" t="s">
        <v>4286</v>
      </c>
      <c r="C939" s="54">
        <v>1.2234830000000001</v>
      </c>
      <c r="D939" s="26">
        <v>4.1666666666666666E-3</v>
      </c>
      <c r="E939" s="55">
        <v>-23.239391000000001</v>
      </c>
      <c r="F939" s="55">
        <v>-45.897564000000003</v>
      </c>
      <c r="G939" s="55">
        <v>-23.238772999999998</v>
      </c>
      <c r="H939" s="55">
        <v>-45.899797999999997</v>
      </c>
      <c r="I939" s="55">
        <v>-23.242934999999999</v>
      </c>
      <c r="J939" s="55">
        <v>-45.906562000000001</v>
      </c>
      <c r="L939" s="61" t="str">
        <f t="shared" si="15"/>
        <v>Cliente15-Cliente16</v>
      </c>
      <c r="M939">
        <v>1.2234830000000001</v>
      </c>
    </row>
    <row r="940" spans="1:13" x14ac:dyDescent="0.25">
      <c r="A940" s="15" t="s">
        <v>4285</v>
      </c>
      <c r="B940" s="15" t="s">
        <v>4287</v>
      </c>
      <c r="C940" s="52">
        <v>2.9602200000000001</v>
      </c>
      <c r="D940" s="25">
        <v>7.6388888888888886E-3</v>
      </c>
      <c r="E940" s="53">
        <v>-23.238772999999998</v>
      </c>
      <c r="F940" s="53">
        <v>-45.899797999999997</v>
      </c>
      <c r="G940" s="53">
        <v>-23.226485</v>
      </c>
      <c r="H940" s="53">
        <v>-45.900886</v>
      </c>
      <c r="I940" s="53">
        <v>-23.218264000000001</v>
      </c>
      <c r="J940" s="53">
        <v>-45.900205999999997</v>
      </c>
      <c r="L940" s="61" t="str">
        <f t="shared" si="15"/>
        <v>Cliente15-Cliente17</v>
      </c>
      <c r="M940">
        <v>2.9602200000000001</v>
      </c>
    </row>
    <row r="941" spans="1:13" x14ac:dyDescent="0.25">
      <c r="A941" s="15" t="s">
        <v>4285</v>
      </c>
      <c r="B941" s="15" t="s">
        <v>4288</v>
      </c>
      <c r="C941" s="54">
        <v>8.2350530000000006</v>
      </c>
      <c r="D941" s="26">
        <v>1.4583333333333332E-2</v>
      </c>
      <c r="E941" s="55">
        <v>-23.231718000000001</v>
      </c>
      <c r="F941" s="55">
        <v>-45.901409999999998</v>
      </c>
      <c r="G941" s="55">
        <v>-23.220081</v>
      </c>
      <c r="H941" s="55">
        <v>-45.899763</v>
      </c>
      <c r="I941" s="55">
        <v>-23.187987</v>
      </c>
      <c r="J941" s="55">
        <v>-45.856741</v>
      </c>
      <c r="L941" s="61" t="str">
        <f t="shared" si="15"/>
        <v>Cliente15-Cliente18</v>
      </c>
      <c r="M941">
        <v>8.2350530000000006</v>
      </c>
    </row>
    <row r="942" spans="1:13" x14ac:dyDescent="0.25">
      <c r="A942" s="15" t="s">
        <v>4285</v>
      </c>
      <c r="B942" s="15" t="s">
        <v>4289</v>
      </c>
      <c r="C942" s="52">
        <v>57.951085999999997</v>
      </c>
      <c r="D942" s="25">
        <v>5.5555555555555552E-2</v>
      </c>
      <c r="E942" s="53">
        <v>-23.306722000000001</v>
      </c>
      <c r="F942" s="53">
        <v>-46.039996000000002</v>
      </c>
      <c r="G942" s="53">
        <v>-23.375692000000001</v>
      </c>
      <c r="H942" s="53">
        <v>-46.246760000000002</v>
      </c>
      <c r="I942" s="53">
        <v>-23.529337999999999</v>
      </c>
      <c r="J942" s="53">
        <v>-46.592793</v>
      </c>
      <c r="L942" s="61" t="str">
        <f t="shared" si="15"/>
        <v>Cliente15-Cliente19</v>
      </c>
      <c r="M942">
        <v>57.951085999999997</v>
      </c>
    </row>
    <row r="943" spans="1:13" x14ac:dyDescent="0.25">
      <c r="A943" s="15" t="s">
        <v>4285</v>
      </c>
      <c r="B943" s="15" t="s">
        <v>4290</v>
      </c>
      <c r="C943" s="54">
        <v>65.503871000000004</v>
      </c>
      <c r="D943" s="26">
        <v>6.5277777777777782E-2</v>
      </c>
      <c r="E943" s="55">
        <v>-23.312625000000001</v>
      </c>
      <c r="F943" s="55">
        <v>-46.064214999999997</v>
      </c>
      <c r="G943" s="55">
        <v>-23.401969999999999</v>
      </c>
      <c r="H943" s="55">
        <v>-46.313215999999997</v>
      </c>
      <c r="I943" s="55">
        <v>-23.517638999999999</v>
      </c>
      <c r="J943" s="55">
        <v>-46.644252999999999</v>
      </c>
      <c r="L943" s="61" t="str">
        <f t="shared" si="15"/>
        <v>Cliente15-Cliente20</v>
      </c>
      <c r="M943">
        <v>65.503871000000004</v>
      </c>
    </row>
    <row r="944" spans="1:13" x14ac:dyDescent="0.25">
      <c r="A944" s="15" t="s">
        <v>4285</v>
      </c>
      <c r="B944" s="15" t="s">
        <v>4291</v>
      </c>
      <c r="C944" s="52">
        <v>65.110541999999995</v>
      </c>
      <c r="D944" s="25">
        <v>6.5277777777777782E-2</v>
      </c>
      <c r="E944" s="53">
        <v>-23.314862000000002</v>
      </c>
      <c r="F944" s="53">
        <v>-46.070208999999998</v>
      </c>
      <c r="G944" s="53">
        <v>-23.407961</v>
      </c>
      <c r="H944" s="53">
        <v>-46.338622999999998</v>
      </c>
      <c r="I944" s="53">
        <v>-23.508638000000001</v>
      </c>
      <c r="J944" s="53">
        <v>-46.689636</v>
      </c>
      <c r="L944" s="61" t="str">
        <f t="shared" si="15"/>
        <v>Cliente15-Cliente21</v>
      </c>
      <c r="M944">
        <v>65.110541999999995</v>
      </c>
    </row>
    <row r="945" spans="1:13" x14ac:dyDescent="0.25">
      <c r="A945" s="15" t="s">
        <v>4285</v>
      </c>
      <c r="B945" s="15" t="s">
        <v>4292</v>
      </c>
      <c r="C945" s="54">
        <v>61.820995000000003</v>
      </c>
      <c r="D945" s="26">
        <v>6.25E-2</v>
      </c>
      <c r="E945" s="55">
        <v>-23.312625000000001</v>
      </c>
      <c r="F945" s="55">
        <v>-46.064214999999997</v>
      </c>
      <c r="G945" s="55">
        <v>-23.401969999999999</v>
      </c>
      <c r="H945" s="55">
        <v>-46.313215999999997</v>
      </c>
      <c r="I945" s="55">
        <v>-23.517638999999999</v>
      </c>
      <c r="J945" s="55">
        <v>-46.644252999999999</v>
      </c>
      <c r="L945" s="61" t="str">
        <f t="shared" si="15"/>
        <v>Cliente15-Cliente22</v>
      </c>
      <c r="M945">
        <v>61.820995000000003</v>
      </c>
    </row>
    <row r="946" spans="1:13" x14ac:dyDescent="0.25">
      <c r="A946" s="15" t="s">
        <v>4285</v>
      </c>
      <c r="B946" s="15" t="s">
        <v>4293</v>
      </c>
      <c r="C946" s="52">
        <v>70.259857999999994</v>
      </c>
      <c r="D946" s="25">
        <v>7.1527777777777787E-2</v>
      </c>
      <c r="E946" s="53">
        <v>-23.321372</v>
      </c>
      <c r="F946" s="53">
        <v>-46.095202</v>
      </c>
      <c r="G946" s="53">
        <v>-23.432136</v>
      </c>
      <c r="H946" s="53">
        <v>-46.419510000000002</v>
      </c>
      <c r="I946" s="53">
        <v>-23.517199999999999</v>
      </c>
      <c r="J946" s="53">
        <v>-46.732883999999999</v>
      </c>
      <c r="L946" s="61" t="str">
        <f t="shared" si="15"/>
        <v>Cliente15-Cliente23</v>
      </c>
      <c r="M946">
        <v>70.259857999999994</v>
      </c>
    </row>
    <row r="947" spans="1:13" x14ac:dyDescent="0.25">
      <c r="A947" s="15" t="s">
        <v>4285</v>
      </c>
      <c r="B947" s="15" t="s">
        <v>4294</v>
      </c>
      <c r="C947" s="54">
        <v>65.104327999999995</v>
      </c>
      <c r="D947" s="26">
        <v>7.4305555555555555E-2</v>
      </c>
      <c r="E947" s="55">
        <v>-23.316233</v>
      </c>
      <c r="F947" s="55">
        <v>-46.079599999999999</v>
      </c>
      <c r="G947" s="55">
        <v>-23.409676000000001</v>
      </c>
      <c r="H947" s="55">
        <v>-46.343687000000003</v>
      </c>
      <c r="I947" s="55">
        <v>-23.556412999999999</v>
      </c>
      <c r="J947" s="55">
        <v>-46.631988</v>
      </c>
      <c r="L947" s="61" t="str">
        <f t="shared" si="15"/>
        <v>Cliente15-Cliente24</v>
      </c>
      <c r="M947">
        <v>65.104327999999995</v>
      </c>
    </row>
    <row r="948" spans="1:13" x14ac:dyDescent="0.25">
      <c r="A948" s="15" t="s">
        <v>4285</v>
      </c>
      <c r="B948" s="15" t="s">
        <v>4295</v>
      </c>
      <c r="C948" s="52">
        <v>67.527681999999999</v>
      </c>
      <c r="D948" s="25">
        <v>7.9861111111111105E-2</v>
      </c>
      <c r="E948" s="53">
        <v>-23.338882000000002</v>
      </c>
      <c r="F948" s="53">
        <v>-46.150635000000001</v>
      </c>
      <c r="G948" s="53">
        <v>-23.519248000000001</v>
      </c>
      <c r="H948" s="53">
        <v>-46.58287</v>
      </c>
      <c r="I948" s="53">
        <v>-23.572365999999999</v>
      </c>
      <c r="J948" s="53">
        <v>-46.704005000000002</v>
      </c>
      <c r="L948" s="61" t="str">
        <f t="shared" si="15"/>
        <v>Cliente15-Cliente25</v>
      </c>
      <c r="M948">
        <v>67.527681999999999</v>
      </c>
    </row>
    <row r="949" spans="1:13" x14ac:dyDescent="0.25">
      <c r="A949" s="15" t="s">
        <v>4285</v>
      </c>
      <c r="B949" s="15" t="s">
        <v>4296</v>
      </c>
      <c r="C949" s="54">
        <v>74.216759999999994</v>
      </c>
      <c r="D949" s="26">
        <v>7.3611111111111113E-2</v>
      </c>
      <c r="E949" s="55">
        <v>-23.348134000000002</v>
      </c>
      <c r="F949" s="55">
        <v>-46.169055999999998</v>
      </c>
      <c r="G949" s="55">
        <v>-23.527239999999999</v>
      </c>
      <c r="H949" s="55">
        <v>-46.596774000000003</v>
      </c>
      <c r="I949" s="55">
        <v>-23.509882000000001</v>
      </c>
      <c r="J949" s="55">
        <v>-46.805523999999998</v>
      </c>
      <c r="L949" s="61" t="str">
        <f t="shared" si="15"/>
        <v>Cliente15-Cliente26</v>
      </c>
      <c r="M949">
        <v>74.216759999999994</v>
      </c>
    </row>
    <row r="950" spans="1:13" x14ac:dyDescent="0.25">
      <c r="A950" s="15" t="s">
        <v>4285</v>
      </c>
      <c r="B950" s="15" t="s">
        <v>4297</v>
      </c>
      <c r="C950" s="52">
        <v>66.931163999999995</v>
      </c>
      <c r="D950" s="25">
        <v>7.6388888888888895E-2</v>
      </c>
      <c r="E950" s="53">
        <v>-23.321808000000001</v>
      </c>
      <c r="F950" s="53">
        <v>-46.112901000000001</v>
      </c>
      <c r="G950" s="53">
        <v>-23.461801000000001</v>
      </c>
      <c r="H950" s="53">
        <v>-46.490561</v>
      </c>
      <c r="I950" s="53">
        <v>-23.552515</v>
      </c>
      <c r="J950" s="53">
        <v>-46.658977999999998</v>
      </c>
      <c r="L950" s="61" t="str">
        <f t="shared" si="15"/>
        <v>Cliente15-Cliente27</v>
      </c>
      <c r="M950">
        <v>66.931163999999995</v>
      </c>
    </row>
    <row r="951" spans="1:13" x14ac:dyDescent="0.25">
      <c r="A951" s="15" t="s">
        <v>4285</v>
      </c>
      <c r="B951" s="15" t="s">
        <v>4298</v>
      </c>
      <c r="C951" s="54">
        <v>66.718654999999998</v>
      </c>
      <c r="D951" s="26">
        <v>7.2222222222222229E-2</v>
      </c>
      <c r="E951" s="55">
        <v>-23.320332000000001</v>
      </c>
      <c r="F951" s="55">
        <v>-46.090277999999998</v>
      </c>
      <c r="G951" s="55">
        <v>-23.414346999999999</v>
      </c>
      <c r="H951" s="55">
        <v>-46.365250000000003</v>
      </c>
      <c r="I951" s="55">
        <v>-23.555277</v>
      </c>
      <c r="J951" s="55">
        <v>-46.637360999999999</v>
      </c>
      <c r="L951" s="61" t="str">
        <f t="shared" si="15"/>
        <v>Cliente15-Cliente28</v>
      </c>
      <c r="M951">
        <v>66.718654999999998</v>
      </c>
    </row>
    <row r="952" spans="1:13" x14ac:dyDescent="0.25">
      <c r="A952" s="15" t="s">
        <v>4285</v>
      </c>
      <c r="B952" s="15" t="s">
        <v>4299</v>
      </c>
      <c r="C952" s="52">
        <v>64.303379000000007</v>
      </c>
      <c r="D952" s="25">
        <v>6.7361111111111108E-2</v>
      </c>
      <c r="E952" s="53">
        <v>-23.314546</v>
      </c>
      <c r="F952" s="53">
        <v>-46.068800000000003</v>
      </c>
      <c r="G952" s="53">
        <v>-23.403796</v>
      </c>
      <c r="H952" s="53">
        <v>-46.331693999999999</v>
      </c>
      <c r="I952" s="53">
        <v>-23.581498</v>
      </c>
      <c r="J952" s="53">
        <v>-46.572240000000001</v>
      </c>
      <c r="L952" s="61" t="str">
        <f t="shared" si="15"/>
        <v>Cliente15-Cliente29</v>
      </c>
      <c r="M952">
        <v>64.303379000000007</v>
      </c>
    </row>
    <row r="953" spans="1:13" x14ac:dyDescent="0.25">
      <c r="A953" s="15" t="s">
        <v>4285</v>
      </c>
      <c r="B953" s="15" t="s">
        <v>4300</v>
      </c>
      <c r="C953" s="54">
        <v>65.365305000000006</v>
      </c>
      <c r="D953" s="26">
        <v>6.1111111111111116E-2</v>
      </c>
      <c r="E953" s="55">
        <v>-23.32705</v>
      </c>
      <c r="F953" s="55">
        <v>-46.127248000000002</v>
      </c>
      <c r="G953" s="55">
        <v>-23.460467999999999</v>
      </c>
      <c r="H953" s="55">
        <v>-46.349328</v>
      </c>
      <c r="I953" s="55">
        <v>-23.655427</v>
      </c>
      <c r="J953" s="55">
        <v>-46.395431000000002</v>
      </c>
      <c r="L953" s="61" t="str">
        <f t="shared" si="15"/>
        <v>Cliente15-Cliente30</v>
      </c>
      <c r="M953">
        <v>65.365305000000006</v>
      </c>
    </row>
    <row r="954" spans="1:13" x14ac:dyDescent="0.25">
      <c r="A954" s="15" t="s">
        <v>4285</v>
      </c>
      <c r="B954" s="15" t="s">
        <v>4301</v>
      </c>
      <c r="C954" s="52">
        <v>68.219269999999995</v>
      </c>
      <c r="D954" s="25">
        <v>7.013888888888889E-2</v>
      </c>
      <c r="E954" s="53">
        <v>-23.321372</v>
      </c>
      <c r="F954" s="53">
        <v>-46.095202</v>
      </c>
      <c r="G954" s="53">
        <v>-23.432136</v>
      </c>
      <c r="H954" s="53">
        <v>-46.419510000000002</v>
      </c>
      <c r="I954" s="53">
        <v>-23.516947999999999</v>
      </c>
      <c r="J954" s="53">
        <v>-46.732973999999999</v>
      </c>
      <c r="L954" s="61" t="str">
        <f t="shared" si="15"/>
        <v>Cliente15-Cliente31</v>
      </c>
      <c r="M954">
        <v>68.219269999999995</v>
      </c>
    </row>
    <row r="955" spans="1:13" x14ac:dyDescent="0.25">
      <c r="A955" s="15" t="s">
        <v>4285</v>
      </c>
      <c r="B955" s="15" t="s">
        <v>4302</v>
      </c>
      <c r="C955" s="54">
        <v>63.250152</v>
      </c>
      <c r="D955" s="26">
        <v>6.3194444444444442E-2</v>
      </c>
      <c r="E955" s="55">
        <v>-23.309348</v>
      </c>
      <c r="F955" s="55">
        <v>-46.059255999999998</v>
      </c>
      <c r="G955" s="55">
        <v>-23.398163</v>
      </c>
      <c r="H955" s="55">
        <v>-46.297789000000002</v>
      </c>
      <c r="I955" s="55">
        <v>-23.518345</v>
      </c>
      <c r="J955" s="55">
        <v>-46.618879</v>
      </c>
      <c r="L955" s="61" t="str">
        <f t="shared" si="15"/>
        <v>Cliente15-Cliente32</v>
      </c>
      <c r="M955">
        <v>63.250152</v>
      </c>
    </row>
    <row r="956" spans="1:13" x14ac:dyDescent="0.25">
      <c r="A956" s="15" t="s">
        <v>4285</v>
      </c>
      <c r="B956" s="15" t="s">
        <v>4303</v>
      </c>
      <c r="C956" s="52">
        <v>53.316265999999999</v>
      </c>
      <c r="D956" s="25">
        <v>5.2777777777777778E-2</v>
      </c>
      <c r="E956" s="53">
        <v>-23.298793</v>
      </c>
      <c r="F956" s="53">
        <v>-46.011589000000001</v>
      </c>
      <c r="G956" s="53">
        <v>-23.359231999999999</v>
      </c>
      <c r="H956" s="53">
        <v>-46.21658</v>
      </c>
      <c r="I956" s="53">
        <v>-23.449777000000001</v>
      </c>
      <c r="J956" s="53">
        <v>-46.461464999999997</v>
      </c>
      <c r="L956" s="61" t="str">
        <f t="shared" si="15"/>
        <v>Cliente15-Cliente33</v>
      </c>
      <c r="M956">
        <v>53.316265999999999</v>
      </c>
    </row>
    <row r="957" spans="1:13" x14ac:dyDescent="0.25">
      <c r="A957" s="15" t="s">
        <v>4285</v>
      </c>
      <c r="B957" s="15" t="s">
        <v>4304</v>
      </c>
      <c r="C957" s="54">
        <v>72.926789999999997</v>
      </c>
      <c r="D957" s="26">
        <v>7.4999999999999997E-2</v>
      </c>
      <c r="E957" s="55">
        <v>-23.345734</v>
      </c>
      <c r="F957" s="55">
        <v>-46.164152000000001</v>
      </c>
      <c r="G957" s="55">
        <v>-23.529161999999999</v>
      </c>
      <c r="H957" s="55">
        <v>-46.593724999999999</v>
      </c>
      <c r="I957" s="55">
        <v>-23.514800999999999</v>
      </c>
      <c r="J957" s="55">
        <v>-46.794089</v>
      </c>
      <c r="L957" s="61" t="str">
        <f t="shared" si="15"/>
        <v>Cliente15-Cliente34</v>
      </c>
      <c r="M957">
        <v>72.926789999999997</v>
      </c>
    </row>
    <row r="958" spans="1:13" x14ac:dyDescent="0.25">
      <c r="A958" s="15" t="s">
        <v>4285</v>
      </c>
      <c r="B958" s="15" t="s">
        <v>4305</v>
      </c>
      <c r="C958" s="52">
        <v>73.522685999999993</v>
      </c>
      <c r="D958" s="25">
        <v>7.4305555555555555E-2</v>
      </c>
      <c r="E958" s="53">
        <v>-23.338882000000002</v>
      </c>
      <c r="F958" s="53">
        <v>-46.150635000000001</v>
      </c>
      <c r="G958" s="53">
        <v>-23.518505000000001</v>
      </c>
      <c r="H958" s="53">
        <v>-46.581890999999999</v>
      </c>
      <c r="I958" s="53">
        <v>-23.520738999999999</v>
      </c>
      <c r="J958" s="53">
        <v>-46.766300999999999</v>
      </c>
      <c r="L958" s="61" t="str">
        <f t="shared" si="15"/>
        <v>Cliente15-Cliente35</v>
      </c>
      <c r="M958">
        <v>73.522685999999993</v>
      </c>
    </row>
    <row r="959" spans="1:13" x14ac:dyDescent="0.25">
      <c r="A959" s="15" t="s">
        <v>4285</v>
      </c>
      <c r="B959" s="15" t="s">
        <v>4306</v>
      </c>
      <c r="C959" s="54">
        <v>182.22252599999999</v>
      </c>
      <c r="D959" s="26">
        <v>0.15208333333333332</v>
      </c>
      <c r="E959" s="55">
        <v>-23.173325999999999</v>
      </c>
      <c r="F959" s="55">
        <v>-46.250301</v>
      </c>
      <c r="G959" s="55">
        <v>-23.000955000000001</v>
      </c>
      <c r="H959" s="55">
        <v>-46.780441000000003</v>
      </c>
      <c r="I959" s="55">
        <v>-22.591045999999999</v>
      </c>
      <c r="J959" s="55">
        <v>-47.367297000000001</v>
      </c>
      <c r="L959" s="61" t="str">
        <f t="shared" si="15"/>
        <v>Cliente15-Cliente36</v>
      </c>
      <c r="M959">
        <v>182.22252599999999</v>
      </c>
    </row>
    <row r="960" spans="1:13" x14ac:dyDescent="0.25">
      <c r="A960" s="15" t="s">
        <v>4285</v>
      </c>
      <c r="B960" s="15" t="s">
        <v>4307</v>
      </c>
      <c r="C960" s="52">
        <v>181.12580299999999</v>
      </c>
      <c r="D960" s="25">
        <v>0.15069444444444444</v>
      </c>
      <c r="E960" s="53">
        <v>-23.175111999999999</v>
      </c>
      <c r="F960" s="53">
        <v>-46.252409999999998</v>
      </c>
      <c r="G960" s="53">
        <v>-22.988848999999998</v>
      </c>
      <c r="H960" s="53">
        <v>-46.801557000000003</v>
      </c>
      <c r="I960" s="53">
        <v>-22.561449</v>
      </c>
      <c r="J960" s="53">
        <v>-47.366067999999999</v>
      </c>
      <c r="L960" s="61" t="str">
        <f t="shared" si="15"/>
        <v>Cliente15-Cliente37</v>
      </c>
      <c r="M960">
        <v>181.12580299999999</v>
      </c>
    </row>
    <row r="961" spans="1:13" x14ac:dyDescent="0.25">
      <c r="A961" s="15" t="s">
        <v>4285</v>
      </c>
      <c r="B961" s="15" t="s">
        <v>4308</v>
      </c>
      <c r="C961" s="54">
        <v>179.349298</v>
      </c>
      <c r="D961" s="26">
        <v>0.14861111111111111</v>
      </c>
      <c r="E961" s="55">
        <v>-23.172049999999999</v>
      </c>
      <c r="F961" s="55">
        <v>-46.246011000000003</v>
      </c>
      <c r="G961" s="55">
        <v>-23.005783999999998</v>
      </c>
      <c r="H961" s="55">
        <v>-46.767471</v>
      </c>
      <c r="I961" s="55">
        <v>-22.633818000000002</v>
      </c>
      <c r="J961" s="55">
        <v>-47.333713000000003</v>
      </c>
      <c r="L961" s="61" t="str">
        <f t="shared" si="15"/>
        <v>Cliente15-Cliente38</v>
      </c>
      <c r="M961">
        <v>179.349298</v>
      </c>
    </row>
    <row r="962" spans="1:13" x14ac:dyDescent="0.25">
      <c r="A962" s="15" t="s">
        <v>4285</v>
      </c>
      <c r="B962" s="15" t="s">
        <v>4309</v>
      </c>
      <c r="C962" s="52">
        <v>29.24118</v>
      </c>
      <c r="D962" s="25">
        <v>3.4027777777777775E-2</v>
      </c>
      <c r="E962" s="53">
        <v>-23.222116</v>
      </c>
      <c r="F962" s="53">
        <v>-45.899416000000002</v>
      </c>
      <c r="G962" s="53">
        <v>-23.049916</v>
      </c>
      <c r="H962" s="53">
        <v>-45.600662999999997</v>
      </c>
      <c r="I962" s="53">
        <v>-23.031051999999999</v>
      </c>
      <c r="J962" s="53">
        <v>-45.555363</v>
      </c>
      <c r="L962" s="61" t="str">
        <f t="shared" si="15"/>
        <v>Cliente15-Cliente39</v>
      </c>
      <c r="M962">
        <v>29.24118</v>
      </c>
    </row>
    <row r="963" spans="1:13" x14ac:dyDescent="0.25">
      <c r="A963" s="15" t="s">
        <v>4285</v>
      </c>
      <c r="B963" s="15" t="s">
        <v>4310</v>
      </c>
      <c r="C963" s="54">
        <v>30.802689000000001</v>
      </c>
      <c r="D963" s="26">
        <v>3.7499999999999999E-2</v>
      </c>
      <c r="E963" s="55">
        <v>-23.220469000000001</v>
      </c>
      <c r="F963" s="55">
        <v>-45.899754999999999</v>
      </c>
      <c r="G963" s="55">
        <v>-23.037479999999999</v>
      </c>
      <c r="H963" s="55">
        <v>-45.557882999999997</v>
      </c>
      <c r="I963" s="55">
        <v>-23.026506999999999</v>
      </c>
      <c r="J963" s="55">
        <v>-45.557778999999996</v>
      </c>
      <c r="L963" s="61" t="str">
        <f t="shared" si="15"/>
        <v>Cliente15-Cliente40</v>
      </c>
      <c r="M963">
        <v>30.802689000000001</v>
      </c>
    </row>
    <row r="964" spans="1:13" x14ac:dyDescent="0.25">
      <c r="A964" s="15" t="s">
        <v>4285</v>
      </c>
      <c r="B964" s="15" t="s">
        <v>4311</v>
      </c>
      <c r="C964" s="52">
        <v>20.096437000000002</v>
      </c>
      <c r="D964" s="25">
        <v>2.7777777777777776E-2</v>
      </c>
      <c r="E964" s="53">
        <v>-23.221042000000001</v>
      </c>
      <c r="F964" s="53">
        <v>-45.899495000000002</v>
      </c>
      <c r="G964" s="53">
        <v>-23.110870999999999</v>
      </c>
      <c r="H964" s="53">
        <v>-45.703088999999999</v>
      </c>
      <c r="I964" s="53">
        <v>-23.086673999999999</v>
      </c>
      <c r="J964" s="53">
        <v>-45.707214</v>
      </c>
      <c r="L964" s="61" t="str">
        <f t="shared" si="15"/>
        <v>Cliente15-Cliente41</v>
      </c>
      <c r="M964">
        <v>20.096437000000002</v>
      </c>
    </row>
    <row r="965" spans="1:13" x14ac:dyDescent="0.25">
      <c r="A965" s="15" t="s">
        <v>4285</v>
      </c>
      <c r="B965" s="15" t="s">
        <v>4312</v>
      </c>
      <c r="C965" s="54">
        <v>16.808754</v>
      </c>
      <c r="D965" s="26">
        <v>2.0833333333333332E-2</v>
      </c>
      <c r="E965" s="55">
        <v>-23.230640999999999</v>
      </c>
      <c r="F965" s="55">
        <v>-45.900880000000001</v>
      </c>
      <c r="G965" s="55">
        <v>-23.215157000000001</v>
      </c>
      <c r="H965" s="55">
        <v>-45.894424000000001</v>
      </c>
      <c r="I965" s="55">
        <v>-23.11384</v>
      </c>
      <c r="J965" s="55">
        <v>-45.709603999999999</v>
      </c>
      <c r="L965" s="61" t="str">
        <f t="shared" si="15"/>
        <v>Cliente15-Cliente42</v>
      </c>
      <c r="M965">
        <v>16.808754</v>
      </c>
    </row>
    <row r="966" spans="1:13" x14ac:dyDescent="0.25">
      <c r="A966" s="15" t="s">
        <v>4285</v>
      </c>
      <c r="B966" s="15" t="s">
        <v>4313</v>
      </c>
      <c r="C966" s="52">
        <v>35.482869000000001</v>
      </c>
      <c r="D966" s="25">
        <v>3.9583333333333331E-2</v>
      </c>
      <c r="E966" s="53">
        <v>-23.210887</v>
      </c>
      <c r="F966" s="53">
        <v>-45.890306000000002</v>
      </c>
      <c r="G966" s="53">
        <v>-23.01512</v>
      </c>
      <c r="H966" s="53">
        <v>-45.525115</v>
      </c>
      <c r="I966" s="53">
        <v>-22.988254999999999</v>
      </c>
      <c r="J966" s="53">
        <v>-45.516438999999998</v>
      </c>
      <c r="L966" s="61" t="str">
        <f t="shared" si="15"/>
        <v>Cliente15-Cliente43</v>
      </c>
      <c r="M966">
        <v>35.482869000000001</v>
      </c>
    </row>
    <row r="967" spans="1:13" x14ac:dyDescent="0.25">
      <c r="A967" s="15" t="s">
        <v>4285</v>
      </c>
      <c r="B967" s="15" t="s">
        <v>4314</v>
      </c>
      <c r="C967" s="54">
        <v>126.228765</v>
      </c>
      <c r="D967" s="26">
        <v>0.11388888888888889</v>
      </c>
      <c r="E967" s="55">
        <v>-23.375215000000001</v>
      </c>
      <c r="F967" s="55">
        <v>-46.246169000000002</v>
      </c>
      <c r="G967" s="55">
        <v>-23.516618999999999</v>
      </c>
      <c r="H967" s="55">
        <v>-46.731670000000001</v>
      </c>
      <c r="I967" s="55">
        <v>-23.418265999999999</v>
      </c>
      <c r="J967" s="55">
        <v>-47.217167000000003</v>
      </c>
      <c r="L967" s="61" t="str">
        <f t="shared" si="15"/>
        <v>Cliente15-Cliente44</v>
      </c>
      <c r="M967">
        <v>126.228765</v>
      </c>
    </row>
    <row r="968" spans="1:13" x14ac:dyDescent="0.25">
      <c r="A968" s="15" t="s">
        <v>4285</v>
      </c>
      <c r="B968" s="15" t="s">
        <v>4315</v>
      </c>
      <c r="C968" s="52">
        <v>123.722768</v>
      </c>
      <c r="D968" s="25">
        <v>0.11944444444444445</v>
      </c>
      <c r="E968" s="53">
        <v>-23.407961</v>
      </c>
      <c r="F968" s="53">
        <v>-46.338622999999998</v>
      </c>
      <c r="G968" s="53">
        <v>-23.518234</v>
      </c>
      <c r="H968" s="53">
        <v>-46.956640999999998</v>
      </c>
      <c r="I968" s="53">
        <v>-23.485164999999999</v>
      </c>
      <c r="J968" s="53">
        <v>-47.388655999999997</v>
      </c>
      <c r="L968" s="61" t="str">
        <f t="shared" si="15"/>
        <v>Cliente15-Cliente45</v>
      </c>
      <c r="M968">
        <v>123.722768</v>
      </c>
    </row>
    <row r="969" spans="1:13" x14ac:dyDescent="0.25">
      <c r="A969" s="15" t="s">
        <v>4285</v>
      </c>
      <c r="B969" s="15" t="s">
        <v>4316</v>
      </c>
      <c r="C969" s="54">
        <v>114.95084900000001</v>
      </c>
      <c r="D969" s="26">
        <v>0.10833333333333334</v>
      </c>
      <c r="E969" s="55">
        <v>-23.369004</v>
      </c>
      <c r="F969" s="55">
        <v>-46.235911000000002</v>
      </c>
      <c r="G969" s="55">
        <v>-23.508161000000001</v>
      </c>
      <c r="H969" s="55">
        <v>-46.708806000000003</v>
      </c>
      <c r="I969" s="55">
        <v>-23.439371999999999</v>
      </c>
      <c r="J969" s="55">
        <v>-47.109881000000001</v>
      </c>
      <c r="L969" s="61" t="str">
        <f t="shared" si="15"/>
        <v>Cliente15-Cliente46</v>
      </c>
      <c r="M969">
        <v>114.95084900000001</v>
      </c>
    </row>
    <row r="970" spans="1:13" x14ac:dyDescent="0.25">
      <c r="A970" s="15" t="s">
        <v>4285</v>
      </c>
      <c r="B970" s="15" t="s">
        <v>4317</v>
      </c>
      <c r="C970" s="52">
        <v>228.67883699999999</v>
      </c>
      <c r="D970" s="25">
        <v>0.18611111111111112</v>
      </c>
      <c r="E970" s="53">
        <v>-23.172507</v>
      </c>
      <c r="F970" s="53">
        <v>-46.262763</v>
      </c>
      <c r="G970" s="53">
        <v>-22.954858999999999</v>
      </c>
      <c r="H970" s="53">
        <v>-46.858078999999996</v>
      </c>
      <c r="I970" s="53">
        <v>-22.454370999999998</v>
      </c>
      <c r="J970" s="53">
        <v>-47.398665000000001</v>
      </c>
      <c r="L970" s="61" t="str">
        <f t="shared" si="15"/>
        <v>Cliente15-Cliente47</v>
      </c>
      <c r="M970">
        <v>228.67883699999999</v>
      </c>
    </row>
    <row r="971" spans="1:13" x14ac:dyDescent="0.25">
      <c r="A971" s="15" t="s">
        <v>4285</v>
      </c>
      <c r="B971" s="15" t="s">
        <v>4318</v>
      </c>
      <c r="C971" s="54">
        <v>237.79002600000001</v>
      </c>
      <c r="D971" s="26">
        <v>0.19444444444444445</v>
      </c>
      <c r="E971" s="55">
        <v>-23.181913000000002</v>
      </c>
      <c r="F971" s="55">
        <v>-46.30912</v>
      </c>
      <c r="G971" s="55">
        <v>-22.932464</v>
      </c>
      <c r="H971" s="55">
        <v>-46.933490999999997</v>
      </c>
      <c r="I971" s="55">
        <v>-22.249165999999999</v>
      </c>
      <c r="J971" s="55">
        <v>-47.38982</v>
      </c>
      <c r="L971" s="61" t="str">
        <f t="shared" si="15"/>
        <v>Cliente15-Cliente48</v>
      </c>
      <c r="M971">
        <v>237.79002600000001</v>
      </c>
    </row>
    <row r="972" spans="1:13" x14ac:dyDescent="0.25">
      <c r="A972" s="15" t="s">
        <v>4285</v>
      </c>
      <c r="B972" s="15" t="s">
        <v>4319</v>
      </c>
      <c r="C972" s="52">
        <v>231.42778999999999</v>
      </c>
      <c r="D972" s="25">
        <v>0.19027777777777777</v>
      </c>
      <c r="E972" s="53">
        <v>-23.182342999999999</v>
      </c>
      <c r="F972" s="53">
        <v>-46.295254999999997</v>
      </c>
      <c r="G972" s="53">
        <v>-22.931467000000001</v>
      </c>
      <c r="H972" s="53">
        <v>-46.901024999999997</v>
      </c>
      <c r="I972" s="53">
        <v>-22.342217999999999</v>
      </c>
      <c r="J972" s="53">
        <v>-47.392465000000001</v>
      </c>
      <c r="L972" s="61" t="str">
        <f t="shared" si="15"/>
        <v>Cliente15-Cliente49</v>
      </c>
      <c r="M972">
        <v>231.42778999999999</v>
      </c>
    </row>
    <row r="973" spans="1:13" x14ac:dyDescent="0.25">
      <c r="A973" s="15" t="s">
        <v>4285</v>
      </c>
      <c r="B973" s="15" t="s">
        <v>4320</v>
      </c>
      <c r="C973" s="54">
        <v>262.349783</v>
      </c>
      <c r="D973" s="26">
        <v>0.21666666666666667</v>
      </c>
      <c r="E973" s="55">
        <v>-23.183751000000001</v>
      </c>
      <c r="F973" s="55">
        <v>-46.372582000000001</v>
      </c>
      <c r="G973" s="55">
        <v>-22.808198000000001</v>
      </c>
      <c r="H973" s="55">
        <v>-47.215293000000003</v>
      </c>
      <c r="I973" s="55">
        <v>-22.286280000000001</v>
      </c>
      <c r="J973" s="55">
        <v>-48.001457000000002</v>
      </c>
      <c r="L973" s="61" t="str">
        <f t="shared" si="15"/>
        <v>Cliente15-Cliente50</v>
      </c>
      <c r="M973">
        <v>262.349783</v>
      </c>
    </row>
    <row r="974" spans="1:13" x14ac:dyDescent="0.25">
      <c r="A974" s="15" t="s">
        <v>4285</v>
      </c>
      <c r="B974" s="15" t="s">
        <v>4321</v>
      </c>
      <c r="C974" s="52">
        <v>256.00494600000002</v>
      </c>
      <c r="D974" s="25">
        <v>0.21249999999999999</v>
      </c>
      <c r="E974" s="53">
        <v>-23.186160999999998</v>
      </c>
      <c r="F974" s="53">
        <v>-46.360508000000003</v>
      </c>
      <c r="G974" s="53">
        <v>-22.857437000000001</v>
      </c>
      <c r="H974" s="53">
        <v>-47.14237</v>
      </c>
      <c r="I974" s="53">
        <v>-22.248633000000002</v>
      </c>
      <c r="J974" s="53">
        <v>-47.834325</v>
      </c>
      <c r="L974" s="61" t="str">
        <f t="shared" si="15"/>
        <v>Cliente15-Cliente51</v>
      </c>
      <c r="M974">
        <v>256.00494600000002</v>
      </c>
    </row>
    <row r="975" spans="1:13" x14ac:dyDescent="0.25">
      <c r="A975" s="15" t="s">
        <v>4286</v>
      </c>
      <c r="B975" s="15" t="s">
        <v>4268</v>
      </c>
      <c r="C975" s="54">
        <v>115.048405</v>
      </c>
      <c r="D975" s="26">
        <v>9.9999999999999992E-2</v>
      </c>
      <c r="E975" s="55">
        <v>-23.375215000000001</v>
      </c>
      <c r="F975" s="55">
        <v>-46.246169000000002</v>
      </c>
      <c r="G975" s="55">
        <v>-23.508281</v>
      </c>
      <c r="H975" s="55">
        <v>-46.706426</v>
      </c>
      <c r="I975" s="55">
        <v>-23.436285999999999</v>
      </c>
      <c r="J975" s="55">
        <v>-47.076165000000003</v>
      </c>
      <c r="L975" s="61" t="str">
        <f t="shared" si="15"/>
        <v>Cliente16-depósito A</v>
      </c>
      <c r="M975">
        <v>115.048405</v>
      </c>
    </row>
    <row r="976" spans="1:13" x14ac:dyDescent="0.25">
      <c r="A976" s="15" t="s">
        <v>4286</v>
      </c>
      <c r="B976" s="15" t="s">
        <v>4269</v>
      </c>
      <c r="C976" s="52">
        <v>205.136267</v>
      </c>
      <c r="D976" s="25">
        <v>0.16527777777777777</v>
      </c>
      <c r="E976" s="53">
        <v>-23.173802999999999</v>
      </c>
      <c r="F976" s="53">
        <v>-46.279980999999999</v>
      </c>
      <c r="G976" s="53">
        <v>-22.974824999999999</v>
      </c>
      <c r="H976" s="53">
        <v>-46.834828999999999</v>
      </c>
      <c r="I976" s="53">
        <v>-22.559189</v>
      </c>
      <c r="J976" s="53">
        <v>-47.366807999999999</v>
      </c>
      <c r="L976" s="61" t="str">
        <f t="shared" si="15"/>
        <v>Cliente16-depósito B</v>
      </c>
      <c r="M976">
        <v>205.136267</v>
      </c>
    </row>
    <row r="977" spans="1:13" x14ac:dyDescent="0.25">
      <c r="A977" s="15" t="s">
        <v>4286</v>
      </c>
      <c r="B977" s="15" t="s">
        <v>4270</v>
      </c>
      <c r="C977" s="54">
        <v>10.031440999999999</v>
      </c>
      <c r="D977" s="26">
        <v>1.3888888888888888E-2</v>
      </c>
      <c r="E977" s="55">
        <v>-23.218356</v>
      </c>
      <c r="F977" s="55">
        <v>-45.900039999999997</v>
      </c>
      <c r="G977" s="55">
        <v>-23.238181000000001</v>
      </c>
      <c r="H977" s="55">
        <v>-45.919918000000003</v>
      </c>
      <c r="I977" s="55">
        <v>-23.278998999999999</v>
      </c>
      <c r="J977" s="55">
        <v>-45.980955999999999</v>
      </c>
      <c r="L977" s="61" t="str">
        <f t="shared" si="15"/>
        <v>Cliente16-depósito C</v>
      </c>
      <c r="M977">
        <v>10.031440999999999</v>
      </c>
    </row>
    <row r="978" spans="1:13" x14ac:dyDescent="0.25">
      <c r="A978" s="15" t="s">
        <v>4286</v>
      </c>
      <c r="B978" s="15" t="s">
        <v>4271</v>
      </c>
      <c r="C978" s="52">
        <v>96.377397000000002</v>
      </c>
      <c r="D978" s="25">
        <v>8.1250000000000003E-2</v>
      </c>
      <c r="E978" s="53">
        <v>-23.206067999999998</v>
      </c>
      <c r="F978" s="53">
        <v>-46.159305000000003</v>
      </c>
      <c r="G978" s="53">
        <v>-23.168806</v>
      </c>
      <c r="H978" s="53">
        <v>-46.442475000000002</v>
      </c>
      <c r="I978" s="53">
        <v>-22.933866999999999</v>
      </c>
      <c r="J978" s="53">
        <v>-46.898868</v>
      </c>
      <c r="L978" s="61" t="str">
        <f t="shared" ref="L978:L1041" si="16">_xlfn.CONCAT(A978,"-",B978)</f>
        <v>Cliente16-Cliente1</v>
      </c>
      <c r="M978">
        <v>96.377397000000002</v>
      </c>
    </row>
    <row r="979" spans="1:13" x14ac:dyDescent="0.25">
      <c r="A979" s="15" t="s">
        <v>4286</v>
      </c>
      <c r="B979" s="15" t="s">
        <v>4272</v>
      </c>
      <c r="C979" s="54">
        <v>93.975170000000006</v>
      </c>
      <c r="D979" s="26">
        <v>8.1250000000000003E-2</v>
      </c>
      <c r="E979" s="55">
        <v>-23.221865000000001</v>
      </c>
      <c r="F979" s="55">
        <v>-46.139142999999997</v>
      </c>
      <c r="G979" s="55">
        <v>-23.169076</v>
      </c>
      <c r="H979" s="55">
        <v>-46.392848999999998</v>
      </c>
      <c r="I979" s="55">
        <v>-22.974824999999999</v>
      </c>
      <c r="J979" s="55">
        <v>-46.834828999999999</v>
      </c>
      <c r="L979" s="61" t="str">
        <f t="shared" si="16"/>
        <v>Cliente16-Cliente2</v>
      </c>
      <c r="M979">
        <v>93.975170000000006</v>
      </c>
    </row>
    <row r="980" spans="1:13" x14ac:dyDescent="0.25">
      <c r="A980" s="15" t="s">
        <v>4286</v>
      </c>
      <c r="B980" s="15" t="s">
        <v>4273</v>
      </c>
      <c r="C980" s="52">
        <v>94.041657000000001</v>
      </c>
      <c r="D980" s="25">
        <v>8.1944444444444445E-2</v>
      </c>
      <c r="E980" s="53">
        <v>-23.210965000000002</v>
      </c>
      <c r="F980" s="53">
        <v>-46.155617999999997</v>
      </c>
      <c r="G980" s="53">
        <v>-23.170057</v>
      </c>
      <c r="H980" s="53">
        <v>-46.438690000000001</v>
      </c>
      <c r="I980" s="53">
        <v>-22.934947000000001</v>
      </c>
      <c r="J980" s="53">
        <v>-46.886237000000001</v>
      </c>
      <c r="L980" s="61" t="str">
        <f t="shared" si="16"/>
        <v>Cliente16-Cliente3</v>
      </c>
      <c r="M980">
        <v>94.041657000000001</v>
      </c>
    </row>
    <row r="981" spans="1:13" x14ac:dyDescent="0.25">
      <c r="A981" s="15" t="s">
        <v>4286</v>
      </c>
      <c r="B981" s="15" t="s">
        <v>4274</v>
      </c>
      <c r="C981" s="54">
        <v>97.891060999999993</v>
      </c>
      <c r="D981" s="26">
        <v>8.2638888888888887E-2</v>
      </c>
      <c r="E981" s="55">
        <v>-23.221865000000001</v>
      </c>
      <c r="F981" s="55">
        <v>-46.139142999999997</v>
      </c>
      <c r="G981" s="55">
        <v>-23.169076</v>
      </c>
      <c r="H981" s="55">
        <v>-46.392848999999998</v>
      </c>
      <c r="I981" s="55">
        <v>-22.98545</v>
      </c>
      <c r="J981" s="55">
        <v>-46.815925999999997</v>
      </c>
      <c r="L981" s="61" t="str">
        <f t="shared" si="16"/>
        <v>Cliente16-Cliente4</v>
      </c>
      <c r="M981">
        <v>97.891060999999993</v>
      </c>
    </row>
    <row r="982" spans="1:13" x14ac:dyDescent="0.25">
      <c r="A982" s="15" t="s">
        <v>4286</v>
      </c>
      <c r="B982" s="15" t="s">
        <v>4275</v>
      </c>
      <c r="C982" s="52">
        <v>97.984267000000003</v>
      </c>
      <c r="D982" s="25">
        <v>8.2638888888888887E-2</v>
      </c>
      <c r="E982" s="53">
        <v>-23.222373999999999</v>
      </c>
      <c r="F982" s="53">
        <v>-46.138314000000001</v>
      </c>
      <c r="G982" s="53">
        <v>-23.171022000000001</v>
      </c>
      <c r="H982" s="53">
        <v>-46.39029</v>
      </c>
      <c r="I982" s="53">
        <v>-22.986495999999999</v>
      </c>
      <c r="J982" s="53">
        <v>-46.810516999999997</v>
      </c>
      <c r="L982" s="61" t="str">
        <f t="shared" si="16"/>
        <v>Cliente16-Cliente5</v>
      </c>
      <c r="M982">
        <v>97.984267000000003</v>
      </c>
    </row>
    <row r="983" spans="1:13" x14ac:dyDescent="0.25">
      <c r="A983" s="15" t="s">
        <v>4286</v>
      </c>
      <c r="B983" s="15" t="s">
        <v>4276</v>
      </c>
      <c r="C983" s="54">
        <v>92.386940999999993</v>
      </c>
      <c r="D983" s="26">
        <v>8.1250000000000003E-2</v>
      </c>
      <c r="E983" s="55">
        <v>-23.204695000000001</v>
      </c>
      <c r="F983" s="55">
        <v>-46.160651000000001</v>
      </c>
      <c r="G983" s="55">
        <v>-23.167555</v>
      </c>
      <c r="H983" s="55">
        <v>-46.443784999999998</v>
      </c>
      <c r="I983" s="55">
        <v>-22.931467000000001</v>
      </c>
      <c r="J983" s="55">
        <v>-46.901024999999997</v>
      </c>
      <c r="L983" s="61" t="str">
        <f t="shared" si="16"/>
        <v>Cliente16-Cliente6</v>
      </c>
      <c r="M983">
        <v>92.386940999999993</v>
      </c>
    </row>
    <row r="984" spans="1:13" x14ac:dyDescent="0.25">
      <c r="A984" s="15" t="s">
        <v>4286</v>
      </c>
      <c r="B984" s="15" t="s">
        <v>4277</v>
      </c>
      <c r="C984" s="52">
        <v>97.037295</v>
      </c>
      <c r="D984" s="25">
        <v>8.5416666666666655E-2</v>
      </c>
      <c r="E984" s="53">
        <v>-23.203144000000002</v>
      </c>
      <c r="F984" s="53">
        <v>-46.162998000000002</v>
      </c>
      <c r="G984" s="53">
        <v>-23.133094</v>
      </c>
      <c r="H984" s="53">
        <v>-46.461038000000002</v>
      </c>
      <c r="I984" s="53">
        <v>-22.931611</v>
      </c>
      <c r="J984" s="53">
        <v>-46.921290999999997</v>
      </c>
      <c r="L984" s="61" t="str">
        <f t="shared" si="16"/>
        <v>Cliente16-Cliente7</v>
      </c>
      <c r="M984">
        <v>97.037295</v>
      </c>
    </row>
    <row r="985" spans="1:13" x14ac:dyDescent="0.25">
      <c r="A985" s="15" t="s">
        <v>4286</v>
      </c>
      <c r="B985" s="15" t="s">
        <v>4278</v>
      </c>
      <c r="C985" s="54">
        <v>91.773645999999999</v>
      </c>
      <c r="D985" s="26">
        <v>7.7083333333333337E-2</v>
      </c>
      <c r="E985" s="55">
        <v>-23.230509999999999</v>
      </c>
      <c r="F985" s="55">
        <v>-46.130629999999996</v>
      </c>
      <c r="G985" s="55">
        <v>-23.178197000000001</v>
      </c>
      <c r="H985" s="55">
        <v>-46.378174999999999</v>
      </c>
      <c r="I985" s="55">
        <v>-23.004674000000001</v>
      </c>
      <c r="J985" s="55">
        <v>-46.769309999999997</v>
      </c>
      <c r="L985" s="61" t="str">
        <f t="shared" si="16"/>
        <v>Cliente16-Cliente8</v>
      </c>
      <c r="M985">
        <v>91.773645999999999</v>
      </c>
    </row>
    <row r="986" spans="1:13" x14ac:dyDescent="0.25">
      <c r="A986" s="15" t="s">
        <v>4286</v>
      </c>
      <c r="B986" s="15" t="s">
        <v>4279</v>
      </c>
      <c r="C986" s="52">
        <v>115.354742</v>
      </c>
      <c r="D986" s="25">
        <v>9.7916666666666666E-2</v>
      </c>
      <c r="E986" s="53">
        <v>-23.206067999999998</v>
      </c>
      <c r="F986" s="53">
        <v>-46.159305000000003</v>
      </c>
      <c r="G986" s="53">
        <v>-23.168806</v>
      </c>
      <c r="H986" s="53">
        <v>-46.442475000000002</v>
      </c>
      <c r="I986" s="53">
        <v>-22.933223000000002</v>
      </c>
      <c r="J986" s="53">
        <v>-46.899517000000003</v>
      </c>
      <c r="L986" s="61" t="str">
        <f t="shared" si="16"/>
        <v>Cliente16-Cliente9</v>
      </c>
      <c r="M986">
        <v>115.354742</v>
      </c>
    </row>
    <row r="987" spans="1:13" x14ac:dyDescent="0.25">
      <c r="A987" s="15" t="s">
        <v>4286</v>
      </c>
      <c r="B987" s="15" t="s">
        <v>4280</v>
      </c>
      <c r="C987" s="54">
        <v>62.628157999999999</v>
      </c>
      <c r="D987" s="26">
        <v>6.3194444444444442E-2</v>
      </c>
      <c r="E987" s="55">
        <v>-23.321372</v>
      </c>
      <c r="F987" s="55">
        <v>-46.095202</v>
      </c>
      <c r="G987" s="55">
        <v>-23.406993</v>
      </c>
      <c r="H987" s="55">
        <v>-46.336984999999999</v>
      </c>
      <c r="I987" s="55">
        <v>-23.515967</v>
      </c>
      <c r="J987" s="55">
        <v>-46.656748</v>
      </c>
      <c r="L987" s="61" t="str">
        <f t="shared" si="16"/>
        <v>Cliente16-Cliente10</v>
      </c>
      <c r="M987">
        <v>62.628157999999999</v>
      </c>
    </row>
    <row r="988" spans="1:13" x14ac:dyDescent="0.25">
      <c r="A988" s="15" t="s">
        <v>4286</v>
      </c>
      <c r="B988" s="15" t="s">
        <v>4281</v>
      </c>
      <c r="C988" s="52">
        <v>135.90478100000001</v>
      </c>
      <c r="D988" s="25">
        <v>0.11180555555555556</v>
      </c>
      <c r="E988" s="53">
        <v>-23.196622000000001</v>
      </c>
      <c r="F988" s="53">
        <v>-46.184337999999997</v>
      </c>
      <c r="G988" s="53">
        <v>-23.107271999999998</v>
      </c>
      <c r="H988" s="53">
        <v>-46.508975</v>
      </c>
      <c r="I988" s="53">
        <v>-22.911693</v>
      </c>
      <c r="J988" s="53">
        <v>-46.953543000000003</v>
      </c>
      <c r="L988" s="61" t="str">
        <f t="shared" si="16"/>
        <v>Cliente16-Cliente11</v>
      </c>
      <c r="M988">
        <v>135.90478100000001</v>
      </c>
    </row>
    <row r="989" spans="1:13" x14ac:dyDescent="0.25">
      <c r="A989" s="15" t="s">
        <v>4286</v>
      </c>
      <c r="B989" s="15" t="s">
        <v>4282</v>
      </c>
      <c r="C989" s="54">
        <v>14.835895000000001</v>
      </c>
      <c r="D989" s="26">
        <v>1.8749999999999999E-2</v>
      </c>
      <c r="E989" s="55">
        <v>-23.222134</v>
      </c>
      <c r="F989" s="55">
        <v>-45.903058999999999</v>
      </c>
      <c r="G989" s="55">
        <v>-23.300183000000001</v>
      </c>
      <c r="H989" s="55">
        <v>-46.015455000000003</v>
      </c>
      <c r="I989" s="55">
        <v>-23.301807</v>
      </c>
      <c r="J989" s="55">
        <v>-46.020876999999999</v>
      </c>
      <c r="L989" s="61" t="str">
        <f t="shared" si="16"/>
        <v>Cliente16-Cliente12</v>
      </c>
      <c r="M989">
        <v>14.835895000000001</v>
      </c>
    </row>
    <row r="990" spans="1:13" x14ac:dyDescent="0.25">
      <c r="A990" s="15" t="s">
        <v>4286</v>
      </c>
      <c r="B990" s="15" t="s">
        <v>4283</v>
      </c>
      <c r="C990" s="52">
        <v>2.3823430000000001</v>
      </c>
      <c r="D990" s="25">
        <v>5.5555555555555558E-3</v>
      </c>
      <c r="E990" s="53">
        <v>-23.230505000000001</v>
      </c>
      <c r="F990" s="53">
        <v>-45.900972000000003</v>
      </c>
      <c r="G990" s="53">
        <v>-23.218596000000002</v>
      </c>
      <c r="H990" s="53">
        <v>-45.900789000000003</v>
      </c>
      <c r="I990" s="53">
        <v>-23.218973999999999</v>
      </c>
      <c r="J990" s="53">
        <v>-45.900002000000001</v>
      </c>
      <c r="L990" s="61" t="str">
        <f t="shared" si="16"/>
        <v>Cliente16-Cliente13</v>
      </c>
      <c r="M990">
        <v>2.3823430000000001</v>
      </c>
    </row>
    <row r="991" spans="1:13" x14ac:dyDescent="0.25">
      <c r="A991" s="15" t="s">
        <v>4286</v>
      </c>
      <c r="B991" s="15" t="s">
        <v>4284</v>
      </c>
      <c r="C991" s="54">
        <v>2.1772900000000002</v>
      </c>
      <c r="D991" s="26">
        <v>5.5555555555555558E-3</v>
      </c>
      <c r="E991" s="55">
        <v>-23.239384000000001</v>
      </c>
      <c r="F991" s="55">
        <v>-45.905034999999998</v>
      </c>
      <c r="G991" s="55">
        <v>-23.236609999999999</v>
      </c>
      <c r="H991" s="55">
        <v>-45.904103999999997</v>
      </c>
      <c r="I991" s="55">
        <v>-23.238948000000001</v>
      </c>
      <c r="J991" s="55">
        <v>-45.906751999999997</v>
      </c>
      <c r="L991" s="61" t="str">
        <f t="shared" si="16"/>
        <v>Cliente16-Cliente14</v>
      </c>
      <c r="M991">
        <v>2.1772900000000002</v>
      </c>
    </row>
    <row r="992" spans="1:13" x14ac:dyDescent="0.25">
      <c r="A992" s="15" t="s">
        <v>4286</v>
      </c>
      <c r="B992" s="15" t="s">
        <v>4285</v>
      </c>
      <c r="C992" s="52">
        <v>1.2924549999999999</v>
      </c>
      <c r="D992" s="25">
        <v>5.5555555555555558E-3</v>
      </c>
      <c r="E992" s="53">
        <v>-23.240069999999999</v>
      </c>
      <c r="F992" s="53">
        <v>-45.905448999999997</v>
      </c>
      <c r="G992" s="53">
        <v>-23.238842000000002</v>
      </c>
      <c r="H992" s="53">
        <v>-45.899704</v>
      </c>
      <c r="I992" s="53">
        <v>-23.239398000000001</v>
      </c>
      <c r="J992" s="53">
        <v>-45.898176999999997</v>
      </c>
      <c r="L992" s="61" t="str">
        <f t="shared" si="16"/>
        <v>Cliente16-Cliente15</v>
      </c>
      <c r="M992">
        <v>1.2924549999999999</v>
      </c>
    </row>
    <row r="993" spans="1:13" x14ac:dyDescent="0.25">
      <c r="A993" s="15" t="s">
        <v>4286</v>
      </c>
      <c r="B993" s="15" t="s">
        <v>4286</v>
      </c>
      <c r="C993" s="54">
        <v>0</v>
      </c>
      <c r="D993" s="26">
        <v>0</v>
      </c>
      <c r="E993" s="55">
        <f>'1. Locais'!D20</f>
        <v>-23.241869999999999</v>
      </c>
      <c r="F993" s="55">
        <f>'1. Locais'!E20</f>
        <v>-45.905000000000001</v>
      </c>
      <c r="G993" s="55">
        <f>'1. Locais'!D20</f>
        <v>-23.241869999999999</v>
      </c>
      <c r="H993" s="55">
        <f>'1. Locais'!E20</f>
        <v>-45.905000000000001</v>
      </c>
      <c r="I993" s="55">
        <f>'1. Locais'!D20</f>
        <v>-23.241869999999999</v>
      </c>
      <c r="J993" s="55">
        <f>'1. Locais'!E20</f>
        <v>-45.905000000000001</v>
      </c>
      <c r="L993" s="61" t="str">
        <f t="shared" si="16"/>
        <v>Cliente16-Cliente16</v>
      </c>
      <c r="M993">
        <v>0</v>
      </c>
    </row>
    <row r="994" spans="1:13" x14ac:dyDescent="0.25">
      <c r="A994" s="15" t="s">
        <v>4286</v>
      </c>
      <c r="B994" s="15" t="s">
        <v>4287</v>
      </c>
      <c r="C994" s="52">
        <v>2.8098480000000001</v>
      </c>
      <c r="D994" s="25">
        <v>5.5555555555555558E-3</v>
      </c>
      <c r="E994" s="53">
        <v>-23.230505000000001</v>
      </c>
      <c r="F994" s="53">
        <v>-45.900972000000003</v>
      </c>
      <c r="G994" s="53">
        <v>-23.218596000000002</v>
      </c>
      <c r="H994" s="53">
        <v>-45.900789000000003</v>
      </c>
      <c r="I994" s="53">
        <v>-23.218973999999999</v>
      </c>
      <c r="J994" s="53">
        <v>-45.900002000000001</v>
      </c>
      <c r="L994" s="61" t="str">
        <f t="shared" si="16"/>
        <v>Cliente16-Cliente17</v>
      </c>
      <c r="M994">
        <v>2.8098480000000001</v>
      </c>
    </row>
    <row r="995" spans="1:13" x14ac:dyDescent="0.25">
      <c r="A995" s="15" t="s">
        <v>4286</v>
      </c>
      <c r="B995" s="15" t="s">
        <v>4288</v>
      </c>
      <c r="C995" s="54">
        <v>8.0846809999999998</v>
      </c>
      <c r="D995" s="26">
        <v>1.2499999999999999E-2</v>
      </c>
      <c r="E995" s="55">
        <v>-23.222583</v>
      </c>
      <c r="F995" s="55">
        <v>-45.899500000000003</v>
      </c>
      <c r="G995" s="55">
        <v>-23.208268</v>
      </c>
      <c r="H995" s="55">
        <v>-45.887407000000003</v>
      </c>
      <c r="I995" s="55">
        <v>-23.182414000000001</v>
      </c>
      <c r="J995" s="55">
        <v>-45.845388999999997</v>
      </c>
      <c r="L995" s="61" t="str">
        <f t="shared" si="16"/>
        <v>Cliente16-Cliente18</v>
      </c>
      <c r="M995">
        <v>8.0846809999999998</v>
      </c>
    </row>
    <row r="996" spans="1:13" x14ac:dyDescent="0.25">
      <c r="A996" s="15" t="s">
        <v>4286</v>
      </c>
      <c r="B996" s="15" t="s">
        <v>4289</v>
      </c>
      <c r="C996" s="52">
        <v>57.800713000000002</v>
      </c>
      <c r="D996" s="25">
        <v>5.4166666666666669E-2</v>
      </c>
      <c r="E996" s="53">
        <v>-23.314546</v>
      </c>
      <c r="F996" s="53">
        <v>-46.068800000000003</v>
      </c>
      <c r="G996" s="53">
        <v>-23.393934999999999</v>
      </c>
      <c r="H996" s="53">
        <v>-46.287450999999997</v>
      </c>
      <c r="I996" s="53">
        <v>-23.525928</v>
      </c>
      <c r="J996" s="53">
        <v>-46.598052000000003</v>
      </c>
      <c r="L996" s="61" t="str">
        <f t="shared" si="16"/>
        <v>Cliente16-Cliente19</v>
      </c>
      <c r="M996">
        <v>57.800713000000002</v>
      </c>
    </row>
    <row r="997" spans="1:13" x14ac:dyDescent="0.25">
      <c r="A997" s="15" t="s">
        <v>4286</v>
      </c>
      <c r="B997" s="15" t="s">
        <v>4290</v>
      </c>
      <c r="C997" s="54">
        <v>65.353498999999999</v>
      </c>
      <c r="D997" s="26">
        <v>6.3194444444444442E-2</v>
      </c>
      <c r="E997" s="55">
        <v>-23.321372</v>
      </c>
      <c r="F997" s="55">
        <v>-46.095202</v>
      </c>
      <c r="G997" s="55">
        <v>-23.406993</v>
      </c>
      <c r="H997" s="55">
        <v>-46.336984999999999</v>
      </c>
      <c r="I997" s="55">
        <v>-23.515967</v>
      </c>
      <c r="J997" s="55">
        <v>-46.656748</v>
      </c>
      <c r="L997" s="61" t="str">
        <f t="shared" si="16"/>
        <v>Cliente16-Cliente20</v>
      </c>
      <c r="M997">
        <v>65.353498999999999</v>
      </c>
    </row>
    <row r="998" spans="1:13" x14ac:dyDescent="0.25">
      <c r="A998" s="15" t="s">
        <v>4286</v>
      </c>
      <c r="B998" s="15" t="s">
        <v>4291</v>
      </c>
      <c r="C998" s="52">
        <v>64.960170000000005</v>
      </c>
      <c r="D998" s="25">
        <v>6.3194444444444442E-2</v>
      </c>
      <c r="E998" s="53">
        <v>-23.322858</v>
      </c>
      <c r="F998" s="53">
        <v>-46.118774999999999</v>
      </c>
      <c r="G998" s="53">
        <v>-23.414439999999999</v>
      </c>
      <c r="H998" s="53">
        <v>-46.365566999999999</v>
      </c>
      <c r="I998" s="53">
        <v>-23.508161000000001</v>
      </c>
      <c r="J998" s="53">
        <v>-46.708806000000003</v>
      </c>
      <c r="L998" s="61" t="str">
        <f t="shared" si="16"/>
        <v>Cliente16-Cliente21</v>
      </c>
      <c r="M998">
        <v>64.960170000000005</v>
      </c>
    </row>
    <row r="999" spans="1:13" x14ac:dyDescent="0.25">
      <c r="A999" s="15" t="s">
        <v>4286</v>
      </c>
      <c r="B999" s="15" t="s">
        <v>4292</v>
      </c>
      <c r="C999" s="54">
        <v>61.670622999999999</v>
      </c>
      <c r="D999" s="26">
        <v>6.0416666666666667E-2</v>
      </c>
      <c r="E999" s="55">
        <v>-23.321372</v>
      </c>
      <c r="F999" s="55">
        <v>-46.095202</v>
      </c>
      <c r="G999" s="55">
        <v>-23.406993</v>
      </c>
      <c r="H999" s="55">
        <v>-46.336984999999999</v>
      </c>
      <c r="I999" s="55">
        <v>-23.515967</v>
      </c>
      <c r="J999" s="55">
        <v>-46.656748</v>
      </c>
      <c r="L999" s="61" t="str">
        <f t="shared" si="16"/>
        <v>Cliente16-Cliente22</v>
      </c>
      <c r="M999">
        <v>61.670622999999999</v>
      </c>
    </row>
    <row r="1000" spans="1:13" x14ac:dyDescent="0.25">
      <c r="A1000" s="15" t="s">
        <v>4286</v>
      </c>
      <c r="B1000" s="15" t="s">
        <v>4293</v>
      </c>
      <c r="C1000" s="52">
        <v>70.109486000000004</v>
      </c>
      <c r="D1000" s="25">
        <v>7.013888888888889E-2</v>
      </c>
      <c r="E1000" s="53">
        <v>-23.345734</v>
      </c>
      <c r="F1000" s="53">
        <v>-46.164152000000001</v>
      </c>
      <c r="G1000" s="53">
        <v>-23.472128999999999</v>
      </c>
      <c r="H1000" s="53">
        <v>-46.519630999999997</v>
      </c>
      <c r="I1000" s="53">
        <v>-23.517049</v>
      </c>
      <c r="J1000" s="53">
        <v>-46.741998000000002</v>
      </c>
      <c r="L1000" s="61" t="str">
        <f t="shared" si="16"/>
        <v>Cliente16-Cliente23</v>
      </c>
      <c r="M1000">
        <v>70.109486000000004</v>
      </c>
    </row>
    <row r="1001" spans="1:13" x14ac:dyDescent="0.25">
      <c r="A1001" s="15" t="s">
        <v>4286</v>
      </c>
      <c r="B1001" s="15" t="s">
        <v>4294</v>
      </c>
      <c r="C1001" s="54">
        <v>64.953956000000005</v>
      </c>
      <c r="D1001" s="26">
        <v>7.2222222222222229E-2</v>
      </c>
      <c r="E1001" s="55">
        <v>-23.323710999999999</v>
      </c>
      <c r="F1001" s="55">
        <v>-46.120660999999998</v>
      </c>
      <c r="G1001" s="55">
        <v>-23.42437</v>
      </c>
      <c r="H1001" s="55">
        <v>-46.400621999999998</v>
      </c>
      <c r="I1001" s="55">
        <v>-23.555022999999998</v>
      </c>
      <c r="J1001" s="55">
        <v>-46.643068</v>
      </c>
      <c r="L1001" s="61" t="str">
        <f t="shared" si="16"/>
        <v>Cliente16-Cliente24</v>
      </c>
      <c r="M1001">
        <v>64.953956000000005</v>
      </c>
    </row>
    <row r="1002" spans="1:13" x14ac:dyDescent="0.25">
      <c r="A1002" s="15" t="s">
        <v>4286</v>
      </c>
      <c r="B1002" s="15" t="s">
        <v>4295</v>
      </c>
      <c r="C1002" s="52">
        <v>67.377309999999994</v>
      </c>
      <c r="D1002" s="25">
        <v>7.7777777777777779E-2</v>
      </c>
      <c r="E1002" s="53">
        <v>-23.351648999999998</v>
      </c>
      <c r="F1002" s="53">
        <v>-46.189768000000001</v>
      </c>
      <c r="G1002" s="53">
        <v>-23.524584999999998</v>
      </c>
      <c r="H1002" s="53">
        <v>-46.586758000000003</v>
      </c>
      <c r="I1002" s="53">
        <v>-23.573169</v>
      </c>
      <c r="J1002" s="53">
        <v>-46.705872999999997</v>
      </c>
      <c r="L1002" s="61" t="str">
        <f t="shared" si="16"/>
        <v>Cliente16-Cliente25</v>
      </c>
      <c r="M1002">
        <v>67.377309999999994</v>
      </c>
    </row>
    <row r="1003" spans="1:13" x14ac:dyDescent="0.25">
      <c r="A1003" s="15" t="s">
        <v>4286</v>
      </c>
      <c r="B1003" s="15" t="s">
        <v>4296</v>
      </c>
      <c r="C1003" s="54">
        <v>74.066387000000006</v>
      </c>
      <c r="D1003" s="26">
        <v>7.1527777777777787E-2</v>
      </c>
      <c r="E1003" s="55">
        <v>-23.35596</v>
      </c>
      <c r="F1003" s="55">
        <v>-46.205297000000002</v>
      </c>
      <c r="G1003" s="55">
        <v>-23.522214000000002</v>
      </c>
      <c r="H1003" s="55">
        <v>-46.605992000000001</v>
      </c>
      <c r="I1003" s="55">
        <v>-23.509640999999998</v>
      </c>
      <c r="J1003" s="55">
        <v>-46.807651999999997</v>
      </c>
      <c r="L1003" s="61" t="str">
        <f t="shared" si="16"/>
        <v>Cliente16-Cliente26</v>
      </c>
      <c r="M1003">
        <v>74.066387000000006</v>
      </c>
    </row>
    <row r="1004" spans="1:13" x14ac:dyDescent="0.25">
      <c r="A1004" s="15" t="s">
        <v>4286</v>
      </c>
      <c r="B1004" s="15" t="s">
        <v>4297</v>
      </c>
      <c r="C1004" s="52">
        <v>66.780792000000005</v>
      </c>
      <c r="D1004" s="25">
        <v>7.4999999999999997E-2</v>
      </c>
      <c r="E1004" s="53">
        <v>-23.347311000000001</v>
      </c>
      <c r="F1004" s="53">
        <v>-46.167164999999997</v>
      </c>
      <c r="G1004" s="53">
        <v>-23.503347000000002</v>
      </c>
      <c r="H1004" s="53">
        <v>-46.566929999999999</v>
      </c>
      <c r="I1004" s="53">
        <v>-23.556035999999999</v>
      </c>
      <c r="J1004" s="53">
        <v>-46.663559999999997</v>
      </c>
      <c r="L1004" s="61" t="str">
        <f t="shared" si="16"/>
        <v>Cliente16-Cliente27</v>
      </c>
      <c r="M1004">
        <v>66.780792000000005</v>
      </c>
    </row>
    <row r="1005" spans="1:13" x14ac:dyDescent="0.25">
      <c r="A1005" s="15" t="s">
        <v>4286</v>
      </c>
      <c r="B1005" s="15" t="s">
        <v>4298</v>
      </c>
      <c r="C1005" s="54">
        <v>66.568282999999994</v>
      </c>
      <c r="D1005" s="26">
        <v>7.013888888888889E-2</v>
      </c>
      <c r="E1005" s="55">
        <v>-23.339831</v>
      </c>
      <c r="F1005" s="55">
        <v>-46.152166999999999</v>
      </c>
      <c r="G1005" s="55">
        <v>-23.467075999999999</v>
      </c>
      <c r="H1005" s="55">
        <v>-46.505155000000002</v>
      </c>
      <c r="I1005" s="55">
        <v>-23.563884000000002</v>
      </c>
      <c r="J1005" s="55">
        <v>-46.640464999999999</v>
      </c>
      <c r="L1005" s="61" t="str">
        <f t="shared" si="16"/>
        <v>Cliente16-Cliente28</v>
      </c>
      <c r="M1005">
        <v>66.568282999999994</v>
      </c>
    </row>
    <row r="1006" spans="1:13" x14ac:dyDescent="0.25">
      <c r="A1006" s="15" t="s">
        <v>4286</v>
      </c>
      <c r="B1006" s="15" t="s">
        <v>4299</v>
      </c>
      <c r="C1006" s="52">
        <v>64.153007000000002</v>
      </c>
      <c r="D1006" s="25">
        <v>6.5277777777777782E-2</v>
      </c>
      <c r="E1006" s="53">
        <v>-23.321884000000001</v>
      </c>
      <c r="F1006" s="53">
        <v>-46.114426000000002</v>
      </c>
      <c r="G1006" s="53">
        <v>-23.411899999999999</v>
      </c>
      <c r="H1006" s="53">
        <v>-46.355344000000002</v>
      </c>
      <c r="I1006" s="53">
        <v>-23.582542</v>
      </c>
      <c r="J1006" s="53">
        <v>-46.573447999999999</v>
      </c>
      <c r="L1006" s="61" t="str">
        <f t="shared" si="16"/>
        <v>Cliente16-Cliente29</v>
      </c>
      <c r="M1006">
        <v>64.153007000000002</v>
      </c>
    </row>
    <row r="1007" spans="1:13" x14ac:dyDescent="0.25">
      <c r="A1007" s="15" t="s">
        <v>4286</v>
      </c>
      <c r="B1007" s="15" t="s">
        <v>4300</v>
      </c>
      <c r="C1007" s="54">
        <v>65.214933000000002</v>
      </c>
      <c r="D1007" s="26">
        <v>5.9027777777777783E-2</v>
      </c>
      <c r="E1007" s="55">
        <v>-23.330351</v>
      </c>
      <c r="F1007" s="55">
        <v>-46.135133000000003</v>
      </c>
      <c r="G1007" s="55">
        <v>-23.467148999999999</v>
      </c>
      <c r="H1007" s="55">
        <v>-46.337645000000002</v>
      </c>
      <c r="I1007" s="55">
        <v>-23.664805000000001</v>
      </c>
      <c r="J1007" s="55">
        <v>-46.394302000000003</v>
      </c>
      <c r="L1007" s="61" t="str">
        <f t="shared" si="16"/>
        <v>Cliente16-Cliente30</v>
      </c>
      <c r="M1007">
        <v>65.214933000000002</v>
      </c>
    </row>
    <row r="1008" spans="1:13" x14ac:dyDescent="0.25">
      <c r="A1008" s="15" t="s">
        <v>4286</v>
      </c>
      <c r="B1008" s="15" t="s">
        <v>4301</v>
      </c>
      <c r="C1008" s="52">
        <v>68.068898000000004</v>
      </c>
      <c r="D1008" s="25">
        <v>6.805555555555555E-2</v>
      </c>
      <c r="E1008" s="53">
        <v>-23.347311000000001</v>
      </c>
      <c r="F1008" s="53">
        <v>-46.167164999999997</v>
      </c>
      <c r="G1008" s="53">
        <v>-23.491150000000001</v>
      </c>
      <c r="H1008" s="53">
        <v>-46.549478999999998</v>
      </c>
      <c r="I1008" s="53">
        <v>-23.517246</v>
      </c>
      <c r="J1008" s="53">
        <v>-46.744055000000003</v>
      </c>
      <c r="L1008" s="61" t="str">
        <f t="shared" si="16"/>
        <v>Cliente16-Cliente31</v>
      </c>
      <c r="M1008">
        <v>68.068898000000004</v>
      </c>
    </row>
    <row r="1009" spans="1:13" x14ac:dyDescent="0.25">
      <c r="A1009" s="15" t="s">
        <v>4286</v>
      </c>
      <c r="B1009" s="15" t="s">
        <v>4302</v>
      </c>
      <c r="C1009" s="54">
        <v>63.099780000000003</v>
      </c>
      <c r="D1009" s="26">
        <v>6.1111111111111116E-2</v>
      </c>
      <c r="E1009" s="55">
        <v>-23.320332000000001</v>
      </c>
      <c r="F1009" s="55">
        <v>-46.090277999999998</v>
      </c>
      <c r="G1009" s="55">
        <v>-23.403053</v>
      </c>
      <c r="H1009" s="55">
        <v>-46.328882</v>
      </c>
      <c r="I1009" s="55">
        <v>-23.518923999999998</v>
      </c>
      <c r="J1009" s="55">
        <v>-46.623736000000001</v>
      </c>
      <c r="L1009" s="61" t="str">
        <f t="shared" si="16"/>
        <v>Cliente16-Cliente32</v>
      </c>
      <c r="M1009">
        <v>63.099780000000003</v>
      </c>
    </row>
    <row r="1010" spans="1:13" x14ac:dyDescent="0.25">
      <c r="A1010" s="15" t="s">
        <v>4286</v>
      </c>
      <c r="B1010" s="15" t="s">
        <v>4303</v>
      </c>
      <c r="C1010" s="52">
        <v>53.165894000000002</v>
      </c>
      <c r="D1010" s="25">
        <v>5.0694444444444452E-2</v>
      </c>
      <c r="E1010" s="53">
        <v>-23.308782999999998</v>
      </c>
      <c r="F1010" s="53">
        <v>-46.058050000000001</v>
      </c>
      <c r="G1010" s="53">
        <v>-23.370636000000001</v>
      </c>
      <c r="H1010" s="53">
        <v>-46.242131999999998</v>
      </c>
      <c r="I1010" s="53">
        <v>-23.470368000000001</v>
      </c>
      <c r="J1010" s="53">
        <v>-46.516072999999999</v>
      </c>
      <c r="L1010" s="61" t="str">
        <f t="shared" si="16"/>
        <v>Cliente16-Cliente33</v>
      </c>
      <c r="M1010">
        <v>53.165894000000002</v>
      </c>
    </row>
    <row r="1011" spans="1:13" x14ac:dyDescent="0.25">
      <c r="A1011" s="15" t="s">
        <v>4286</v>
      </c>
      <c r="B1011" s="15" t="s">
        <v>4304</v>
      </c>
      <c r="C1011" s="54">
        <v>72.776418000000007</v>
      </c>
      <c r="D1011" s="26">
        <v>7.2916666666666671E-2</v>
      </c>
      <c r="E1011" s="55">
        <v>-23.352813999999999</v>
      </c>
      <c r="F1011" s="55">
        <v>-46.201107999999998</v>
      </c>
      <c r="G1011" s="55">
        <v>-23.522431999999998</v>
      </c>
      <c r="H1011" s="55">
        <v>-46.603338000000001</v>
      </c>
      <c r="I1011" s="55">
        <v>-23.509958999999998</v>
      </c>
      <c r="J1011" s="55">
        <v>-46.811028</v>
      </c>
      <c r="L1011" s="61" t="str">
        <f t="shared" si="16"/>
        <v>Cliente16-Cliente34</v>
      </c>
      <c r="M1011">
        <v>72.776418000000007</v>
      </c>
    </row>
    <row r="1012" spans="1:13" x14ac:dyDescent="0.25">
      <c r="A1012" s="15" t="s">
        <v>4286</v>
      </c>
      <c r="B1012" s="15" t="s">
        <v>4305</v>
      </c>
      <c r="C1012" s="52">
        <v>73.372314000000003</v>
      </c>
      <c r="D1012" s="25">
        <v>7.2222222222222229E-2</v>
      </c>
      <c r="E1012" s="53">
        <v>-23.351769999999998</v>
      </c>
      <c r="F1012" s="53">
        <v>-46.197811999999999</v>
      </c>
      <c r="G1012" s="53">
        <v>-23.528376999999999</v>
      </c>
      <c r="H1012" s="53">
        <v>-46.595298</v>
      </c>
      <c r="I1012" s="53">
        <v>-23.519061000000001</v>
      </c>
      <c r="J1012" s="53">
        <v>-46.783391000000002</v>
      </c>
      <c r="L1012" s="61" t="str">
        <f t="shared" si="16"/>
        <v>Cliente16-Cliente35</v>
      </c>
      <c r="M1012">
        <v>73.372314000000003</v>
      </c>
    </row>
    <row r="1013" spans="1:13" x14ac:dyDescent="0.25">
      <c r="A1013" s="15" t="s">
        <v>4286</v>
      </c>
      <c r="B1013" s="15" t="s">
        <v>4306</v>
      </c>
      <c r="C1013" s="54">
        <v>182.07215400000001</v>
      </c>
      <c r="D1013" s="26">
        <v>0.15</v>
      </c>
      <c r="E1013" s="55">
        <v>-23.172955000000002</v>
      </c>
      <c r="F1013" s="55">
        <v>-46.276527999999999</v>
      </c>
      <c r="G1013" s="55">
        <v>-22.98621</v>
      </c>
      <c r="H1013" s="55">
        <v>-46.813600999999998</v>
      </c>
      <c r="I1013" s="55">
        <v>-22.565549000000001</v>
      </c>
      <c r="J1013" s="55">
        <v>-47.365673000000001</v>
      </c>
      <c r="L1013" s="61" t="str">
        <f t="shared" si="16"/>
        <v>Cliente16-Cliente36</v>
      </c>
      <c r="M1013">
        <v>182.07215400000001</v>
      </c>
    </row>
    <row r="1014" spans="1:13" x14ac:dyDescent="0.25">
      <c r="A1014" s="15" t="s">
        <v>4286</v>
      </c>
      <c r="B1014" s="15" t="s">
        <v>4307</v>
      </c>
      <c r="C1014" s="52">
        <v>180.97543099999999</v>
      </c>
      <c r="D1014" s="25">
        <v>0.14861111111111111</v>
      </c>
      <c r="E1014" s="53">
        <v>-23.173802999999999</v>
      </c>
      <c r="F1014" s="53">
        <v>-46.279980999999999</v>
      </c>
      <c r="G1014" s="53">
        <v>-22.974824999999999</v>
      </c>
      <c r="H1014" s="53">
        <v>-46.834828999999999</v>
      </c>
      <c r="I1014" s="53">
        <v>-22.559189</v>
      </c>
      <c r="J1014" s="53">
        <v>-47.366807999999999</v>
      </c>
      <c r="L1014" s="61" t="str">
        <f t="shared" si="16"/>
        <v>Cliente16-Cliente37</v>
      </c>
      <c r="M1014">
        <v>180.97543099999999</v>
      </c>
    </row>
    <row r="1015" spans="1:13" x14ac:dyDescent="0.25">
      <c r="A1015" s="15" t="s">
        <v>4286</v>
      </c>
      <c r="B1015" s="15" t="s">
        <v>4308</v>
      </c>
      <c r="C1015" s="54">
        <v>179.198926</v>
      </c>
      <c r="D1015" s="26">
        <v>0.14652777777777778</v>
      </c>
      <c r="E1015" s="55">
        <v>-23.172706999999999</v>
      </c>
      <c r="F1015" s="55">
        <v>-46.261521000000002</v>
      </c>
      <c r="G1015" s="55">
        <v>-22.990732999999999</v>
      </c>
      <c r="H1015" s="55">
        <v>-46.797373999999998</v>
      </c>
      <c r="I1015" s="55">
        <v>-22.61215</v>
      </c>
      <c r="J1015" s="55">
        <v>-47.354230999999999</v>
      </c>
      <c r="L1015" s="61" t="str">
        <f t="shared" si="16"/>
        <v>Cliente16-Cliente38</v>
      </c>
      <c r="M1015">
        <v>179.198926</v>
      </c>
    </row>
    <row r="1016" spans="1:13" x14ac:dyDescent="0.25">
      <c r="A1016" s="15" t="s">
        <v>4286</v>
      </c>
      <c r="B1016" s="15" t="s">
        <v>4309</v>
      </c>
      <c r="C1016" s="52">
        <v>29.090807000000002</v>
      </c>
      <c r="D1016" s="25">
        <v>3.1944444444444449E-2</v>
      </c>
      <c r="E1016" s="53">
        <v>-23.208268</v>
      </c>
      <c r="F1016" s="53">
        <v>-45.887407000000003</v>
      </c>
      <c r="G1016" s="53">
        <v>-23.037507999999999</v>
      </c>
      <c r="H1016" s="53">
        <v>-45.557738999999998</v>
      </c>
      <c r="I1016" s="53">
        <v>-23.030010000000001</v>
      </c>
      <c r="J1016" s="53">
        <v>-45.554043</v>
      </c>
      <c r="L1016" s="61" t="str">
        <f t="shared" si="16"/>
        <v>Cliente16-Cliente39</v>
      </c>
      <c r="M1016">
        <v>29.090807000000002</v>
      </c>
    </row>
    <row r="1017" spans="1:13" x14ac:dyDescent="0.25">
      <c r="A1017" s="15" t="s">
        <v>4286</v>
      </c>
      <c r="B1017" s="15" t="s">
        <v>4310</v>
      </c>
      <c r="C1017" s="54">
        <v>30.652317</v>
      </c>
      <c r="D1017" s="26">
        <v>3.5416666666666666E-2</v>
      </c>
      <c r="E1017" s="55">
        <v>-23.196909999999999</v>
      </c>
      <c r="F1017" s="55">
        <v>-45.874305</v>
      </c>
      <c r="G1017" s="55">
        <v>-23.038639</v>
      </c>
      <c r="H1017" s="55">
        <v>-45.558197999999997</v>
      </c>
      <c r="I1017" s="55">
        <v>-23.023474</v>
      </c>
      <c r="J1017" s="55">
        <v>-45.555646000000003</v>
      </c>
      <c r="L1017" s="61" t="str">
        <f t="shared" si="16"/>
        <v>Cliente16-Cliente40</v>
      </c>
      <c r="M1017">
        <v>30.652317</v>
      </c>
    </row>
    <row r="1018" spans="1:13" x14ac:dyDescent="0.25">
      <c r="A1018" s="15" t="s">
        <v>4286</v>
      </c>
      <c r="B1018" s="15" t="s">
        <v>4311</v>
      </c>
      <c r="C1018" s="52">
        <v>19.946065000000001</v>
      </c>
      <c r="D1018" s="25">
        <v>2.6388888888888889E-2</v>
      </c>
      <c r="E1018" s="53">
        <v>-23.198671999999998</v>
      </c>
      <c r="F1018" s="53">
        <v>-45.876918000000003</v>
      </c>
      <c r="G1018" s="53">
        <v>-23.109743999999999</v>
      </c>
      <c r="H1018" s="53">
        <v>-45.703122</v>
      </c>
      <c r="I1018" s="53">
        <v>-23.085163999999999</v>
      </c>
      <c r="J1018" s="53">
        <v>-45.710196000000003</v>
      </c>
      <c r="L1018" s="61" t="str">
        <f t="shared" si="16"/>
        <v>Cliente16-Cliente41</v>
      </c>
      <c r="M1018">
        <v>19.946065000000001</v>
      </c>
    </row>
    <row r="1019" spans="1:13" x14ac:dyDescent="0.25">
      <c r="A1019" s="15" t="s">
        <v>4286</v>
      </c>
      <c r="B1019" s="15" t="s">
        <v>4312</v>
      </c>
      <c r="C1019" s="54">
        <v>16.658382</v>
      </c>
      <c r="D1019" s="26">
        <v>1.8749999999999999E-2</v>
      </c>
      <c r="E1019" s="55">
        <v>-23.222116</v>
      </c>
      <c r="F1019" s="55">
        <v>-45.899416000000002</v>
      </c>
      <c r="G1019" s="55">
        <v>-23.198671999999998</v>
      </c>
      <c r="H1019" s="55">
        <v>-45.876918000000003</v>
      </c>
      <c r="I1019" s="55">
        <v>-23.113522</v>
      </c>
      <c r="J1019" s="55">
        <v>-45.708131000000002</v>
      </c>
      <c r="L1019" s="61" t="str">
        <f t="shared" si="16"/>
        <v>Cliente16-Cliente42</v>
      </c>
      <c r="M1019">
        <v>16.658382</v>
      </c>
    </row>
    <row r="1020" spans="1:13" x14ac:dyDescent="0.25">
      <c r="A1020" s="15" t="s">
        <v>4286</v>
      </c>
      <c r="B1020" s="15" t="s">
        <v>4313</v>
      </c>
      <c r="C1020" s="52">
        <v>35.332496999999996</v>
      </c>
      <c r="D1020" s="25">
        <v>3.7499999999999999E-2</v>
      </c>
      <c r="E1020" s="53">
        <v>-23.124552999999999</v>
      </c>
      <c r="F1020" s="53">
        <v>-45.730693000000002</v>
      </c>
      <c r="G1020" s="53">
        <v>-23.011914999999998</v>
      </c>
      <c r="H1020" s="53">
        <v>-45.520774000000003</v>
      </c>
      <c r="I1020" s="53">
        <v>-22.984690000000001</v>
      </c>
      <c r="J1020" s="53">
        <v>-45.518129000000002</v>
      </c>
      <c r="L1020" s="61" t="str">
        <f t="shared" si="16"/>
        <v>Cliente16-Cliente43</v>
      </c>
      <c r="M1020">
        <v>35.332496999999996</v>
      </c>
    </row>
    <row r="1021" spans="1:13" x14ac:dyDescent="0.25">
      <c r="A1021" s="15" t="s">
        <v>4286</v>
      </c>
      <c r="B1021" s="15" t="s">
        <v>4314</v>
      </c>
      <c r="C1021" s="54">
        <v>126.07839199999999</v>
      </c>
      <c r="D1021" s="26">
        <v>0.11180555555555556</v>
      </c>
      <c r="E1021" s="55">
        <v>-23.396649</v>
      </c>
      <c r="F1021" s="55">
        <v>-46.292046999999997</v>
      </c>
      <c r="G1021" s="55">
        <v>-23.517246</v>
      </c>
      <c r="H1021" s="55">
        <v>-46.744055000000003</v>
      </c>
      <c r="I1021" s="55">
        <v>-23.422944999999999</v>
      </c>
      <c r="J1021" s="55">
        <v>-47.237206999999998</v>
      </c>
      <c r="L1021" s="61" t="str">
        <f t="shared" si="16"/>
        <v>Cliente16-Cliente44</v>
      </c>
      <c r="M1021">
        <v>126.07839199999999</v>
      </c>
    </row>
    <row r="1022" spans="1:13" x14ac:dyDescent="0.25">
      <c r="A1022" s="15" t="s">
        <v>4286</v>
      </c>
      <c r="B1022" s="15" t="s">
        <v>4315</v>
      </c>
      <c r="C1022" s="52">
        <v>123.572396</v>
      </c>
      <c r="D1022" s="25">
        <v>0.11805555555555557</v>
      </c>
      <c r="E1022" s="53">
        <v>-23.422549</v>
      </c>
      <c r="F1022" s="53">
        <v>-46.395031000000003</v>
      </c>
      <c r="G1022" s="53">
        <v>-23.501550999999999</v>
      </c>
      <c r="H1022" s="53">
        <v>-46.981884999999998</v>
      </c>
      <c r="I1022" s="53">
        <v>-23.493462999999998</v>
      </c>
      <c r="J1022" s="53">
        <v>-47.390948999999999</v>
      </c>
      <c r="L1022" s="61" t="str">
        <f t="shared" si="16"/>
        <v>Cliente16-Cliente45</v>
      </c>
      <c r="M1022">
        <v>123.572396</v>
      </c>
    </row>
    <row r="1023" spans="1:13" x14ac:dyDescent="0.25">
      <c r="A1023" s="15" t="s">
        <v>4286</v>
      </c>
      <c r="B1023" s="15" t="s">
        <v>4316</v>
      </c>
      <c r="C1023" s="54">
        <v>114.800477</v>
      </c>
      <c r="D1023" s="26">
        <v>0.10625</v>
      </c>
      <c r="E1023" s="55">
        <v>-23.377828999999998</v>
      </c>
      <c r="F1023" s="55">
        <v>-46.254559</v>
      </c>
      <c r="G1023" s="55">
        <v>-23.512556</v>
      </c>
      <c r="H1023" s="55">
        <v>-46.723908999999999</v>
      </c>
      <c r="I1023" s="55">
        <v>-23.429569000000001</v>
      </c>
      <c r="J1023" s="55">
        <v>-47.129722999999998</v>
      </c>
      <c r="L1023" s="61" t="str">
        <f t="shared" si="16"/>
        <v>Cliente16-Cliente46</v>
      </c>
      <c r="M1023">
        <v>114.800477</v>
      </c>
    </row>
    <row r="1024" spans="1:13" x14ac:dyDescent="0.25">
      <c r="A1024" s="15" t="s">
        <v>4286</v>
      </c>
      <c r="B1024" s="15" t="s">
        <v>4317</v>
      </c>
      <c r="C1024" s="52">
        <v>228.52846500000001</v>
      </c>
      <c r="D1024" s="25">
        <v>0.18472222222222223</v>
      </c>
      <c r="E1024" s="53">
        <v>-23.181649</v>
      </c>
      <c r="F1024" s="53">
        <v>-46.303299000000003</v>
      </c>
      <c r="G1024" s="53">
        <v>-22.936367000000001</v>
      </c>
      <c r="H1024" s="53">
        <v>-46.882308999999999</v>
      </c>
      <c r="I1024" s="53">
        <v>-22.446580999999998</v>
      </c>
      <c r="J1024" s="53">
        <v>-47.398474999999998</v>
      </c>
      <c r="L1024" s="61" t="str">
        <f t="shared" si="16"/>
        <v>Cliente16-Cliente47</v>
      </c>
      <c r="M1024">
        <v>228.52846500000001</v>
      </c>
    </row>
    <row r="1025" spans="1:13" x14ac:dyDescent="0.25">
      <c r="A1025" s="15" t="s">
        <v>4286</v>
      </c>
      <c r="B1025" s="15" t="s">
        <v>4318</v>
      </c>
      <c r="C1025" s="54">
        <v>237.63965400000001</v>
      </c>
      <c r="D1025" s="26">
        <v>0.19305555555555554</v>
      </c>
      <c r="E1025" s="55">
        <v>-23.18534</v>
      </c>
      <c r="F1025" s="55">
        <v>-46.328203000000002</v>
      </c>
      <c r="G1025" s="55">
        <v>-22.925576</v>
      </c>
      <c r="H1025" s="55">
        <v>-46.942058000000003</v>
      </c>
      <c r="I1025" s="55">
        <v>-22.245982000000001</v>
      </c>
      <c r="J1025" s="55">
        <v>-47.390183</v>
      </c>
      <c r="L1025" s="61" t="str">
        <f t="shared" si="16"/>
        <v>Cliente16-Cliente48</v>
      </c>
      <c r="M1025">
        <v>237.63965400000001</v>
      </c>
    </row>
    <row r="1026" spans="1:13" x14ac:dyDescent="0.25">
      <c r="A1026" s="15" t="s">
        <v>4286</v>
      </c>
      <c r="B1026" s="15" t="s">
        <v>4319</v>
      </c>
      <c r="C1026" s="52">
        <v>231.27741800000001</v>
      </c>
      <c r="D1026" s="25">
        <v>0.18888888888888888</v>
      </c>
      <c r="E1026" s="53">
        <v>-23.178274999999999</v>
      </c>
      <c r="F1026" s="53">
        <v>-46.315071000000003</v>
      </c>
      <c r="G1026" s="53">
        <v>-22.931225000000001</v>
      </c>
      <c r="H1026" s="53">
        <v>-46.920144000000001</v>
      </c>
      <c r="I1026" s="53">
        <v>-22.332377000000001</v>
      </c>
      <c r="J1026" s="53">
        <v>-47.388902999999999</v>
      </c>
      <c r="L1026" s="61" t="str">
        <f t="shared" si="16"/>
        <v>Cliente16-Cliente49</v>
      </c>
      <c r="M1026">
        <v>231.27741800000001</v>
      </c>
    </row>
    <row r="1027" spans="1:13" x14ac:dyDescent="0.25">
      <c r="A1027" s="15" t="s">
        <v>4286</v>
      </c>
      <c r="B1027" s="15" t="s">
        <v>4320</v>
      </c>
      <c r="C1027" s="54">
        <v>262.199411</v>
      </c>
      <c r="D1027" s="26">
        <v>0.21458333333333335</v>
      </c>
      <c r="E1027" s="55">
        <v>-23.168427000000001</v>
      </c>
      <c r="F1027" s="55">
        <v>-46.393779000000002</v>
      </c>
      <c r="G1027" s="55">
        <v>-22.765263000000001</v>
      </c>
      <c r="H1027" s="55">
        <v>-47.245572000000003</v>
      </c>
      <c r="I1027" s="55">
        <v>-22.291574000000001</v>
      </c>
      <c r="J1027" s="55">
        <v>-48.094776000000003</v>
      </c>
      <c r="L1027" s="61" t="str">
        <f t="shared" si="16"/>
        <v>Cliente16-Cliente50</v>
      </c>
      <c r="M1027">
        <v>262.199411</v>
      </c>
    </row>
    <row r="1028" spans="1:13" x14ac:dyDescent="0.25">
      <c r="A1028" s="15" t="s">
        <v>4286</v>
      </c>
      <c r="B1028" s="15" t="s">
        <v>4321</v>
      </c>
      <c r="C1028" s="52">
        <v>255.85457400000001</v>
      </c>
      <c r="D1028" s="25">
        <v>0.21041666666666667</v>
      </c>
      <c r="E1028" s="53">
        <v>-23.178197000000001</v>
      </c>
      <c r="F1028" s="53">
        <v>-46.378174999999999</v>
      </c>
      <c r="G1028" s="53">
        <v>-22.855492999999999</v>
      </c>
      <c r="H1028" s="53">
        <v>-47.150837000000003</v>
      </c>
      <c r="I1028" s="53">
        <v>-22.254788000000001</v>
      </c>
      <c r="J1028" s="53">
        <v>-47.842616</v>
      </c>
      <c r="L1028" s="61" t="str">
        <f t="shared" si="16"/>
        <v>Cliente16-Cliente51</v>
      </c>
      <c r="M1028">
        <v>255.85457400000001</v>
      </c>
    </row>
    <row r="1029" spans="1:13" x14ac:dyDescent="0.25">
      <c r="A1029" s="15" t="s">
        <v>4287</v>
      </c>
      <c r="B1029" s="15" t="s">
        <v>4268</v>
      </c>
      <c r="C1029" s="54">
        <v>112.321821</v>
      </c>
      <c r="D1029" s="26">
        <v>9.5138888888888884E-2</v>
      </c>
      <c r="E1029" s="55">
        <v>-23.398163</v>
      </c>
      <c r="F1029" s="55">
        <v>-46.297789000000002</v>
      </c>
      <c r="G1029" s="55">
        <v>-23.512556</v>
      </c>
      <c r="H1029" s="55">
        <v>-46.723908999999999</v>
      </c>
      <c r="I1029" s="55">
        <v>-23.438773999999999</v>
      </c>
      <c r="J1029" s="55">
        <v>-47.104514999999999</v>
      </c>
      <c r="L1029" s="61" t="str">
        <f t="shared" si="16"/>
        <v>Cliente17-depósito A</v>
      </c>
      <c r="M1029">
        <v>112.321821</v>
      </c>
    </row>
    <row r="1030" spans="1:13" x14ac:dyDescent="0.25">
      <c r="A1030" s="15" t="s">
        <v>4287</v>
      </c>
      <c r="B1030" s="15" t="s">
        <v>4269</v>
      </c>
      <c r="C1030" s="52">
        <v>202.409683</v>
      </c>
      <c r="D1030" s="25">
        <v>0.16041666666666668</v>
      </c>
      <c r="E1030" s="53">
        <v>-23.178464999999999</v>
      </c>
      <c r="F1030" s="53">
        <v>-46.314211999999998</v>
      </c>
      <c r="G1030" s="53">
        <v>-22.948468999999999</v>
      </c>
      <c r="H1030" s="53">
        <v>-46.868358999999998</v>
      </c>
      <c r="I1030" s="53">
        <v>-22.519418999999999</v>
      </c>
      <c r="J1030" s="53">
        <v>-47.393290999999998</v>
      </c>
      <c r="L1030" s="61" t="str">
        <f t="shared" si="16"/>
        <v>Cliente17-depósito B</v>
      </c>
      <c r="M1030">
        <v>202.409683</v>
      </c>
    </row>
    <row r="1031" spans="1:13" x14ac:dyDescent="0.25">
      <c r="A1031" s="15" t="s">
        <v>4287</v>
      </c>
      <c r="B1031" s="15" t="s">
        <v>4270</v>
      </c>
      <c r="C1031" s="54">
        <v>7.3048580000000003</v>
      </c>
      <c r="D1031" s="26">
        <v>9.7222222222222224E-3</v>
      </c>
      <c r="E1031" s="55">
        <v>-23.238009999999999</v>
      </c>
      <c r="F1031" s="55">
        <v>-45.919735000000003</v>
      </c>
      <c r="G1031" s="55">
        <v>-23.279909</v>
      </c>
      <c r="H1031" s="55">
        <v>-45.982753000000002</v>
      </c>
      <c r="I1031" s="55">
        <v>-23.279315</v>
      </c>
      <c r="J1031" s="55">
        <v>-45.980316999999999</v>
      </c>
      <c r="L1031" s="61" t="str">
        <f t="shared" si="16"/>
        <v>Cliente17-depósito C</v>
      </c>
      <c r="M1031">
        <v>7.3048580000000003</v>
      </c>
    </row>
    <row r="1032" spans="1:13" x14ac:dyDescent="0.25">
      <c r="A1032" s="15" t="s">
        <v>4287</v>
      </c>
      <c r="B1032" s="15" t="s">
        <v>4271</v>
      </c>
      <c r="C1032" s="52">
        <v>93.388593999999998</v>
      </c>
      <c r="D1032" s="25">
        <v>8.1250000000000003E-2</v>
      </c>
      <c r="E1032" s="53">
        <v>-23.182383000000002</v>
      </c>
      <c r="F1032" s="53">
        <v>-46.204673999999997</v>
      </c>
      <c r="G1032" s="53">
        <v>-23.108429999999998</v>
      </c>
      <c r="H1032" s="53">
        <v>-46.500518999999997</v>
      </c>
      <c r="I1032" s="53">
        <v>-22.925576</v>
      </c>
      <c r="J1032" s="53">
        <v>-46.942058000000003</v>
      </c>
      <c r="L1032" s="61" t="str">
        <f t="shared" si="16"/>
        <v>Cliente17-Cliente1</v>
      </c>
      <c r="M1032">
        <v>93.388593999999998</v>
      </c>
    </row>
    <row r="1033" spans="1:13" x14ac:dyDescent="0.25">
      <c r="A1033" s="15" t="s">
        <v>4287</v>
      </c>
      <c r="B1033" s="15" t="s">
        <v>4272</v>
      </c>
      <c r="C1033" s="54">
        <v>91.248586000000003</v>
      </c>
      <c r="D1033" s="26">
        <v>7.6388888888888895E-2</v>
      </c>
      <c r="E1033" s="55">
        <v>-23.198744000000001</v>
      </c>
      <c r="F1033" s="55">
        <v>-46.179428999999999</v>
      </c>
      <c r="G1033" s="55">
        <v>-23.171143000000001</v>
      </c>
      <c r="H1033" s="55">
        <v>-46.425604999999997</v>
      </c>
      <c r="I1033" s="55">
        <v>-22.962472000000002</v>
      </c>
      <c r="J1033" s="55">
        <v>-46.846203000000003</v>
      </c>
      <c r="L1033" s="61" t="str">
        <f t="shared" si="16"/>
        <v>Cliente17-Cliente2</v>
      </c>
      <c r="M1033">
        <v>91.248586000000003</v>
      </c>
    </row>
    <row r="1034" spans="1:13" x14ac:dyDescent="0.25">
      <c r="A1034" s="15" t="s">
        <v>4287</v>
      </c>
      <c r="B1034" s="15" t="s">
        <v>4273</v>
      </c>
      <c r="C1034" s="52">
        <v>91.315072999999998</v>
      </c>
      <c r="D1034" s="25">
        <v>7.7083333333333337E-2</v>
      </c>
      <c r="E1034" s="53">
        <v>-23.189346</v>
      </c>
      <c r="F1034" s="53">
        <v>-46.189943</v>
      </c>
      <c r="G1034" s="53">
        <v>-23.133094</v>
      </c>
      <c r="H1034" s="53">
        <v>-46.461038000000002</v>
      </c>
      <c r="I1034" s="53">
        <v>-22.933866999999999</v>
      </c>
      <c r="J1034" s="53">
        <v>-46.898868</v>
      </c>
      <c r="L1034" s="61" t="str">
        <f t="shared" si="16"/>
        <v>Cliente17-Cliente3</v>
      </c>
      <c r="M1034">
        <v>91.315072999999998</v>
      </c>
    </row>
    <row r="1035" spans="1:13" x14ac:dyDescent="0.25">
      <c r="A1035" s="15" t="s">
        <v>4287</v>
      </c>
      <c r="B1035" s="15" t="s">
        <v>4274</v>
      </c>
      <c r="C1035" s="54">
        <v>95.164477000000005</v>
      </c>
      <c r="D1035" s="26">
        <v>7.7777777777777779E-2</v>
      </c>
      <c r="E1035" s="55">
        <v>-23.198744000000001</v>
      </c>
      <c r="F1035" s="55">
        <v>-46.179428999999999</v>
      </c>
      <c r="G1035" s="55">
        <v>-23.171143000000001</v>
      </c>
      <c r="H1035" s="55">
        <v>-46.425604999999997</v>
      </c>
      <c r="I1035" s="55">
        <v>-22.965062</v>
      </c>
      <c r="J1035" s="55">
        <v>-46.843525999999997</v>
      </c>
      <c r="L1035" s="61" t="str">
        <f t="shared" si="16"/>
        <v>Cliente17-Cliente4</v>
      </c>
      <c r="M1035">
        <v>95.164477000000005</v>
      </c>
    </row>
    <row r="1036" spans="1:13" x14ac:dyDescent="0.25">
      <c r="A1036" s="15" t="s">
        <v>4287</v>
      </c>
      <c r="B1036" s="15" t="s">
        <v>4275</v>
      </c>
      <c r="C1036" s="52">
        <v>95.257683</v>
      </c>
      <c r="D1036" s="25">
        <v>7.7777777777777779E-2</v>
      </c>
      <c r="E1036" s="53">
        <v>-23.199497999999998</v>
      </c>
      <c r="F1036" s="53">
        <v>-46.176720000000003</v>
      </c>
      <c r="G1036" s="53">
        <v>-23.170704000000001</v>
      </c>
      <c r="H1036" s="53">
        <v>-46.421967000000002</v>
      </c>
      <c r="I1036" s="53">
        <v>-22.974824999999999</v>
      </c>
      <c r="J1036" s="53">
        <v>-46.834828999999999</v>
      </c>
      <c r="L1036" s="61" t="str">
        <f t="shared" si="16"/>
        <v>Cliente17-Cliente5</v>
      </c>
      <c r="M1036">
        <v>95.257683</v>
      </c>
    </row>
    <row r="1037" spans="1:13" x14ac:dyDescent="0.25">
      <c r="A1037" s="15" t="s">
        <v>4287</v>
      </c>
      <c r="B1037" s="15" t="s">
        <v>4276</v>
      </c>
      <c r="C1037" s="54">
        <v>89.660358000000002</v>
      </c>
      <c r="D1037" s="26">
        <v>7.6388888888888895E-2</v>
      </c>
      <c r="E1037" s="55">
        <v>-23.186885</v>
      </c>
      <c r="F1037" s="55">
        <v>-46.197246</v>
      </c>
      <c r="G1037" s="55">
        <v>-23.117764000000001</v>
      </c>
      <c r="H1037" s="55">
        <v>-46.478580999999998</v>
      </c>
      <c r="I1037" s="55">
        <v>-22.928256000000001</v>
      </c>
      <c r="J1037" s="55">
        <v>-46.910682999999999</v>
      </c>
      <c r="L1037" s="61" t="str">
        <f t="shared" si="16"/>
        <v>Cliente17-Cliente6</v>
      </c>
      <c r="M1037">
        <v>89.660358000000002</v>
      </c>
    </row>
    <row r="1038" spans="1:13" x14ac:dyDescent="0.25">
      <c r="A1038" s="15" t="s">
        <v>4287</v>
      </c>
      <c r="B1038" s="15" t="s">
        <v>4277</v>
      </c>
      <c r="C1038" s="52">
        <v>94.310710999999998</v>
      </c>
      <c r="D1038" s="25">
        <v>8.0555555555555561E-2</v>
      </c>
      <c r="E1038" s="53">
        <v>-23.185973000000001</v>
      </c>
      <c r="F1038" s="53">
        <v>-46.199215000000002</v>
      </c>
      <c r="G1038" s="53">
        <v>-23.114518</v>
      </c>
      <c r="H1038" s="53">
        <v>-46.487740000000002</v>
      </c>
      <c r="I1038" s="53">
        <v>-22.93197</v>
      </c>
      <c r="J1038" s="53">
        <v>-46.934762999999997</v>
      </c>
      <c r="L1038" s="61" t="str">
        <f t="shared" si="16"/>
        <v>Cliente17-Cliente7</v>
      </c>
      <c r="M1038">
        <v>94.310710999999998</v>
      </c>
    </row>
    <row r="1039" spans="1:13" x14ac:dyDescent="0.25">
      <c r="A1039" s="15" t="s">
        <v>4287</v>
      </c>
      <c r="B1039" s="15" t="s">
        <v>4278</v>
      </c>
      <c r="C1039" s="54">
        <v>89.047062999999994</v>
      </c>
      <c r="D1039" s="26">
        <v>7.2222222222222229E-2</v>
      </c>
      <c r="E1039" s="55">
        <v>-23.204186</v>
      </c>
      <c r="F1039" s="55">
        <v>-46.161313</v>
      </c>
      <c r="G1039" s="55">
        <v>-23.169076</v>
      </c>
      <c r="H1039" s="55">
        <v>-46.392848999999998</v>
      </c>
      <c r="I1039" s="55">
        <v>-22.990732999999999</v>
      </c>
      <c r="J1039" s="55">
        <v>-46.797373999999998</v>
      </c>
      <c r="L1039" s="61" t="str">
        <f t="shared" si="16"/>
        <v>Cliente17-Cliente8</v>
      </c>
      <c r="M1039">
        <v>89.047062999999994</v>
      </c>
    </row>
    <row r="1040" spans="1:13" x14ac:dyDescent="0.25">
      <c r="A1040" s="15" t="s">
        <v>4287</v>
      </c>
      <c r="B1040" s="15" t="s">
        <v>4279</v>
      </c>
      <c r="C1040" s="52">
        <v>112.628158</v>
      </c>
      <c r="D1040" s="25">
        <v>9.3055555555555558E-2</v>
      </c>
      <c r="E1040" s="53">
        <v>-23.188261000000001</v>
      </c>
      <c r="F1040" s="53">
        <v>-46.192</v>
      </c>
      <c r="G1040" s="53">
        <v>-23.121081</v>
      </c>
      <c r="H1040" s="53">
        <v>-46.473733000000003</v>
      </c>
      <c r="I1040" s="53">
        <v>-22.928238</v>
      </c>
      <c r="J1040" s="53">
        <v>-46.910944000000001</v>
      </c>
      <c r="L1040" s="61" t="str">
        <f t="shared" si="16"/>
        <v>Cliente17-Cliente9</v>
      </c>
      <c r="M1040">
        <v>112.628158</v>
      </c>
    </row>
    <row r="1041" spans="1:13" x14ac:dyDescent="0.25">
      <c r="A1041" s="15" t="s">
        <v>4287</v>
      </c>
      <c r="B1041" s="15" t="s">
        <v>4280</v>
      </c>
      <c r="C1041" s="54">
        <v>59.901575000000001</v>
      </c>
      <c r="D1041" s="26">
        <v>5.8333333333333327E-2</v>
      </c>
      <c r="E1041" s="55">
        <v>-23.352288999999999</v>
      </c>
      <c r="F1041" s="55">
        <v>-46.181894</v>
      </c>
      <c r="G1041" s="55">
        <v>-23.414439999999999</v>
      </c>
      <c r="H1041" s="55">
        <v>-46.365566999999999</v>
      </c>
      <c r="I1041" s="55">
        <v>-23.513604999999998</v>
      </c>
      <c r="J1041" s="55">
        <v>-46.673636999999999</v>
      </c>
      <c r="L1041" s="61" t="str">
        <f t="shared" si="16"/>
        <v>Cliente17-Cliente10</v>
      </c>
      <c r="M1041">
        <v>59.901575000000001</v>
      </c>
    </row>
    <row r="1042" spans="1:13" x14ac:dyDescent="0.25">
      <c r="A1042" s="15" t="s">
        <v>4287</v>
      </c>
      <c r="B1042" s="15" t="s">
        <v>4281</v>
      </c>
      <c r="C1042" s="52">
        <v>133.17819700000001</v>
      </c>
      <c r="D1042" s="25">
        <v>0.10694444444444444</v>
      </c>
      <c r="E1042" s="53">
        <v>-23.165807000000001</v>
      </c>
      <c r="F1042" s="53">
        <v>-46.223675999999998</v>
      </c>
      <c r="G1042" s="53">
        <v>-23.099976000000002</v>
      </c>
      <c r="H1042" s="53">
        <v>-46.566294999999997</v>
      </c>
      <c r="I1042" s="53">
        <v>-22.911940999999999</v>
      </c>
      <c r="J1042" s="53">
        <v>-46.966486000000003</v>
      </c>
      <c r="L1042" s="61" t="str">
        <f t="shared" ref="L1042:L1105" si="17">_xlfn.CONCAT(A1042,"-",B1042)</f>
        <v>Cliente17-Cliente11</v>
      </c>
      <c r="M1042">
        <v>133.17819700000001</v>
      </c>
    </row>
    <row r="1043" spans="1:13" x14ac:dyDescent="0.25">
      <c r="A1043" s="15" t="s">
        <v>4287</v>
      </c>
      <c r="B1043" s="15" t="s">
        <v>4282</v>
      </c>
      <c r="C1043" s="54">
        <v>12.109311999999999</v>
      </c>
      <c r="D1043" s="26">
        <v>1.3888888888888888E-2</v>
      </c>
      <c r="E1043" s="55">
        <v>-23.245549</v>
      </c>
      <c r="F1043" s="55">
        <v>-45.928423000000002</v>
      </c>
      <c r="G1043" s="55">
        <v>-23.301091</v>
      </c>
      <c r="H1043" s="55">
        <v>-46.024241000000004</v>
      </c>
      <c r="I1043" s="55">
        <v>-23.311561999999999</v>
      </c>
      <c r="J1043" s="55">
        <v>-45.994835000000002</v>
      </c>
      <c r="L1043" s="61" t="str">
        <f t="shared" si="17"/>
        <v>Cliente17-Cliente12</v>
      </c>
      <c r="M1043">
        <v>12.109311999999999</v>
      </c>
    </row>
    <row r="1044" spans="1:13" x14ac:dyDescent="0.25">
      <c r="A1044" s="15" t="s">
        <v>4287</v>
      </c>
      <c r="B1044" s="15" t="s">
        <v>4283</v>
      </c>
      <c r="C1044" s="52">
        <v>1.377583</v>
      </c>
      <c r="D1044" s="25">
        <v>5.5555555555555558E-3</v>
      </c>
      <c r="E1044" s="53">
        <v>-23.223783000000001</v>
      </c>
      <c r="F1044" s="53">
        <v>-45.911518000000001</v>
      </c>
      <c r="G1044" s="53">
        <v>-23.218931999999999</v>
      </c>
      <c r="H1044" s="53">
        <v>-45.910083999999998</v>
      </c>
      <c r="I1044" s="53">
        <v>-23.221647000000001</v>
      </c>
      <c r="J1044" s="53">
        <v>-45.907699999999998</v>
      </c>
      <c r="L1044" s="61" t="str">
        <f t="shared" si="17"/>
        <v>Cliente17-Cliente13</v>
      </c>
      <c r="M1044">
        <v>1.377583</v>
      </c>
    </row>
    <row r="1045" spans="1:13" x14ac:dyDescent="0.25">
      <c r="A1045" s="15" t="s">
        <v>4287</v>
      </c>
      <c r="B1045" s="15" t="s">
        <v>4284</v>
      </c>
      <c r="C1045" s="54">
        <v>1.8734390000000001</v>
      </c>
      <c r="D1045" s="26">
        <v>3.472222222222222E-3</v>
      </c>
      <c r="E1045" s="55">
        <v>-23.234902999999999</v>
      </c>
      <c r="F1045" s="55">
        <v>-45.917003999999999</v>
      </c>
      <c r="G1045" s="55">
        <v>-23.234081</v>
      </c>
      <c r="H1045" s="55">
        <v>-45.916880999999997</v>
      </c>
      <c r="I1045" s="55">
        <v>-23.236851999999999</v>
      </c>
      <c r="J1045" s="55">
        <v>-45.916598999999998</v>
      </c>
      <c r="L1045" s="61" t="str">
        <f t="shared" si="17"/>
        <v>Cliente17-Cliente14</v>
      </c>
      <c r="M1045">
        <v>1.8734390000000001</v>
      </c>
    </row>
    <row r="1046" spans="1:13" x14ac:dyDescent="0.25">
      <c r="A1046" s="15" t="s">
        <v>4287</v>
      </c>
      <c r="B1046" s="15" t="s">
        <v>4285</v>
      </c>
      <c r="C1046" s="52">
        <v>4.2619959999999999</v>
      </c>
      <c r="D1046" s="25">
        <v>1.0416666666666666E-2</v>
      </c>
      <c r="E1046" s="53">
        <v>-23.236113</v>
      </c>
      <c r="F1046" s="53">
        <v>-45.916232000000001</v>
      </c>
      <c r="G1046" s="53">
        <v>-23.228334</v>
      </c>
      <c r="H1046" s="53">
        <v>-45.909101999999997</v>
      </c>
      <c r="I1046" s="53">
        <v>-23.235261000000001</v>
      </c>
      <c r="J1046" s="53">
        <v>-45.901591000000003</v>
      </c>
      <c r="L1046" s="61" t="str">
        <f t="shared" si="17"/>
        <v>Cliente17-Cliente15</v>
      </c>
      <c r="M1046">
        <v>4.2619959999999999</v>
      </c>
    </row>
    <row r="1047" spans="1:13" x14ac:dyDescent="0.25">
      <c r="A1047" s="15" t="s">
        <v>4287</v>
      </c>
      <c r="B1047" s="15" t="s">
        <v>4286</v>
      </c>
      <c r="C1047" s="54">
        <v>3.182671</v>
      </c>
      <c r="D1047" s="26">
        <v>8.3333333333333332E-3</v>
      </c>
      <c r="E1047" s="55">
        <v>-23.234306</v>
      </c>
      <c r="F1047" s="55">
        <v>-45.916629999999998</v>
      </c>
      <c r="G1047" s="55">
        <v>-23.23321</v>
      </c>
      <c r="H1047" s="55">
        <v>-45.913556999999997</v>
      </c>
      <c r="I1047" s="55">
        <v>-23.242453999999999</v>
      </c>
      <c r="J1047" s="55">
        <v>-45.906793</v>
      </c>
      <c r="L1047" s="61" t="str">
        <f t="shared" si="17"/>
        <v>Cliente17-Cliente16</v>
      </c>
      <c r="M1047">
        <v>3.182671</v>
      </c>
    </row>
    <row r="1048" spans="1:13" x14ac:dyDescent="0.25">
      <c r="A1048" s="15" t="s">
        <v>4287</v>
      </c>
      <c r="B1048" s="15" t="s">
        <v>4287</v>
      </c>
      <c r="C1048" s="52">
        <v>0</v>
      </c>
      <c r="D1048" s="25">
        <v>0</v>
      </c>
      <c r="E1048" s="53">
        <f>'1. Locais'!D21</f>
        <v>-23.228359999999999</v>
      </c>
      <c r="F1048" s="53">
        <f>'1. Locais'!E21</f>
        <v>-45.911239999999999</v>
      </c>
      <c r="G1048" s="53">
        <f>'1. Locais'!D21</f>
        <v>-23.228359999999999</v>
      </c>
      <c r="H1048" s="53">
        <f>'1. Locais'!E21</f>
        <v>-45.911239999999999</v>
      </c>
      <c r="I1048" s="53">
        <f>'1. Locais'!D21</f>
        <v>-23.228359999999999</v>
      </c>
      <c r="J1048" s="53">
        <f>'1. Locais'!E21</f>
        <v>-45.911239999999999</v>
      </c>
      <c r="L1048" s="61" t="str">
        <f t="shared" si="17"/>
        <v>Cliente17-Cliente17</v>
      </c>
      <c r="M1048">
        <v>0</v>
      </c>
    </row>
    <row r="1049" spans="1:13" x14ac:dyDescent="0.25">
      <c r="A1049" s="15" t="s">
        <v>4287</v>
      </c>
      <c r="B1049" s="15" t="s">
        <v>4288</v>
      </c>
      <c r="C1049" s="54">
        <v>9.0763920000000002</v>
      </c>
      <c r="D1049" s="26">
        <v>1.1805555555555555E-2</v>
      </c>
      <c r="E1049" s="55">
        <v>-23.234306</v>
      </c>
      <c r="F1049" s="55">
        <v>-45.916629999999998</v>
      </c>
      <c r="G1049" s="55">
        <v>-23.233892999999998</v>
      </c>
      <c r="H1049" s="55">
        <v>-45.914718999999998</v>
      </c>
      <c r="I1049" s="55">
        <v>-23.187190000000001</v>
      </c>
      <c r="J1049" s="55">
        <v>-45.854930000000003</v>
      </c>
      <c r="L1049" s="61" t="str">
        <f t="shared" si="17"/>
        <v>Cliente17-Cliente18</v>
      </c>
      <c r="M1049">
        <v>9.0763920000000002</v>
      </c>
    </row>
    <row r="1050" spans="1:13" x14ac:dyDescent="0.25">
      <c r="A1050" s="15" t="s">
        <v>4287</v>
      </c>
      <c r="B1050" s="15" t="s">
        <v>4289</v>
      </c>
      <c r="C1050" s="52">
        <v>55.074129999999997</v>
      </c>
      <c r="D1050" s="25">
        <v>4.9305555555555554E-2</v>
      </c>
      <c r="E1050" s="53">
        <v>-23.337675000000001</v>
      </c>
      <c r="F1050" s="53">
        <v>-46.147956999999998</v>
      </c>
      <c r="G1050" s="53">
        <v>-23.402591000000001</v>
      </c>
      <c r="H1050" s="53">
        <v>-46.318618000000001</v>
      </c>
      <c r="I1050" s="53">
        <v>-23.522162000000002</v>
      </c>
      <c r="J1050" s="53">
        <v>-46.604818000000002</v>
      </c>
      <c r="L1050" s="61" t="str">
        <f t="shared" si="17"/>
        <v>Cliente17-Cliente19</v>
      </c>
      <c r="M1050">
        <v>55.074129999999997</v>
      </c>
    </row>
    <row r="1051" spans="1:13" x14ac:dyDescent="0.25">
      <c r="A1051" s="15" t="s">
        <v>4287</v>
      </c>
      <c r="B1051" s="15" t="s">
        <v>4290</v>
      </c>
      <c r="C1051" s="54">
        <v>62.626914999999997</v>
      </c>
      <c r="D1051" s="26">
        <v>5.8333333333333327E-2</v>
      </c>
      <c r="E1051" s="55">
        <v>-23.352288999999999</v>
      </c>
      <c r="F1051" s="55">
        <v>-46.181894</v>
      </c>
      <c r="G1051" s="55">
        <v>-23.414439999999999</v>
      </c>
      <c r="H1051" s="55">
        <v>-46.365566999999999</v>
      </c>
      <c r="I1051" s="55">
        <v>-23.512460999999998</v>
      </c>
      <c r="J1051" s="55">
        <v>-46.679355999999999</v>
      </c>
      <c r="L1051" s="61" t="str">
        <f t="shared" si="17"/>
        <v>Cliente17-Cliente20</v>
      </c>
      <c r="M1051">
        <v>62.626914999999997</v>
      </c>
    </row>
    <row r="1052" spans="1:13" x14ac:dyDescent="0.25">
      <c r="A1052" s="15" t="s">
        <v>4287</v>
      </c>
      <c r="B1052" s="15" t="s">
        <v>4291</v>
      </c>
      <c r="C1052" s="52">
        <v>62.233586000000003</v>
      </c>
      <c r="D1052" s="25">
        <v>5.8333333333333327E-2</v>
      </c>
      <c r="E1052" s="53">
        <v>-23.351769999999998</v>
      </c>
      <c r="F1052" s="53">
        <v>-46.197811999999999</v>
      </c>
      <c r="G1052" s="53">
        <v>-23.469995999999998</v>
      </c>
      <c r="H1052" s="53">
        <v>-46.514377000000003</v>
      </c>
      <c r="I1052" s="53">
        <v>-23.507998000000001</v>
      </c>
      <c r="J1052" s="53">
        <v>-46.719386999999998</v>
      </c>
      <c r="L1052" s="61" t="str">
        <f t="shared" si="17"/>
        <v>Cliente17-Cliente21</v>
      </c>
      <c r="M1052">
        <v>62.233586000000003</v>
      </c>
    </row>
    <row r="1053" spans="1:13" x14ac:dyDescent="0.25">
      <c r="A1053" s="15" t="s">
        <v>4287</v>
      </c>
      <c r="B1053" s="15" t="s">
        <v>4292</v>
      </c>
      <c r="C1053" s="54">
        <v>58.944038999999997</v>
      </c>
      <c r="D1053" s="26">
        <v>5.5555555555555552E-2</v>
      </c>
      <c r="E1053" s="55">
        <v>-23.352288999999999</v>
      </c>
      <c r="F1053" s="55">
        <v>-46.181894</v>
      </c>
      <c r="G1053" s="55">
        <v>-23.414439999999999</v>
      </c>
      <c r="H1053" s="55">
        <v>-46.365566999999999</v>
      </c>
      <c r="I1053" s="55">
        <v>-23.513604999999998</v>
      </c>
      <c r="J1053" s="55">
        <v>-46.673636999999999</v>
      </c>
      <c r="L1053" s="61" t="str">
        <f t="shared" si="17"/>
        <v>Cliente17-Cliente22</v>
      </c>
      <c r="M1053">
        <v>58.944038999999997</v>
      </c>
    </row>
    <row r="1054" spans="1:13" x14ac:dyDescent="0.25">
      <c r="A1054" s="15" t="s">
        <v>4287</v>
      </c>
      <c r="B1054" s="15" t="s">
        <v>4293</v>
      </c>
      <c r="C1054" s="52">
        <v>67.382902000000001</v>
      </c>
      <c r="D1054" s="25">
        <v>6.5277777777777782E-2</v>
      </c>
      <c r="E1054" s="53">
        <v>-23.356815000000001</v>
      </c>
      <c r="F1054" s="53">
        <v>-46.206916999999997</v>
      </c>
      <c r="G1054" s="53">
        <v>-23.521878999999998</v>
      </c>
      <c r="H1054" s="53">
        <v>-46.585016000000003</v>
      </c>
      <c r="I1054" s="53">
        <v>-23.519048999999999</v>
      </c>
      <c r="J1054" s="53">
        <v>-46.746738000000001</v>
      </c>
      <c r="L1054" s="61" t="str">
        <f t="shared" si="17"/>
        <v>Cliente17-Cliente23</v>
      </c>
      <c r="M1054">
        <v>67.382902000000001</v>
      </c>
    </row>
    <row r="1055" spans="1:13" x14ac:dyDescent="0.25">
      <c r="A1055" s="15" t="s">
        <v>4287</v>
      </c>
      <c r="B1055" s="15" t="s">
        <v>4294</v>
      </c>
      <c r="C1055" s="54">
        <v>62.227373</v>
      </c>
      <c r="D1055" s="26">
        <v>6.805555555555555E-2</v>
      </c>
      <c r="E1055" s="55">
        <v>-23.351959000000001</v>
      </c>
      <c r="F1055" s="55">
        <v>-46.199005</v>
      </c>
      <c r="G1055" s="55">
        <v>-23.491150000000001</v>
      </c>
      <c r="H1055" s="55">
        <v>-46.549478999999998</v>
      </c>
      <c r="I1055" s="55">
        <v>-23.550066999999999</v>
      </c>
      <c r="J1055" s="55">
        <v>-46.646569999999997</v>
      </c>
      <c r="L1055" s="61" t="str">
        <f t="shared" si="17"/>
        <v>Cliente17-Cliente24</v>
      </c>
      <c r="M1055">
        <v>62.227373</v>
      </c>
    </row>
    <row r="1056" spans="1:13" x14ac:dyDescent="0.25">
      <c r="A1056" s="15" t="s">
        <v>4287</v>
      </c>
      <c r="B1056" s="15" t="s">
        <v>4295</v>
      </c>
      <c r="C1056" s="52">
        <v>64.650726000000006</v>
      </c>
      <c r="D1056" s="25">
        <v>7.3611111111111113E-2</v>
      </c>
      <c r="E1056" s="53">
        <v>-23.369153000000001</v>
      </c>
      <c r="F1056" s="53">
        <v>-46.236646999999998</v>
      </c>
      <c r="G1056" s="53">
        <v>-23.538167000000001</v>
      </c>
      <c r="H1056" s="53">
        <v>-46.582312000000002</v>
      </c>
      <c r="I1056" s="53">
        <v>-23.573352</v>
      </c>
      <c r="J1056" s="53">
        <v>-46.712840999999997</v>
      </c>
      <c r="L1056" s="61" t="str">
        <f t="shared" si="17"/>
        <v>Cliente17-Cliente25</v>
      </c>
      <c r="M1056">
        <v>64.650726000000006</v>
      </c>
    </row>
    <row r="1057" spans="1:13" x14ac:dyDescent="0.25">
      <c r="A1057" s="15" t="s">
        <v>4287</v>
      </c>
      <c r="B1057" s="15" t="s">
        <v>4296</v>
      </c>
      <c r="C1057" s="54">
        <v>71.339804000000001</v>
      </c>
      <c r="D1057" s="26">
        <v>6.6666666666666666E-2</v>
      </c>
      <c r="E1057" s="55">
        <v>-23.371203000000001</v>
      </c>
      <c r="F1057" s="55">
        <v>-46.242761000000002</v>
      </c>
      <c r="G1057" s="55">
        <v>-23.518393</v>
      </c>
      <c r="H1057" s="55">
        <v>-46.620145999999998</v>
      </c>
      <c r="I1057" s="55">
        <v>-23.516992999999999</v>
      </c>
      <c r="J1057" s="55">
        <v>-46.813755999999998</v>
      </c>
      <c r="L1057" s="61" t="str">
        <f t="shared" si="17"/>
        <v>Cliente17-Cliente26</v>
      </c>
      <c r="M1057">
        <v>71.339804000000001</v>
      </c>
    </row>
    <row r="1058" spans="1:13" x14ac:dyDescent="0.25">
      <c r="A1058" s="15" t="s">
        <v>4287</v>
      </c>
      <c r="B1058" s="15" t="s">
        <v>4297</v>
      </c>
      <c r="C1058" s="52">
        <v>64.054209</v>
      </c>
      <c r="D1058" s="25">
        <v>7.013888888888889E-2</v>
      </c>
      <c r="E1058" s="53">
        <v>-23.357271000000001</v>
      </c>
      <c r="F1058" s="53">
        <v>-46.208392000000003</v>
      </c>
      <c r="G1058" s="53">
        <v>-23.521946</v>
      </c>
      <c r="H1058" s="53">
        <v>-46.585498999999999</v>
      </c>
      <c r="I1058" s="53">
        <v>-23.558585000000001</v>
      </c>
      <c r="J1058" s="53">
        <v>-46.668680000000002</v>
      </c>
      <c r="L1058" s="61" t="str">
        <f t="shared" si="17"/>
        <v>Cliente17-Cliente27</v>
      </c>
      <c r="M1058">
        <v>64.054209</v>
      </c>
    </row>
    <row r="1059" spans="1:13" x14ac:dyDescent="0.25">
      <c r="A1059" s="15" t="s">
        <v>4287</v>
      </c>
      <c r="B1059" s="15" t="s">
        <v>4298</v>
      </c>
      <c r="C1059" s="54">
        <v>63.841698999999998</v>
      </c>
      <c r="D1059" s="26">
        <v>6.5277777777777782E-2</v>
      </c>
      <c r="E1059" s="55">
        <v>-23.35596</v>
      </c>
      <c r="F1059" s="55">
        <v>-46.205297000000002</v>
      </c>
      <c r="G1059" s="55">
        <v>-23.510269000000001</v>
      </c>
      <c r="H1059" s="55">
        <v>-46.574229000000003</v>
      </c>
      <c r="I1059" s="55">
        <v>-23.574010000000001</v>
      </c>
      <c r="J1059" s="55">
        <v>-46.641289</v>
      </c>
      <c r="L1059" s="61" t="str">
        <f t="shared" si="17"/>
        <v>Cliente17-Cliente28</v>
      </c>
      <c r="M1059">
        <v>63.841698999999998</v>
      </c>
    </row>
    <row r="1060" spans="1:13" x14ac:dyDescent="0.25">
      <c r="A1060" s="15" t="s">
        <v>4287</v>
      </c>
      <c r="B1060" s="15" t="s">
        <v>4299</v>
      </c>
      <c r="C1060" s="52">
        <v>61.426423</v>
      </c>
      <c r="D1060" s="25">
        <v>6.0416666666666667E-2</v>
      </c>
      <c r="E1060" s="53">
        <v>-23.352374999999999</v>
      </c>
      <c r="F1060" s="53">
        <v>-46.183948999999998</v>
      </c>
      <c r="G1060" s="53">
        <v>-23.432136</v>
      </c>
      <c r="H1060" s="53">
        <v>-46.419510000000002</v>
      </c>
      <c r="I1060" s="53">
        <v>-23.584713000000001</v>
      </c>
      <c r="J1060" s="53">
        <v>-46.582464999999999</v>
      </c>
      <c r="L1060" s="61" t="str">
        <f t="shared" si="17"/>
        <v>Cliente17-Cliente29</v>
      </c>
      <c r="M1060">
        <v>61.426423</v>
      </c>
    </row>
    <row r="1061" spans="1:13" x14ac:dyDescent="0.25">
      <c r="A1061" s="15" t="s">
        <v>4287</v>
      </c>
      <c r="B1061" s="15" t="s">
        <v>4300</v>
      </c>
      <c r="C1061" s="54">
        <v>62.488348999999999</v>
      </c>
      <c r="D1061" s="26">
        <v>5.4166666666666669E-2</v>
      </c>
      <c r="E1061" s="55">
        <v>-23.362981999999999</v>
      </c>
      <c r="F1061" s="55">
        <v>-46.128411</v>
      </c>
      <c r="G1061" s="55">
        <v>-23.486440000000002</v>
      </c>
      <c r="H1061" s="55">
        <v>-46.330990999999997</v>
      </c>
      <c r="I1061" s="55">
        <v>-23.687427</v>
      </c>
      <c r="J1061" s="55">
        <v>-46.405068999999997</v>
      </c>
      <c r="L1061" s="61" t="str">
        <f t="shared" si="17"/>
        <v>Cliente17-Cliente30</v>
      </c>
      <c r="M1061">
        <v>62.488348999999999</v>
      </c>
    </row>
    <row r="1062" spans="1:13" x14ac:dyDescent="0.25">
      <c r="A1062" s="15" t="s">
        <v>4287</v>
      </c>
      <c r="B1062" s="15" t="s">
        <v>4301</v>
      </c>
      <c r="C1062" s="52">
        <v>65.342314000000002</v>
      </c>
      <c r="D1062" s="25">
        <v>6.3194444444444442E-2</v>
      </c>
      <c r="E1062" s="53">
        <v>-23.357271000000001</v>
      </c>
      <c r="F1062" s="53">
        <v>-46.208392000000003</v>
      </c>
      <c r="G1062" s="53">
        <v>-23.529266</v>
      </c>
      <c r="H1062" s="53">
        <v>-46.591303000000003</v>
      </c>
      <c r="I1062" s="53">
        <v>-23.520741999999998</v>
      </c>
      <c r="J1062" s="53">
        <v>-46.747970000000002</v>
      </c>
      <c r="L1062" s="61" t="str">
        <f t="shared" si="17"/>
        <v>Cliente17-Cliente31</v>
      </c>
      <c r="M1062">
        <v>65.342314000000002</v>
      </c>
    </row>
    <row r="1063" spans="1:13" x14ac:dyDescent="0.25">
      <c r="A1063" s="15" t="s">
        <v>4287</v>
      </c>
      <c r="B1063" s="15" t="s">
        <v>4302</v>
      </c>
      <c r="C1063" s="54">
        <v>60.373196</v>
      </c>
      <c r="D1063" s="26">
        <v>5.6250000000000001E-2</v>
      </c>
      <c r="E1063" s="55">
        <v>-23.348134000000002</v>
      </c>
      <c r="F1063" s="55">
        <v>-46.169055999999998</v>
      </c>
      <c r="G1063" s="55">
        <v>-23.412445000000002</v>
      </c>
      <c r="H1063" s="55">
        <v>-46.359893</v>
      </c>
      <c r="I1063" s="55">
        <v>-23.516408999999999</v>
      </c>
      <c r="J1063" s="55">
        <v>-46.654031000000003</v>
      </c>
      <c r="L1063" s="61" t="str">
        <f t="shared" si="17"/>
        <v>Cliente17-Cliente32</v>
      </c>
      <c r="M1063">
        <v>60.373196</v>
      </c>
    </row>
    <row r="1064" spans="1:13" x14ac:dyDescent="0.25">
      <c r="A1064" s="15" t="s">
        <v>4287</v>
      </c>
      <c r="B1064" s="15" t="s">
        <v>4303</v>
      </c>
      <c r="C1064" s="52">
        <v>50.439310999999996</v>
      </c>
      <c r="D1064" s="25">
        <v>4.5833333333333337E-2</v>
      </c>
      <c r="E1064" s="53">
        <v>-23.321603</v>
      </c>
      <c r="F1064" s="53">
        <v>-46.097622000000001</v>
      </c>
      <c r="G1064" s="53">
        <v>-23.383317999999999</v>
      </c>
      <c r="H1064" s="53">
        <v>-46.263420000000004</v>
      </c>
      <c r="I1064" s="53">
        <v>-23.477363</v>
      </c>
      <c r="J1064" s="53">
        <v>-46.528300999999999</v>
      </c>
      <c r="L1064" s="61" t="str">
        <f t="shared" si="17"/>
        <v>Cliente17-Cliente33</v>
      </c>
      <c r="M1064">
        <v>50.439310999999996</v>
      </c>
    </row>
    <row r="1065" spans="1:13" x14ac:dyDescent="0.25">
      <c r="A1065" s="15" t="s">
        <v>4287</v>
      </c>
      <c r="B1065" s="15" t="s">
        <v>4304</v>
      </c>
      <c r="C1065" s="54">
        <v>70.049834000000004</v>
      </c>
      <c r="D1065" s="26">
        <v>6.805555555555555E-2</v>
      </c>
      <c r="E1065" s="55">
        <v>-23.370636000000001</v>
      </c>
      <c r="F1065" s="55">
        <v>-46.242131999999998</v>
      </c>
      <c r="G1065" s="55">
        <v>-23.518471999999999</v>
      </c>
      <c r="H1065" s="55">
        <v>-46.617952000000002</v>
      </c>
      <c r="I1065" s="55">
        <v>-23.506929</v>
      </c>
      <c r="J1065" s="55">
        <v>-46.830860000000001</v>
      </c>
      <c r="L1065" s="61" t="str">
        <f t="shared" si="17"/>
        <v>Cliente17-Cliente34</v>
      </c>
      <c r="M1065">
        <v>70.049834000000004</v>
      </c>
    </row>
    <row r="1066" spans="1:13" x14ac:dyDescent="0.25">
      <c r="A1066" s="15" t="s">
        <v>4287</v>
      </c>
      <c r="B1066" s="15" t="s">
        <v>4305</v>
      </c>
      <c r="C1066" s="52">
        <v>70.645730999999998</v>
      </c>
      <c r="D1066" s="25">
        <v>6.805555555555555E-2</v>
      </c>
      <c r="E1066" s="53">
        <v>-23.369409999999998</v>
      </c>
      <c r="F1066" s="53">
        <v>-46.239449999999998</v>
      </c>
      <c r="G1066" s="53">
        <v>-23.522652000000001</v>
      </c>
      <c r="H1066" s="53">
        <v>-46.610137999999999</v>
      </c>
      <c r="I1066" s="53">
        <v>-23.512758999999999</v>
      </c>
      <c r="J1066" s="53">
        <v>-46.798164999999997</v>
      </c>
      <c r="L1066" s="61" t="str">
        <f t="shared" si="17"/>
        <v>Cliente17-Cliente35</v>
      </c>
      <c r="M1066">
        <v>70.645730999999998</v>
      </c>
    </row>
    <row r="1067" spans="1:13" x14ac:dyDescent="0.25">
      <c r="A1067" s="15" t="s">
        <v>4287</v>
      </c>
      <c r="B1067" s="15" t="s">
        <v>4306</v>
      </c>
      <c r="C1067" s="54">
        <v>179.34557000000001</v>
      </c>
      <c r="D1067" s="26">
        <v>0.1451388888888889</v>
      </c>
      <c r="E1067" s="55">
        <v>-23.17944</v>
      </c>
      <c r="F1067" s="55">
        <v>-46.312285000000003</v>
      </c>
      <c r="G1067" s="55">
        <v>-22.960808</v>
      </c>
      <c r="H1067" s="55">
        <v>-46.848519000000003</v>
      </c>
      <c r="I1067" s="55">
        <v>-22.559887</v>
      </c>
      <c r="J1067" s="55">
        <v>-47.366543999999998</v>
      </c>
      <c r="L1067" s="61" t="str">
        <f t="shared" si="17"/>
        <v>Cliente17-Cliente36</v>
      </c>
      <c r="M1067">
        <v>179.34557000000001</v>
      </c>
    </row>
    <row r="1068" spans="1:13" x14ac:dyDescent="0.25">
      <c r="A1068" s="15" t="s">
        <v>4287</v>
      </c>
      <c r="B1068" s="15" t="s">
        <v>4307</v>
      </c>
      <c r="C1068" s="52">
        <v>178.24884700000001</v>
      </c>
      <c r="D1068" s="25">
        <v>0.14375000000000002</v>
      </c>
      <c r="E1068" s="53">
        <v>-23.178464999999999</v>
      </c>
      <c r="F1068" s="53">
        <v>-46.314211999999998</v>
      </c>
      <c r="G1068" s="53">
        <v>-22.948468999999999</v>
      </c>
      <c r="H1068" s="53">
        <v>-46.868358999999998</v>
      </c>
      <c r="I1068" s="53">
        <v>-22.519418999999999</v>
      </c>
      <c r="J1068" s="53">
        <v>-47.393290999999998</v>
      </c>
      <c r="L1068" s="61" t="str">
        <f t="shared" si="17"/>
        <v>Cliente17-Cliente37</v>
      </c>
      <c r="M1068">
        <v>178.24884700000001</v>
      </c>
    </row>
    <row r="1069" spans="1:13" x14ac:dyDescent="0.25">
      <c r="A1069" s="15" t="s">
        <v>4287</v>
      </c>
      <c r="B1069" s="15" t="s">
        <v>4308</v>
      </c>
      <c r="C1069" s="54">
        <v>176.472343</v>
      </c>
      <c r="D1069" s="26">
        <v>0.14166666666666666</v>
      </c>
      <c r="E1069" s="55">
        <v>-23.182054999999998</v>
      </c>
      <c r="F1069" s="55">
        <v>-46.308515</v>
      </c>
      <c r="G1069" s="55">
        <v>-22.974824999999999</v>
      </c>
      <c r="H1069" s="55">
        <v>-46.834828999999999</v>
      </c>
      <c r="I1069" s="55">
        <v>-22.592675</v>
      </c>
      <c r="J1069" s="55">
        <v>-47.366796999999998</v>
      </c>
      <c r="L1069" s="61" t="str">
        <f t="shared" si="17"/>
        <v>Cliente17-Cliente38</v>
      </c>
      <c r="M1069">
        <v>176.472343</v>
      </c>
    </row>
    <row r="1070" spans="1:13" x14ac:dyDescent="0.25">
      <c r="A1070" s="15" t="s">
        <v>4287</v>
      </c>
      <c r="B1070" s="15" t="s">
        <v>4309</v>
      </c>
      <c r="C1070" s="52">
        <v>30.082518</v>
      </c>
      <c r="D1070" s="25">
        <v>3.125E-2</v>
      </c>
      <c r="E1070" s="53">
        <v>-23.235676999999999</v>
      </c>
      <c r="F1070" s="53">
        <v>-45.916519000000001</v>
      </c>
      <c r="G1070" s="53">
        <v>-23.047127</v>
      </c>
      <c r="H1070" s="53">
        <v>-45.592542999999999</v>
      </c>
      <c r="I1070" s="53">
        <v>-23.030045999999999</v>
      </c>
      <c r="J1070" s="53">
        <v>-45.554119999999998</v>
      </c>
      <c r="L1070" s="61" t="str">
        <f t="shared" si="17"/>
        <v>Cliente17-Cliente39</v>
      </c>
      <c r="M1070">
        <v>30.082518</v>
      </c>
    </row>
    <row r="1071" spans="1:13" x14ac:dyDescent="0.25">
      <c r="A1071" s="15" t="s">
        <v>4287</v>
      </c>
      <c r="B1071" s="15" t="s">
        <v>4310</v>
      </c>
      <c r="C1071" s="54">
        <v>31.644027999999999</v>
      </c>
      <c r="D1071" s="26">
        <v>3.4722222222222224E-2</v>
      </c>
      <c r="E1071" s="55">
        <v>-23.233892999999998</v>
      </c>
      <c r="F1071" s="55">
        <v>-45.914718999999998</v>
      </c>
      <c r="G1071" s="55">
        <v>-23.037689</v>
      </c>
      <c r="H1071" s="55">
        <v>-45.557670000000002</v>
      </c>
      <c r="I1071" s="55">
        <v>-23.026267000000001</v>
      </c>
      <c r="J1071" s="55">
        <v>-45.558019000000002</v>
      </c>
      <c r="L1071" s="61" t="str">
        <f t="shared" si="17"/>
        <v>Cliente17-Cliente40</v>
      </c>
      <c r="M1071">
        <v>31.644027999999999</v>
      </c>
    </row>
    <row r="1072" spans="1:13" x14ac:dyDescent="0.25">
      <c r="A1072" s="15" t="s">
        <v>4287</v>
      </c>
      <c r="B1072" s="15" t="s">
        <v>4311</v>
      </c>
      <c r="C1072" s="52">
        <v>20.937775999999999</v>
      </c>
      <c r="D1072" s="25">
        <v>2.4999999999999998E-2</v>
      </c>
      <c r="E1072" s="53">
        <v>-23.235095999999999</v>
      </c>
      <c r="F1072" s="53">
        <v>-45.915996999999997</v>
      </c>
      <c r="G1072" s="53">
        <v>-23.110762999999999</v>
      </c>
      <c r="H1072" s="53">
        <v>-45.703321000000003</v>
      </c>
      <c r="I1072" s="53">
        <v>-23.086368</v>
      </c>
      <c r="J1072" s="53">
        <v>-45.707968999999999</v>
      </c>
      <c r="L1072" s="61" t="str">
        <f t="shared" si="17"/>
        <v>Cliente17-Cliente41</v>
      </c>
      <c r="M1072">
        <v>20.937775999999999</v>
      </c>
    </row>
    <row r="1073" spans="1:13" x14ac:dyDescent="0.25">
      <c r="A1073" s="15" t="s">
        <v>4287</v>
      </c>
      <c r="B1073" s="15" t="s">
        <v>4312</v>
      </c>
      <c r="C1073" s="54">
        <v>17.650092999999998</v>
      </c>
      <c r="D1073" s="26">
        <v>1.8055555555555557E-2</v>
      </c>
      <c r="E1073" s="55">
        <v>-23.234738</v>
      </c>
      <c r="F1073" s="55">
        <v>-45.916215999999999</v>
      </c>
      <c r="G1073" s="55">
        <v>-23.233696999999999</v>
      </c>
      <c r="H1073" s="55">
        <v>-45.914658000000003</v>
      </c>
      <c r="I1073" s="55">
        <v>-23.113437000000001</v>
      </c>
      <c r="J1073" s="55">
        <v>-45.708486999999998</v>
      </c>
      <c r="L1073" s="61" t="str">
        <f t="shared" si="17"/>
        <v>Cliente17-Cliente42</v>
      </c>
      <c r="M1073">
        <v>17.650092999999998</v>
      </c>
    </row>
    <row r="1074" spans="1:13" x14ac:dyDescent="0.25">
      <c r="A1074" s="15" t="s">
        <v>4287</v>
      </c>
      <c r="B1074" s="15" t="s">
        <v>4313</v>
      </c>
      <c r="C1074" s="52">
        <v>36.324207000000001</v>
      </c>
      <c r="D1074" s="25">
        <v>3.6805555555555557E-2</v>
      </c>
      <c r="E1074" s="53" t="s">
        <v>7291</v>
      </c>
      <c r="F1074" s="53">
        <v>-45.913867000000003</v>
      </c>
      <c r="G1074" s="53">
        <v>-23.014900999999998</v>
      </c>
      <c r="H1074" s="53">
        <v>-45.52487</v>
      </c>
      <c r="I1074" s="53">
        <v>-22.984719999999999</v>
      </c>
      <c r="J1074" s="53">
        <v>-45.518174999999999</v>
      </c>
      <c r="L1074" s="61" t="str">
        <f t="shared" si="17"/>
        <v>Cliente17-Cliente43</v>
      </c>
      <c r="M1074">
        <v>36.324207000000001</v>
      </c>
    </row>
    <row r="1075" spans="1:13" x14ac:dyDescent="0.25">
      <c r="A1075" s="15" t="s">
        <v>4287</v>
      </c>
      <c r="B1075" s="15" t="s">
        <v>4314</v>
      </c>
      <c r="C1075" s="54">
        <v>123.351809</v>
      </c>
      <c r="D1075" s="26">
        <v>0.10694444444444444</v>
      </c>
      <c r="E1075" s="55">
        <v>-23.406993</v>
      </c>
      <c r="F1075" s="55">
        <v>-46.336984999999999</v>
      </c>
      <c r="G1075" s="55">
        <v>-23.524422999999999</v>
      </c>
      <c r="H1075" s="55">
        <v>-46.751249999999999</v>
      </c>
      <c r="I1075" s="55">
        <v>-23.422595999999999</v>
      </c>
      <c r="J1075" s="55">
        <v>-47.244655999999999</v>
      </c>
      <c r="L1075" s="61" t="str">
        <f t="shared" si="17"/>
        <v>Cliente17-Cliente44</v>
      </c>
      <c r="M1075">
        <v>123.351809</v>
      </c>
    </row>
    <row r="1076" spans="1:13" x14ac:dyDescent="0.25">
      <c r="A1076" s="15" t="s">
        <v>4287</v>
      </c>
      <c r="B1076" s="15" t="s">
        <v>4315</v>
      </c>
      <c r="C1076" s="52">
        <v>120.84581300000001</v>
      </c>
      <c r="D1076" s="25">
        <v>0.11319444444444444</v>
      </c>
      <c r="E1076" s="53">
        <v>-23.503941999999999</v>
      </c>
      <c r="F1076" s="53">
        <v>-46.567698</v>
      </c>
      <c r="G1076" s="53">
        <v>-23.471340999999999</v>
      </c>
      <c r="H1076" s="53">
        <v>-47.009990000000002</v>
      </c>
      <c r="I1076" s="53">
        <v>-23.494945999999999</v>
      </c>
      <c r="J1076" s="53">
        <v>-47.395180000000003</v>
      </c>
      <c r="L1076" s="61" t="str">
        <f t="shared" si="17"/>
        <v>Cliente17-Cliente45</v>
      </c>
      <c r="M1076">
        <v>120.84581300000001</v>
      </c>
    </row>
    <row r="1077" spans="1:13" x14ac:dyDescent="0.25">
      <c r="A1077" s="15" t="s">
        <v>4287</v>
      </c>
      <c r="B1077" s="15" t="s">
        <v>4316</v>
      </c>
      <c r="C1077" s="54">
        <v>112.073894</v>
      </c>
      <c r="D1077" s="26">
        <v>0.1013888888888889</v>
      </c>
      <c r="E1077" s="55">
        <v>-23.402591000000001</v>
      </c>
      <c r="F1077" s="55">
        <v>-46.318618000000001</v>
      </c>
      <c r="G1077" s="55">
        <v>-23.516981000000001</v>
      </c>
      <c r="H1077" s="55">
        <v>-46.741700000000002</v>
      </c>
      <c r="I1077" s="55">
        <v>-23.428642</v>
      </c>
      <c r="J1077" s="55">
        <v>-47.139099000000002</v>
      </c>
      <c r="L1077" s="61" t="str">
        <f t="shared" si="17"/>
        <v>Cliente17-Cliente46</v>
      </c>
      <c r="M1077">
        <v>112.073894</v>
      </c>
    </row>
    <row r="1078" spans="1:13" x14ac:dyDescent="0.25">
      <c r="A1078" s="15" t="s">
        <v>4287</v>
      </c>
      <c r="B1078" s="15" t="s">
        <v>4317</v>
      </c>
      <c r="C1078" s="52">
        <v>225.80188200000001</v>
      </c>
      <c r="D1078" s="25">
        <v>0.17986111111111111</v>
      </c>
      <c r="E1078" s="53">
        <v>-23.18534</v>
      </c>
      <c r="F1078" s="53">
        <v>-46.328203000000002</v>
      </c>
      <c r="G1078" s="53">
        <v>-22.933223000000002</v>
      </c>
      <c r="H1078" s="53">
        <v>-46.899517000000003</v>
      </c>
      <c r="I1078" s="53">
        <v>-22.414328999999999</v>
      </c>
      <c r="J1078" s="53">
        <v>-47.389870999999999</v>
      </c>
      <c r="L1078" s="61" t="str">
        <f t="shared" si="17"/>
        <v>Cliente17-Cliente47</v>
      </c>
      <c r="M1078">
        <v>225.80188200000001</v>
      </c>
    </row>
    <row r="1079" spans="1:13" x14ac:dyDescent="0.25">
      <c r="A1079" s="15" t="s">
        <v>4287</v>
      </c>
      <c r="B1079" s="15" t="s">
        <v>4318</v>
      </c>
      <c r="C1079" s="54">
        <v>234.91307</v>
      </c>
      <c r="D1079" s="26">
        <v>0.18819444444444444</v>
      </c>
      <c r="E1079" s="55">
        <v>-23.188939000000001</v>
      </c>
      <c r="F1079" s="55">
        <v>-46.358466999999997</v>
      </c>
      <c r="G1079" s="55">
        <v>-22.912369999999999</v>
      </c>
      <c r="H1079" s="55">
        <v>-46.951013000000003</v>
      </c>
      <c r="I1079" s="55">
        <v>-22.228012</v>
      </c>
      <c r="J1079" s="55">
        <v>-47.391337</v>
      </c>
      <c r="L1079" s="61" t="str">
        <f t="shared" si="17"/>
        <v>Cliente17-Cliente48</v>
      </c>
      <c r="M1079">
        <v>234.91307</v>
      </c>
    </row>
    <row r="1080" spans="1:13" x14ac:dyDescent="0.25">
      <c r="A1080" s="15" t="s">
        <v>4287</v>
      </c>
      <c r="B1080" s="15" t="s">
        <v>4319</v>
      </c>
      <c r="C1080" s="52">
        <v>228.55083500000001</v>
      </c>
      <c r="D1080" s="25">
        <v>0.18402777777777779</v>
      </c>
      <c r="E1080" s="53">
        <v>-23.193853000000001</v>
      </c>
      <c r="F1080" s="53">
        <v>-46.346238999999997</v>
      </c>
      <c r="G1080" s="53">
        <v>-22.927803999999998</v>
      </c>
      <c r="H1080" s="53">
        <v>-46.941397000000002</v>
      </c>
      <c r="I1080" s="53">
        <v>-22.283814</v>
      </c>
      <c r="J1080" s="53">
        <v>-47.393318000000001</v>
      </c>
      <c r="L1080" s="61" t="str">
        <f t="shared" si="17"/>
        <v>Cliente17-Cliente49</v>
      </c>
      <c r="M1080">
        <v>228.55083500000001</v>
      </c>
    </row>
    <row r="1081" spans="1:13" x14ac:dyDescent="0.25">
      <c r="A1081" s="15" t="s">
        <v>4287</v>
      </c>
      <c r="B1081" s="15" t="s">
        <v>4320</v>
      </c>
      <c r="C1081" s="54">
        <v>259.472827</v>
      </c>
      <c r="D1081" s="26">
        <v>0.20972222222222223</v>
      </c>
      <c r="E1081" s="55">
        <v>-23.168806</v>
      </c>
      <c r="F1081" s="55">
        <v>-46.442475000000002</v>
      </c>
      <c r="G1081" s="55">
        <v>-22.728777000000001</v>
      </c>
      <c r="H1081" s="55">
        <v>-47.291719000000001</v>
      </c>
      <c r="I1081" s="55">
        <v>-22.272417000000001</v>
      </c>
      <c r="J1081" s="55">
        <v>-48.122405999999998</v>
      </c>
      <c r="L1081" s="61" t="str">
        <f t="shared" si="17"/>
        <v>Cliente17-Cliente50</v>
      </c>
      <c r="M1081">
        <v>259.472827</v>
      </c>
    </row>
    <row r="1082" spans="1:13" x14ac:dyDescent="0.25">
      <c r="A1082" s="15" t="s">
        <v>4287</v>
      </c>
      <c r="B1082" s="15" t="s">
        <v>4321</v>
      </c>
      <c r="C1082" s="52">
        <v>253.12799000000001</v>
      </c>
      <c r="D1082" s="25">
        <v>0.20555555555555557</v>
      </c>
      <c r="E1082" s="53">
        <v>-23.165593999999999</v>
      </c>
      <c r="F1082" s="53">
        <v>-46.405121999999999</v>
      </c>
      <c r="G1082" s="53">
        <v>-22.814350999999998</v>
      </c>
      <c r="H1082" s="53">
        <v>-47.208008999999997</v>
      </c>
      <c r="I1082" s="53">
        <v>-22.263739999999999</v>
      </c>
      <c r="J1082" s="53">
        <v>-47.903030000000001</v>
      </c>
      <c r="L1082" s="61" t="str">
        <f t="shared" si="17"/>
        <v>Cliente17-Cliente51</v>
      </c>
      <c r="M1082">
        <v>253.12799000000001</v>
      </c>
    </row>
    <row r="1083" spans="1:13" x14ac:dyDescent="0.25">
      <c r="A1083" s="15" t="s">
        <v>4288</v>
      </c>
      <c r="B1083" s="15" t="s">
        <v>4268</v>
      </c>
      <c r="C1083" s="54">
        <v>122.25322199999999</v>
      </c>
      <c r="D1083" s="26">
        <v>0.10555555555555556</v>
      </c>
      <c r="E1083" s="55">
        <v>-23.359231999999999</v>
      </c>
      <c r="F1083" s="55">
        <v>-46.21658</v>
      </c>
      <c r="G1083" s="55">
        <v>-23.509692999999999</v>
      </c>
      <c r="H1083" s="55">
        <v>-46.683678</v>
      </c>
      <c r="I1083" s="55">
        <v>-23.438979</v>
      </c>
      <c r="J1083" s="55">
        <v>-47.065905000000001</v>
      </c>
      <c r="L1083" s="61" t="str">
        <f t="shared" si="17"/>
        <v>Cliente18-depósito A</v>
      </c>
      <c r="M1083">
        <v>122.25322199999999</v>
      </c>
    </row>
    <row r="1084" spans="1:13" x14ac:dyDescent="0.25">
      <c r="A1084" s="15" t="s">
        <v>4288</v>
      </c>
      <c r="B1084" s="15" t="s">
        <v>4269</v>
      </c>
      <c r="C1084" s="52">
        <v>212.341084</v>
      </c>
      <c r="D1084" s="25">
        <v>0.17083333333333331</v>
      </c>
      <c r="E1084" s="53">
        <v>-23.175356000000001</v>
      </c>
      <c r="F1084" s="53">
        <v>-46.252940000000002</v>
      </c>
      <c r="G1084" s="53">
        <v>-22.988848999999998</v>
      </c>
      <c r="H1084" s="53">
        <v>-46.801557000000003</v>
      </c>
      <c r="I1084" s="53">
        <v>-22.562927999999999</v>
      </c>
      <c r="J1084" s="53">
        <v>-47.365788999999999</v>
      </c>
      <c r="L1084" s="61" t="str">
        <f t="shared" si="17"/>
        <v>Cliente18-depósito B</v>
      </c>
      <c r="M1084">
        <v>212.341084</v>
      </c>
    </row>
    <row r="1085" spans="1:13" x14ac:dyDescent="0.25">
      <c r="A1085" s="15" t="s">
        <v>4288</v>
      </c>
      <c r="B1085" s="15" t="s">
        <v>4270</v>
      </c>
      <c r="C1085" s="54">
        <v>15.208098</v>
      </c>
      <c r="D1085" s="26">
        <v>1.9444444444444445E-2</v>
      </c>
      <c r="E1085" s="55">
        <v>-23.178466</v>
      </c>
      <c r="F1085" s="55">
        <v>-45.836371999999997</v>
      </c>
      <c r="G1085" s="55">
        <v>-23.178713999999999</v>
      </c>
      <c r="H1085" s="55">
        <v>-45.839430999999998</v>
      </c>
      <c r="I1085" s="55">
        <v>-23.279909</v>
      </c>
      <c r="J1085" s="55">
        <v>-45.982753000000002</v>
      </c>
      <c r="L1085" s="61" t="str">
        <f t="shared" si="17"/>
        <v>Cliente18-depósito C</v>
      </c>
      <c r="M1085">
        <v>15.208098</v>
      </c>
    </row>
    <row r="1086" spans="1:13" x14ac:dyDescent="0.25">
      <c r="A1086" s="15" t="s">
        <v>4288</v>
      </c>
      <c r="B1086" s="15" t="s">
        <v>4271</v>
      </c>
      <c r="C1086" s="52">
        <v>101.29183399999999</v>
      </c>
      <c r="D1086" s="25">
        <v>9.0972222222222218E-2</v>
      </c>
      <c r="E1086" s="53">
        <v>-23.222954999999999</v>
      </c>
      <c r="F1086" s="53">
        <v>-46.137562000000003</v>
      </c>
      <c r="G1086" s="53">
        <v>-23.168133999999998</v>
      </c>
      <c r="H1086" s="53">
        <v>-46.443272</v>
      </c>
      <c r="I1086" s="53">
        <v>-22.932721999999998</v>
      </c>
      <c r="J1086" s="53">
        <v>-46.932287000000002</v>
      </c>
      <c r="L1086" s="61" t="str">
        <f t="shared" si="17"/>
        <v>Cliente18-Cliente1</v>
      </c>
      <c r="M1086">
        <v>101.29183399999999</v>
      </c>
    </row>
    <row r="1087" spans="1:13" x14ac:dyDescent="0.25">
      <c r="A1087" s="15" t="s">
        <v>4288</v>
      </c>
      <c r="B1087" s="15" t="s">
        <v>4272</v>
      </c>
      <c r="C1087" s="54">
        <v>99.151826</v>
      </c>
      <c r="D1087" s="26">
        <v>8.6111111111111124E-2</v>
      </c>
      <c r="E1087" s="55">
        <v>-23.247315</v>
      </c>
      <c r="F1087" s="55">
        <v>-46.110433999999998</v>
      </c>
      <c r="G1087" s="55">
        <v>-23.177406000000001</v>
      </c>
      <c r="H1087" s="55">
        <v>-46.379396999999997</v>
      </c>
      <c r="I1087" s="55">
        <v>-22.98593</v>
      </c>
      <c r="J1087" s="55">
        <v>-46.814684</v>
      </c>
      <c r="L1087" s="61" t="str">
        <f t="shared" si="17"/>
        <v>Cliente18-Cliente2</v>
      </c>
      <c r="M1087">
        <v>99.151826</v>
      </c>
    </row>
    <row r="1088" spans="1:13" x14ac:dyDescent="0.25">
      <c r="A1088" s="15" t="s">
        <v>4288</v>
      </c>
      <c r="B1088" s="15" t="s">
        <v>4273</v>
      </c>
      <c r="C1088" s="52">
        <v>99.218312999999995</v>
      </c>
      <c r="D1088" s="25">
        <v>8.6805555555555566E-2</v>
      </c>
      <c r="E1088" s="53">
        <v>-23.235047000000002</v>
      </c>
      <c r="F1088" s="53">
        <v>-46.126479000000003</v>
      </c>
      <c r="G1088" s="53">
        <v>-23.167487999999999</v>
      </c>
      <c r="H1088" s="53">
        <v>-46.396408999999998</v>
      </c>
      <c r="I1088" s="53">
        <v>-22.935656999999999</v>
      </c>
      <c r="J1088" s="53">
        <v>-46.883384</v>
      </c>
      <c r="L1088" s="61" t="str">
        <f t="shared" si="17"/>
        <v>Cliente18-Cliente3</v>
      </c>
      <c r="M1088">
        <v>99.218312999999995</v>
      </c>
    </row>
    <row r="1089" spans="1:13" x14ac:dyDescent="0.25">
      <c r="A1089" s="15" t="s">
        <v>4288</v>
      </c>
      <c r="B1089" s="15" t="s">
        <v>4274</v>
      </c>
      <c r="C1089" s="54">
        <v>103.067717</v>
      </c>
      <c r="D1089" s="26">
        <v>8.7500000000000008E-2</v>
      </c>
      <c r="E1089" s="55">
        <v>-23.248332999999999</v>
      </c>
      <c r="F1089" s="55">
        <v>-46.108620999999999</v>
      </c>
      <c r="G1089" s="55">
        <v>-23.183751000000001</v>
      </c>
      <c r="H1089" s="55">
        <v>-46.372582000000001</v>
      </c>
      <c r="I1089" s="55">
        <v>-22.989374999999999</v>
      </c>
      <c r="J1089" s="55">
        <v>-46.800041</v>
      </c>
      <c r="L1089" s="61" t="str">
        <f t="shared" si="17"/>
        <v>Cliente18-Cliente4</v>
      </c>
      <c r="M1089">
        <v>103.067717</v>
      </c>
    </row>
    <row r="1090" spans="1:13" x14ac:dyDescent="0.25">
      <c r="A1090" s="15" t="s">
        <v>4288</v>
      </c>
      <c r="B1090" s="15" t="s">
        <v>4275</v>
      </c>
      <c r="C1090" s="52">
        <v>103.160923</v>
      </c>
      <c r="D1090" s="25">
        <v>8.7500000000000008E-2</v>
      </c>
      <c r="E1090" s="53">
        <v>-23.249168999999998</v>
      </c>
      <c r="F1090" s="53">
        <v>-46.107391999999997</v>
      </c>
      <c r="G1090" s="53">
        <v>-23.184756</v>
      </c>
      <c r="H1090" s="53">
        <v>-46.371231000000002</v>
      </c>
      <c r="I1090" s="53">
        <v>-23.000955000000001</v>
      </c>
      <c r="J1090" s="53">
        <v>-46.780441000000003</v>
      </c>
      <c r="L1090" s="61" t="str">
        <f t="shared" si="17"/>
        <v>Cliente18-Cliente5</v>
      </c>
      <c r="M1090">
        <v>103.160923</v>
      </c>
    </row>
    <row r="1091" spans="1:13" x14ac:dyDescent="0.25">
      <c r="A1091" s="15" t="s">
        <v>4288</v>
      </c>
      <c r="B1091" s="15" t="s">
        <v>4276</v>
      </c>
      <c r="C1091" s="54">
        <v>97.563597000000001</v>
      </c>
      <c r="D1091" s="26">
        <v>8.6111111111111124E-2</v>
      </c>
      <c r="E1091" s="55" t="s">
        <v>7299</v>
      </c>
      <c r="F1091" s="55">
        <v>-46.128891000000003</v>
      </c>
      <c r="G1091" s="55">
        <v>-23.165904999999999</v>
      </c>
      <c r="H1091" s="55">
        <v>-46.407074999999999</v>
      </c>
      <c r="I1091" s="55">
        <v>-22.935434000000001</v>
      </c>
      <c r="J1091" s="55">
        <v>-46.894119000000003</v>
      </c>
      <c r="L1091" s="61" t="str">
        <f t="shared" si="17"/>
        <v>Cliente18-Cliente6</v>
      </c>
      <c r="M1091">
        <v>97.563597000000001</v>
      </c>
    </row>
    <row r="1092" spans="1:13" x14ac:dyDescent="0.25">
      <c r="A1092" s="15" t="s">
        <v>4288</v>
      </c>
      <c r="B1092" s="15" t="s">
        <v>4277</v>
      </c>
      <c r="C1092" s="52">
        <v>102.21395099999999</v>
      </c>
      <c r="D1092" s="25">
        <v>9.0277777777777776E-2</v>
      </c>
      <c r="E1092" s="53">
        <v>-23.230509999999999</v>
      </c>
      <c r="F1092" s="53">
        <v>-46.130629999999996</v>
      </c>
      <c r="G1092" s="53">
        <v>-23.171050999999999</v>
      </c>
      <c r="H1092" s="53">
        <v>-46.427100000000003</v>
      </c>
      <c r="I1092" s="53">
        <v>-22.930403999999999</v>
      </c>
      <c r="J1092" s="53">
        <v>-46.903140999999998</v>
      </c>
      <c r="L1092" s="61" t="str">
        <f t="shared" si="17"/>
        <v>Cliente18-Cliente7</v>
      </c>
      <c r="M1092">
        <v>102.21395099999999</v>
      </c>
    </row>
    <row r="1093" spans="1:13" x14ac:dyDescent="0.25">
      <c r="A1093" s="15" t="s">
        <v>4288</v>
      </c>
      <c r="B1093" s="15" t="s">
        <v>4278</v>
      </c>
      <c r="C1093" s="54">
        <v>96.950303000000005</v>
      </c>
      <c r="D1093" s="26">
        <v>8.1944444444444445E-2</v>
      </c>
      <c r="E1093" s="55">
        <v>-23.257709999999999</v>
      </c>
      <c r="F1093" s="55">
        <v>-46.099505999999998</v>
      </c>
      <c r="G1093" s="55">
        <v>-23.186160999999998</v>
      </c>
      <c r="H1093" s="55">
        <v>-46.360508000000003</v>
      </c>
      <c r="I1093" s="55">
        <v>-23.012801</v>
      </c>
      <c r="J1093" s="55">
        <v>-46.763508999999999</v>
      </c>
      <c r="L1093" s="61" t="str">
        <f t="shared" si="17"/>
        <v>Cliente18-Cliente8</v>
      </c>
      <c r="M1093">
        <v>96.950303000000005</v>
      </c>
    </row>
    <row r="1094" spans="1:13" x14ac:dyDescent="0.25">
      <c r="A1094" s="15" t="s">
        <v>4288</v>
      </c>
      <c r="B1094" s="15" t="s">
        <v>4279</v>
      </c>
      <c r="C1094" s="52">
        <v>120.531398</v>
      </c>
      <c r="D1094" s="25">
        <v>0.10277777777777779</v>
      </c>
      <c r="E1094" s="53">
        <v>-23.233692000000001</v>
      </c>
      <c r="F1094" s="53">
        <v>-46.128157999999999</v>
      </c>
      <c r="G1094" s="53">
        <v>-23.165593999999999</v>
      </c>
      <c r="H1094" s="53">
        <v>-46.405121999999999</v>
      </c>
      <c r="I1094" s="53">
        <v>-22.934947000000001</v>
      </c>
      <c r="J1094" s="53">
        <v>-46.886237000000001</v>
      </c>
      <c r="L1094" s="61" t="str">
        <f t="shared" si="17"/>
        <v>Cliente18-Cliente9</v>
      </c>
      <c r="M1094">
        <v>120.531398</v>
      </c>
    </row>
    <row r="1095" spans="1:13" x14ac:dyDescent="0.25">
      <c r="A1095" s="15" t="s">
        <v>4288</v>
      </c>
      <c r="B1095" s="15" t="s">
        <v>4280</v>
      </c>
      <c r="C1095" s="54">
        <v>69.832975000000005</v>
      </c>
      <c r="D1095" s="26">
        <v>6.805555555555555E-2</v>
      </c>
      <c r="E1095" s="55">
        <v>-23.313414999999999</v>
      </c>
      <c r="F1095" s="55">
        <v>-46.065708999999998</v>
      </c>
      <c r="G1095" s="55">
        <v>-23.400100999999999</v>
      </c>
      <c r="H1095" s="55">
        <v>-46.303072</v>
      </c>
      <c r="I1095" s="55">
        <v>-23.518097000000001</v>
      </c>
      <c r="J1095" s="55">
        <v>-46.63944</v>
      </c>
      <c r="L1095" s="61" t="str">
        <f t="shared" si="17"/>
        <v>Cliente18-Cliente10</v>
      </c>
      <c r="M1095">
        <v>69.832975000000005</v>
      </c>
    </row>
    <row r="1096" spans="1:13" x14ac:dyDescent="0.25">
      <c r="A1096" s="15" t="s">
        <v>4288</v>
      </c>
      <c r="B1096" s="15" t="s">
        <v>4281</v>
      </c>
      <c r="C1096" s="52">
        <v>143.10959800000001</v>
      </c>
      <c r="D1096" s="25">
        <v>0.1173611111111111</v>
      </c>
      <c r="E1096" s="53">
        <v>-23.204695000000001</v>
      </c>
      <c r="F1096" s="53">
        <v>-46.160651000000001</v>
      </c>
      <c r="G1096" s="53">
        <v>-23.115354</v>
      </c>
      <c r="H1096" s="53">
        <v>-46.485554999999998</v>
      </c>
      <c r="I1096" s="53">
        <v>-22.912935999999998</v>
      </c>
      <c r="J1096" s="53">
        <v>-46.950387999999997</v>
      </c>
      <c r="L1096" s="61" t="str">
        <f t="shared" si="17"/>
        <v>Cliente18-Cliente11</v>
      </c>
      <c r="M1096">
        <v>143.10959800000001</v>
      </c>
    </row>
    <row r="1097" spans="1:13" x14ac:dyDescent="0.25">
      <c r="A1097" s="15" t="s">
        <v>4288</v>
      </c>
      <c r="B1097" s="15" t="s">
        <v>4282</v>
      </c>
      <c r="C1097" s="54">
        <v>20.012551999999999</v>
      </c>
      <c r="D1097" s="26">
        <v>2.361111111111111E-2</v>
      </c>
      <c r="E1097" s="55">
        <v>-23.180240000000001</v>
      </c>
      <c r="F1097" s="55">
        <v>-45.838262</v>
      </c>
      <c r="G1097" s="55">
        <v>-23.201257999999999</v>
      </c>
      <c r="H1097" s="55">
        <v>-45.880330000000001</v>
      </c>
      <c r="I1097" s="55">
        <v>-23.302105000000001</v>
      </c>
      <c r="J1097" s="55">
        <v>-46.023392000000001</v>
      </c>
      <c r="L1097" s="61" t="str">
        <f t="shared" si="17"/>
        <v>Cliente18-Cliente12</v>
      </c>
      <c r="M1097">
        <v>20.012551999999999</v>
      </c>
    </row>
    <row r="1098" spans="1:13" x14ac:dyDescent="0.25">
      <c r="A1098" s="15" t="s">
        <v>4288</v>
      </c>
      <c r="B1098" s="15" t="s">
        <v>4283</v>
      </c>
      <c r="C1098" s="52">
        <v>7.5627279999999999</v>
      </c>
      <c r="D1098" s="25">
        <v>1.1805555555555555E-2</v>
      </c>
      <c r="E1098" s="53">
        <v>-23.176611999999999</v>
      </c>
      <c r="F1098" s="53">
        <v>-45.828001999999998</v>
      </c>
      <c r="G1098" s="53">
        <v>-23.178349999999998</v>
      </c>
      <c r="H1098" s="53">
        <v>-45.840353</v>
      </c>
      <c r="I1098" s="53">
        <v>-23.198243999999999</v>
      </c>
      <c r="J1098" s="53">
        <v>-45.876860999999998</v>
      </c>
      <c r="L1098" s="61" t="str">
        <f t="shared" si="17"/>
        <v>Cliente18-Cliente13</v>
      </c>
      <c r="M1098">
        <v>7.5627279999999999</v>
      </c>
    </row>
    <row r="1099" spans="1:13" x14ac:dyDescent="0.25">
      <c r="A1099" s="15" t="s">
        <v>4288</v>
      </c>
      <c r="B1099" s="15" t="s">
        <v>4284</v>
      </c>
      <c r="C1099" s="54">
        <v>9.7766789999999997</v>
      </c>
      <c r="D1099" s="26">
        <v>1.3888888888888888E-2</v>
      </c>
      <c r="E1099" s="55">
        <v>-23.178466</v>
      </c>
      <c r="F1099" s="55">
        <v>-45.836371999999997</v>
      </c>
      <c r="G1099" s="55">
        <v>-23.178713999999999</v>
      </c>
      <c r="H1099" s="55">
        <v>-45.839430999999998</v>
      </c>
      <c r="I1099" s="55">
        <v>-23.234698000000002</v>
      </c>
      <c r="J1099" s="55">
        <v>-45.916701000000003</v>
      </c>
      <c r="L1099" s="61" t="str">
        <f t="shared" si="17"/>
        <v>Cliente18-Cliente14</v>
      </c>
      <c r="M1099">
        <v>9.7766789999999997</v>
      </c>
    </row>
    <row r="1100" spans="1:13" x14ac:dyDescent="0.25">
      <c r="A1100" s="15" t="s">
        <v>4288</v>
      </c>
      <c r="B1100" s="15" t="s">
        <v>4285</v>
      </c>
      <c r="C1100" s="52">
        <v>9.3578729999999997</v>
      </c>
      <c r="D1100" s="25">
        <v>1.7361111111111112E-2</v>
      </c>
      <c r="E1100" s="53">
        <v>-23.180240000000001</v>
      </c>
      <c r="F1100" s="53">
        <v>-45.838262</v>
      </c>
      <c r="G1100" s="53">
        <v>-23.198243999999999</v>
      </c>
      <c r="H1100" s="53">
        <v>-45.876860999999998</v>
      </c>
      <c r="I1100" s="53">
        <v>-23.227139000000001</v>
      </c>
      <c r="J1100" s="53">
        <v>-45.901041999999997</v>
      </c>
      <c r="L1100" s="61" t="str">
        <f t="shared" si="17"/>
        <v>Cliente18-Cliente15</v>
      </c>
      <c r="M1100">
        <v>9.3578729999999997</v>
      </c>
    </row>
    <row r="1101" spans="1:13" x14ac:dyDescent="0.25">
      <c r="A1101" s="15" t="s">
        <v>4288</v>
      </c>
      <c r="B1101" s="15" t="s">
        <v>4286</v>
      </c>
      <c r="C1101" s="54">
        <v>9.89039</v>
      </c>
      <c r="D1101" s="26">
        <v>1.6666666666666666E-2</v>
      </c>
      <c r="E1101" s="55">
        <v>-23.180146000000001</v>
      </c>
      <c r="F1101" s="55">
        <v>-45.838183999999998</v>
      </c>
      <c r="G1101" s="55">
        <v>-23.196895000000001</v>
      </c>
      <c r="H1101" s="55">
        <v>-45.874749999999999</v>
      </c>
      <c r="I1101" s="55">
        <v>-23.220844</v>
      </c>
      <c r="J1101" s="55">
        <v>-45.9011</v>
      </c>
      <c r="L1101" s="61" t="str">
        <f t="shared" si="17"/>
        <v>Cliente18-Cliente16</v>
      </c>
      <c r="M1101">
        <v>9.89039</v>
      </c>
    </row>
    <row r="1102" spans="1:13" x14ac:dyDescent="0.25">
      <c r="A1102" s="15" t="s">
        <v>4288</v>
      </c>
      <c r="B1102" s="15" t="s">
        <v>4287</v>
      </c>
      <c r="C1102" s="52">
        <v>7.986504</v>
      </c>
      <c r="D1102" s="25">
        <v>1.1111111111111112E-2</v>
      </c>
      <c r="E1102" s="53">
        <v>-23.176193999999999</v>
      </c>
      <c r="F1102" s="53">
        <v>-45.826174000000002</v>
      </c>
      <c r="G1102" s="53">
        <v>-23.180192999999999</v>
      </c>
      <c r="H1102" s="53">
        <v>-45.839461999999997</v>
      </c>
      <c r="I1102" s="53">
        <v>-23.186509000000001</v>
      </c>
      <c r="J1102" s="53">
        <v>-45.854571</v>
      </c>
      <c r="L1102" s="61" t="str">
        <f t="shared" si="17"/>
        <v>Cliente18-Cliente17</v>
      </c>
      <c r="M1102">
        <v>7.986504</v>
      </c>
    </row>
    <row r="1103" spans="1:13" x14ac:dyDescent="0.25">
      <c r="A1103" s="15" t="s">
        <v>4288</v>
      </c>
      <c r="B1103" s="15" t="s">
        <v>4288</v>
      </c>
      <c r="C1103" s="54">
        <v>0</v>
      </c>
      <c r="D1103" s="26">
        <v>0</v>
      </c>
      <c r="E1103" s="55">
        <f>'1. Locais'!D22</f>
        <v>-23.174219999999998</v>
      </c>
      <c r="F1103" s="55">
        <f>'1. Locais'!E22</f>
        <v>-45.816290000000002</v>
      </c>
      <c r="G1103" s="55">
        <f>'1. Locais'!D22</f>
        <v>-23.174219999999998</v>
      </c>
      <c r="H1103" s="55">
        <f>'1. Locais'!E22</f>
        <v>-45.816290000000002</v>
      </c>
      <c r="I1103" s="55">
        <f>'1. Locais'!D22</f>
        <v>-23.174219999999998</v>
      </c>
      <c r="J1103" s="55">
        <f>'1. Locais'!E22</f>
        <v>-45.816290000000002</v>
      </c>
      <c r="L1103" s="61" t="str">
        <f t="shared" si="17"/>
        <v>Cliente18-Cliente18</v>
      </c>
      <c r="M1103">
        <v>0</v>
      </c>
    </row>
    <row r="1104" spans="1:13" x14ac:dyDescent="0.25">
      <c r="A1104" s="15" t="s">
        <v>4288</v>
      </c>
      <c r="B1104" s="15" t="s">
        <v>4289</v>
      </c>
      <c r="C1104" s="52">
        <v>65.005529999999993</v>
      </c>
      <c r="D1104" s="25">
        <v>5.9027777777777783E-2</v>
      </c>
      <c r="E1104" s="53">
        <v>-23.307507999999999</v>
      </c>
      <c r="F1104" s="53">
        <v>-46.044593999999996</v>
      </c>
      <c r="G1104" s="53">
        <v>-23.37623</v>
      </c>
      <c r="H1104" s="53">
        <v>-46.247695</v>
      </c>
      <c r="I1104" s="53">
        <v>-23.528976</v>
      </c>
      <c r="J1104" s="53">
        <v>-46.594265</v>
      </c>
      <c r="L1104" s="61" t="str">
        <f t="shared" si="17"/>
        <v>Cliente18-Cliente19</v>
      </c>
      <c r="M1104">
        <v>65.005529999999993</v>
      </c>
    </row>
    <row r="1105" spans="1:13" x14ac:dyDescent="0.25">
      <c r="A1105" s="15" t="s">
        <v>4288</v>
      </c>
      <c r="B1105" s="15" t="s">
        <v>4290</v>
      </c>
      <c r="C1105" s="54">
        <v>72.558316000000005</v>
      </c>
      <c r="D1105" s="26">
        <v>6.805555555555555E-2</v>
      </c>
      <c r="E1105" s="55">
        <v>-23.313414999999999</v>
      </c>
      <c r="F1105" s="55">
        <v>-46.065708999999998</v>
      </c>
      <c r="G1105" s="55">
        <v>-23.400100999999999</v>
      </c>
      <c r="H1105" s="55">
        <v>-46.303072</v>
      </c>
      <c r="I1105" s="55">
        <v>-23.518077000000002</v>
      </c>
      <c r="J1105" s="55">
        <v>-46.639681000000003</v>
      </c>
      <c r="L1105" s="61" t="str">
        <f t="shared" si="17"/>
        <v>Cliente18-Cliente20</v>
      </c>
      <c r="M1105">
        <v>72.558316000000005</v>
      </c>
    </row>
    <row r="1106" spans="1:13" x14ac:dyDescent="0.25">
      <c r="A1106" s="15" t="s">
        <v>4288</v>
      </c>
      <c r="B1106" s="15" t="s">
        <v>4291</v>
      </c>
      <c r="C1106" s="52">
        <v>72.164986999999996</v>
      </c>
      <c r="D1106" s="25">
        <v>6.8749999999999992E-2</v>
      </c>
      <c r="E1106" s="53">
        <v>-23.316233</v>
      </c>
      <c r="F1106" s="53">
        <v>-46.079599999999999</v>
      </c>
      <c r="G1106" s="53">
        <v>-23.408674999999999</v>
      </c>
      <c r="H1106" s="53">
        <v>-46.340190999999997</v>
      </c>
      <c r="I1106" s="53">
        <v>-23.507486</v>
      </c>
      <c r="J1106" s="53">
        <v>-46.695289000000002</v>
      </c>
      <c r="L1106" s="61" t="str">
        <f t="shared" ref="L1106:L1169" si="18">_xlfn.CONCAT(A1106,"-",B1106)</f>
        <v>Cliente18-Cliente21</v>
      </c>
      <c r="M1106">
        <v>72.164986999999996</v>
      </c>
    </row>
    <row r="1107" spans="1:13" x14ac:dyDescent="0.25">
      <c r="A1107" s="15" t="s">
        <v>4288</v>
      </c>
      <c r="B1107" s="15" t="s">
        <v>4292</v>
      </c>
      <c r="C1107" s="54">
        <v>68.875439999999998</v>
      </c>
      <c r="D1107" s="26">
        <v>6.5277777777777782E-2</v>
      </c>
      <c r="E1107" s="55">
        <v>-23.313414999999999</v>
      </c>
      <c r="F1107" s="55">
        <v>-46.065708999999998</v>
      </c>
      <c r="G1107" s="55">
        <v>-23.400100999999999</v>
      </c>
      <c r="H1107" s="55">
        <v>-46.303072</v>
      </c>
      <c r="I1107" s="55">
        <v>-23.518097000000001</v>
      </c>
      <c r="J1107" s="55">
        <v>-46.63944</v>
      </c>
      <c r="L1107" s="61" t="str">
        <f t="shared" si="18"/>
        <v>Cliente18-Cliente22</v>
      </c>
      <c r="M1107">
        <v>68.875439999999998</v>
      </c>
    </row>
    <row r="1108" spans="1:13" x14ac:dyDescent="0.25">
      <c r="A1108" s="15" t="s">
        <v>4288</v>
      </c>
      <c r="B1108" s="15" t="s">
        <v>4293</v>
      </c>
      <c r="C1108" s="52">
        <v>77.314302999999995</v>
      </c>
      <c r="D1108" s="25">
        <v>7.4999999999999997E-2</v>
      </c>
      <c r="E1108" s="53">
        <v>-23.321603</v>
      </c>
      <c r="F1108" s="53">
        <v>-46.097622000000001</v>
      </c>
      <c r="G1108" s="53">
        <v>-23.432136</v>
      </c>
      <c r="H1108" s="53">
        <v>-46.419510000000002</v>
      </c>
      <c r="I1108" s="53">
        <v>-23.516835</v>
      </c>
      <c r="J1108" s="53">
        <v>-46.731771999999999</v>
      </c>
      <c r="L1108" s="61" t="str">
        <f t="shared" si="18"/>
        <v>Cliente18-Cliente23</v>
      </c>
      <c r="M1108">
        <v>77.314302999999995</v>
      </c>
    </row>
    <row r="1109" spans="1:13" x14ac:dyDescent="0.25">
      <c r="A1109" s="15" t="s">
        <v>4288</v>
      </c>
      <c r="B1109" s="15" t="s">
        <v>4294</v>
      </c>
      <c r="C1109" s="54">
        <v>72.158772999999997</v>
      </c>
      <c r="D1109" s="26">
        <v>7.7777777777777779E-2</v>
      </c>
      <c r="E1109" s="55">
        <v>-23.31972</v>
      </c>
      <c r="F1109" s="55">
        <v>-46.088408999999999</v>
      </c>
      <c r="G1109" s="55">
        <v>-23.412445000000002</v>
      </c>
      <c r="H1109" s="55">
        <v>-46.359893</v>
      </c>
      <c r="I1109" s="55">
        <v>-23.556328000000001</v>
      </c>
      <c r="J1109" s="55">
        <v>-46.636192000000001</v>
      </c>
      <c r="L1109" s="61" t="str">
        <f t="shared" si="18"/>
        <v>Cliente18-Cliente24</v>
      </c>
      <c r="M1109">
        <v>72.158772999999997</v>
      </c>
    </row>
    <row r="1110" spans="1:13" x14ac:dyDescent="0.25">
      <c r="A1110" s="15" t="s">
        <v>4288</v>
      </c>
      <c r="B1110" s="15" t="s">
        <v>4295</v>
      </c>
      <c r="C1110" s="52">
        <v>74.582127</v>
      </c>
      <c r="D1110" s="25">
        <v>8.3333333333333329E-2</v>
      </c>
      <c r="E1110" s="53">
        <v>-23.339831</v>
      </c>
      <c r="F1110" s="53">
        <v>-46.152166999999999</v>
      </c>
      <c r="G1110" s="53">
        <v>-23.519248000000001</v>
      </c>
      <c r="H1110" s="53">
        <v>-46.58287</v>
      </c>
      <c r="I1110" s="53">
        <v>-23.572129</v>
      </c>
      <c r="J1110" s="53">
        <v>-46.703139</v>
      </c>
      <c r="L1110" s="61" t="str">
        <f t="shared" si="18"/>
        <v>Cliente18-Cliente25</v>
      </c>
      <c r="M1110">
        <v>74.582127</v>
      </c>
    </row>
    <row r="1111" spans="1:13" x14ac:dyDescent="0.25">
      <c r="A1111" s="15" t="s">
        <v>4288</v>
      </c>
      <c r="B1111" s="15" t="s">
        <v>4296</v>
      </c>
      <c r="C1111" s="54">
        <v>81.271203999999997</v>
      </c>
      <c r="D1111" s="26">
        <v>7.7083333333333337E-2</v>
      </c>
      <c r="E1111" s="55">
        <v>-23.351894999999999</v>
      </c>
      <c r="F1111" s="55">
        <v>-46.180186999999997</v>
      </c>
      <c r="G1111" s="55">
        <v>-23.525095</v>
      </c>
      <c r="H1111" s="55">
        <v>-46.599069</v>
      </c>
      <c r="I1111" s="55">
        <v>-23.509401</v>
      </c>
      <c r="J1111" s="55">
        <v>-46.807020000000001</v>
      </c>
      <c r="L1111" s="61" t="str">
        <f t="shared" si="18"/>
        <v>Cliente18-Cliente26</v>
      </c>
      <c r="M1111">
        <v>81.271203999999997</v>
      </c>
    </row>
    <row r="1112" spans="1:13" x14ac:dyDescent="0.25">
      <c r="A1112" s="15" t="s">
        <v>4288</v>
      </c>
      <c r="B1112" s="15" t="s">
        <v>4297</v>
      </c>
      <c r="C1112" s="52">
        <v>73.985608999999997</v>
      </c>
      <c r="D1112" s="25">
        <v>7.9861111111111105E-2</v>
      </c>
      <c r="E1112" s="53">
        <v>-23.321884000000001</v>
      </c>
      <c r="F1112" s="53">
        <v>-46.114426000000002</v>
      </c>
      <c r="G1112" s="53">
        <v>-23.461801000000001</v>
      </c>
      <c r="H1112" s="53">
        <v>-46.490561</v>
      </c>
      <c r="I1112" s="53">
        <v>-23.548976</v>
      </c>
      <c r="J1112" s="53">
        <v>-46.652428999999998</v>
      </c>
      <c r="L1112" s="61" t="str">
        <f t="shared" si="18"/>
        <v>Cliente18-Cliente27</v>
      </c>
      <c r="M1112">
        <v>73.985608999999997</v>
      </c>
    </row>
    <row r="1113" spans="1:13" x14ac:dyDescent="0.25">
      <c r="A1113" s="15" t="s">
        <v>4288</v>
      </c>
      <c r="B1113" s="15" t="s">
        <v>4298</v>
      </c>
      <c r="C1113" s="54">
        <v>73.773099999999999</v>
      </c>
      <c r="D1113" s="26">
        <v>7.4999999999999997E-2</v>
      </c>
      <c r="E1113" s="55">
        <v>-23.321372</v>
      </c>
      <c r="F1113" s="55">
        <v>-46.095202</v>
      </c>
      <c r="G1113" s="55">
        <v>-23.423157</v>
      </c>
      <c r="H1113" s="55">
        <v>-46.397033999999998</v>
      </c>
      <c r="I1113" s="55">
        <v>-23.558568000000001</v>
      </c>
      <c r="J1113" s="55">
        <v>-46.638679000000003</v>
      </c>
      <c r="L1113" s="61" t="str">
        <f t="shared" si="18"/>
        <v>Cliente18-Cliente28</v>
      </c>
      <c r="M1113">
        <v>73.773099999999999</v>
      </c>
    </row>
    <row r="1114" spans="1:13" x14ac:dyDescent="0.25">
      <c r="A1114" s="15" t="s">
        <v>4288</v>
      </c>
      <c r="B1114" s="15" t="s">
        <v>4299</v>
      </c>
      <c r="C1114" s="52">
        <v>69.329662999999996</v>
      </c>
      <c r="D1114" s="25">
        <v>7.013888888888889E-2</v>
      </c>
      <c r="E1114" s="53">
        <v>-23.308782999999998</v>
      </c>
      <c r="F1114" s="53">
        <v>-46.058050000000001</v>
      </c>
      <c r="G1114" s="53">
        <v>-23.402591000000001</v>
      </c>
      <c r="H1114" s="53">
        <v>-46.318618000000001</v>
      </c>
      <c r="I1114" s="53">
        <v>-23.578078999999999</v>
      </c>
      <c r="J1114" s="53">
        <v>-46.571584999999999</v>
      </c>
      <c r="L1114" s="61" t="str">
        <f t="shared" si="18"/>
        <v>Cliente18-Cliente29</v>
      </c>
      <c r="M1114">
        <v>69.329662999999996</v>
      </c>
    </row>
    <row r="1115" spans="1:13" x14ac:dyDescent="0.25">
      <c r="A1115" s="15" t="s">
        <v>4288</v>
      </c>
      <c r="B1115" s="15" t="s">
        <v>4300</v>
      </c>
      <c r="C1115" s="54">
        <v>70.391588999999996</v>
      </c>
      <c r="D1115" s="26">
        <v>6.3888888888888884E-2</v>
      </c>
      <c r="E1115" s="55">
        <v>-23.321588999999999</v>
      </c>
      <c r="F1115" s="55">
        <v>-46.097366000000001</v>
      </c>
      <c r="G1115" s="55">
        <v>-23.458095</v>
      </c>
      <c r="H1115" s="55">
        <v>-46.34478</v>
      </c>
      <c r="I1115" s="55">
        <v>-23.649647000000002</v>
      </c>
      <c r="J1115" s="55">
        <v>-46.393946</v>
      </c>
      <c r="L1115" s="61" t="str">
        <f t="shared" si="18"/>
        <v>Cliente18-Cliente30</v>
      </c>
      <c r="M1115">
        <v>70.391588999999996</v>
      </c>
    </row>
    <row r="1116" spans="1:13" x14ac:dyDescent="0.25">
      <c r="A1116" s="15" t="s">
        <v>4288</v>
      </c>
      <c r="B1116" s="15" t="s">
        <v>4301</v>
      </c>
      <c r="C1116" s="52">
        <v>75.273714999999996</v>
      </c>
      <c r="D1116" s="25">
        <v>7.3611111111111113E-2</v>
      </c>
      <c r="E1116" s="53">
        <v>-23.321808000000001</v>
      </c>
      <c r="F1116" s="53">
        <v>-46.112901000000001</v>
      </c>
      <c r="G1116" s="53">
        <v>-23.459454999999998</v>
      </c>
      <c r="H1116" s="53">
        <v>-46.484453999999999</v>
      </c>
      <c r="I1116" s="53">
        <v>-23.517015000000001</v>
      </c>
      <c r="J1116" s="53">
        <v>-46.734730999999996</v>
      </c>
      <c r="L1116" s="61" t="str">
        <f t="shared" si="18"/>
        <v>Cliente18-Cliente31</v>
      </c>
      <c r="M1116">
        <v>75.273714999999996</v>
      </c>
    </row>
    <row r="1117" spans="1:13" x14ac:dyDescent="0.25">
      <c r="A1117" s="15" t="s">
        <v>4288</v>
      </c>
      <c r="B1117" s="15" t="s">
        <v>4302</v>
      </c>
      <c r="C1117" s="54">
        <v>70.304597000000001</v>
      </c>
      <c r="D1117" s="26">
        <v>6.6666666666666666E-2</v>
      </c>
      <c r="E1117" s="55">
        <v>-23.312625000000001</v>
      </c>
      <c r="F1117" s="55">
        <v>-46.064214999999997</v>
      </c>
      <c r="G1117" s="55">
        <v>-23.39845</v>
      </c>
      <c r="H1117" s="55">
        <v>-46.298672000000003</v>
      </c>
      <c r="I1117" s="55">
        <v>-23.518851000000002</v>
      </c>
      <c r="J1117" s="55">
        <v>-46.622418000000003</v>
      </c>
      <c r="L1117" s="61" t="str">
        <f t="shared" si="18"/>
        <v>Cliente18-Cliente32</v>
      </c>
      <c r="M1117">
        <v>70.304597000000001</v>
      </c>
    </row>
    <row r="1118" spans="1:13" x14ac:dyDescent="0.25">
      <c r="A1118" s="15" t="s">
        <v>4288</v>
      </c>
      <c r="B1118" s="15" t="s">
        <v>4303</v>
      </c>
      <c r="C1118" s="52">
        <v>60.370711</v>
      </c>
      <c r="D1118" s="25">
        <v>5.5555555555555552E-2</v>
      </c>
      <c r="E1118" s="53">
        <v>-23.299168999999999</v>
      </c>
      <c r="F1118" s="53">
        <v>-46.012407000000003</v>
      </c>
      <c r="G1118" s="53">
        <v>-23.360230000000001</v>
      </c>
      <c r="H1118" s="53">
        <v>-46.218465999999999</v>
      </c>
      <c r="I1118" s="53">
        <v>-23.450752000000001</v>
      </c>
      <c r="J1118" s="53">
        <v>-46.463962000000002</v>
      </c>
      <c r="L1118" s="61" t="str">
        <f t="shared" si="18"/>
        <v>Cliente18-Cliente33</v>
      </c>
      <c r="M1118">
        <v>60.370711</v>
      </c>
    </row>
    <row r="1119" spans="1:13" x14ac:dyDescent="0.25">
      <c r="A1119" s="15" t="s">
        <v>4288</v>
      </c>
      <c r="B1119" s="15" t="s">
        <v>4304</v>
      </c>
      <c r="C1119" s="54">
        <v>77.953074000000001</v>
      </c>
      <c r="D1119" s="26">
        <v>7.7777777777777779E-2</v>
      </c>
      <c r="E1119" s="55">
        <v>-23.322562999999999</v>
      </c>
      <c r="F1119" s="55">
        <v>-46.117880999999997</v>
      </c>
      <c r="G1119" s="55">
        <v>-23.528957999999999</v>
      </c>
      <c r="H1119" s="55">
        <v>-46.590741999999999</v>
      </c>
      <c r="I1119" s="55">
        <v>-23.518446999999998</v>
      </c>
      <c r="J1119" s="55">
        <v>-46.785387</v>
      </c>
      <c r="L1119" s="61" t="str">
        <f t="shared" si="18"/>
        <v>Cliente18-Cliente34</v>
      </c>
      <c r="M1119">
        <v>77.953074000000001</v>
      </c>
    </row>
    <row r="1120" spans="1:13" x14ac:dyDescent="0.25">
      <c r="A1120" s="15" t="s">
        <v>4288</v>
      </c>
      <c r="B1120" s="15" t="s">
        <v>4305</v>
      </c>
      <c r="C1120" s="52">
        <v>80.577130999999994</v>
      </c>
      <c r="D1120" s="25">
        <v>7.7777777777777779E-2</v>
      </c>
      <c r="E1120" s="53">
        <v>-23.339831</v>
      </c>
      <c r="F1120" s="53">
        <v>-46.152166999999999</v>
      </c>
      <c r="G1120" s="53">
        <v>-23.528957999999999</v>
      </c>
      <c r="H1120" s="53">
        <v>-46.590741999999999</v>
      </c>
      <c r="I1120" s="53">
        <v>-23.520189999999999</v>
      </c>
      <c r="J1120" s="53">
        <v>-46.769798000000002</v>
      </c>
      <c r="L1120" s="61" t="str">
        <f t="shared" si="18"/>
        <v>Cliente18-Cliente35</v>
      </c>
      <c r="M1120">
        <v>80.577130999999994</v>
      </c>
    </row>
    <row r="1121" spans="1:13" x14ac:dyDescent="0.25">
      <c r="A1121" s="15" t="s">
        <v>4288</v>
      </c>
      <c r="B1121" s="15" t="s">
        <v>4306</v>
      </c>
      <c r="C1121" s="54">
        <v>189.276971</v>
      </c>
      <c r="D1121" s="26">
        <v>0.15555555555555556</v>
      </c>
      <c r="E1121" s="55">
        <v>-23.174630000000001</v>
      </c>
      <c r="F1121" s="55">
        <v>-46.251722000000001</v>
      </c>
      <c r="G1121" s="55">
        <v>-23.000955000000001</v>
      </c>
      <c r="H1121" s="55">
        <v>-46.780441000000003</v>
      </c>
      <c r="I1121" s="55">
        <v>-22.592675</v>
      </c>
      <c r="J1121" s="55">
        <v>-47.366796999999998</v>
      </c>
      <c r="L1121" s="61" t="str">
        <f t="shared" si="18"/>
        <v>Cliente18-Cliente36</v>
      </c>
      <c r="M1121">
        <v>189.276971</v>
      </c>
    </row>
    <row r="1122" spans="1:13" x14ac:dyDescent="0.25">
      <c r="A1122" s="15" t="s">
        <v>4288</v>
      </c>
      <c r="B1122" s="15" t="s">
        <v>4307</v>
      </c>
      <c r="C1122" s="52">
        <v>188.18024800000001</v>
      </c>
      <c r="D1122" s="25">
        <v>0.15416666666666667</v>
      </c>
      <c r="E1122" s="53">
        <v>-23.175356000000001</v>
      </c>
      <c r="F1122" s="53">
        <v>-46.252940000000002</v>
      </c>
      <c r="G1122" s="53">
        <v>-22.988848999999998</v>
      </c>
      <c r="H1122" s="53">
        <v>-46.801557000000003</v>
      </c>
      <c r="I1122" s="53">
        <v>-22.562927999999999</v>
      </c>
      <c r="J1122" s="53">
        <v>-47.365788999999999</v>
      </c>
      <c r="L1122" s="61" t="str">
        <f t="shared" si="18"/>
        <v>Cliente18-Cliente37</v>
      </c>
      <c r="M1122">
        <v>188.18024800000001</v>
      </c>
    </row>
    <row r="1123" spans="1:13" x14ac:dyDescent="0.25">
      <c r="A1123" s="15" t="s">
        <v>4288</v>
      </c>
      <c r="B1123" s="15" t="s">
        <v>4308</v>
      </c>
      <c r="C1123" s="54">
        <v>186.40374299999999</v>
      </c>
      <c r="D1123" s="26">
        <v>0.15138888888888888</v>
      </c>
      <c r="E1123" s="55">
        <v>-23.172630999999999</v>
      </c>
      <c r="F1123" s="55">
        <v>-46.249164</v>
      </c>
      <c r="G1123" s="55">
        <v>-23.004674000000001</v>
      </c>
      <c r="H1123" s="55">
        <v>-46.769309999999997</v>
      </c>
      <c r="I1123" s="55">
        <v>-22.612962</v>
      </c>
      <c r="J1123" s="55">
        <v>-47.353290999999999</v>
      </c>
      <c r="L1123" s="61" t="str">
        <f t="shared" si="18"/>
        <v>Cliente18-Cliente38</v>
      </c>
      <c r="M1123">
        <v>186.40374299999999</v>
      </c>
    </row>
    <row r="1124" spans="1:13" x14ac:dyDescent="0.25">
      <c r="A1124" s="15" t="s">
        <v>4288</v>
      </c>
      <c r="B1124" s="15" t="s">
        <v>4309</v>
      </c>
      <c r="C1124" s="52">
        <v>21.316192000000001</v>
      </c>
      <c r="D1124" s="25">
        <v>2.361111111111111E-2</v>
      </c>
      <c r="E1124" s="53">
        <v>-23.161244</v>
      </c>
      <c r="F1124" s="53">
        <v>-45.803519000000001</v>
      </c>
      <c r="G1124" s="53">
        <v>-23.038395000000001</v>
      </c>
      <c r="H1124" s="53">
        <v>-45.558225999999998</v>
      </c>
      <c r="I1124" s="53">
        <v>-23.029796000000001</v>
      </c>
      <c r="J1124" s="53">
        <v>-45.553953</v>
      </c>
      <c r="L1124" s="61" t="str">
        <f t="shared" si="18"/>
        <v>Cliente18-Cliente39</v>
      </c>
      <c r="M1124">
        <v>21.316192000000001</v>
      </c>
    </row>
    <row r="1125" spans="1:13" x14ac:dyDescent="0.25">
      <c r="A1125" s="15" t="s">
        <v>4288</v>
      </c>
      <c r="B1125" s="15" t="s">
        <v>4310</v>
      </c>
      <c r="C1125" s="54">
        <v>22.877700999999998</v>
      </c>
      <c r="D1125" s="26">
        <v>2.7083333333333334E-2</v>
      </c>
      <c r="E1125" s="55">
        <v>-23.110949000000002</v>
      </c>
      <c r="F1125" s="55">
        <v>-45.704222999999999</v>
      </c>
      <c r="G1125" s="55">
        <v>-23.037694999999999</v>
      </c>
      <c r="H1125" s="55">
        <v>-45.557073000000003</v>
      </c>
      <c r="I1125" s="55">
        <v>-23.020588</v>
      </c>
      <c r="J1125" s="55">
        <v>-45.553809000000001</v>
      </c>
      <c r="L1125" s="61" t="str">
        <f t="shared" si="18"/>
        <v>Cliente18-Cliente40</v>
      </c>
      <c r="M1125">
        <v>22.877700999999998</v>
      </c>
    </row>
    <row r="1126" spans="1:13" x14ac:dyDescent="0.25">
      <c r="A1126" s="15" t="s">
        <v>4288</v>
      </c>
      <c r="B1126" s="15" t="s">
        <v>4311</v>
      </c>
      <c r="C1126" s="52">
        <v>12.171449000000001</v>
      </c>
      <c r="D1126" s="25">
        <v>1.8055555555555557E-2</v>
      </c>
      <c r="E1126" s="53">
        <v>-23.117229999999999</v>
      </c>
      <c r="F1126" s="53">
        <v>-45.716316999999997</v>
      </c>
      <c r="G1126" s="53">
        <v>-23.099395999999999</v>
      </c>
      <c r="H1126" s="53">
        <v>-45.704121000000001</v>
      </c>
      <c r="I1126" s="53">
        <v>-23.084672999999999</v>
      </c>
      <c r="J1126" s="53">
        <v>-45.710155999999998</v>
      </c>
      <c r="L1126" s="61" t="str">
        <f t="shared" si="18"/>
        <v>Cliente18-Cliente41</v>
      </c>
      <c r="M1126">
        <v>12.171449000000001</v>
      </c>
    </row>
    <row r="1127" spans="1:13" x14ac:dyDescent="0.25">
      <c r="A1127" s="15" t="s">
        <v>4288</v>
      </c>
      <c r="B1127" s="15" t="s">
        <v>4312</v>
      </c>
      <c r="C1127" s="54">
        <v>8.8837659999999996</v>
      </c>
      <c r="D1127" s="26">
        <v>1.1111111111111112E-2</v>
      </c>
      <c r="E1127" s="55">
        <v>-23.170634</v>
      </c>
      <c r="F1127" s="55">
        <v>-45.811399999999999</v>
      </c>
      <c r="G1127" s="55">
        <v>-23.161279</v>
      </c>
      <c r="H1127" s="55">
        <v>-45.803567999999999</v>
      </c>
      <c r="I1127" s="55">
        <v>-23.117453999999999</v>
      </c>
      <c r="J1127" s="55">
        <v>-45.709820000000001</v>
      </c>
      <c r="L1127" s="61" t="str">
        <f t="shared" si="18"/>
        <v>Cliente18-Cliente42</v>
      </c>
      <c r="M1127">
        <v>8.8837659999999996</v>
      </c>
    </row>
    <row r="1128" spans="1:13" x14ac:dyDescent="0.25">
      <c r="A1128" s="15" t="s">
        <v>4288</v>
      </c>
      <c r="B1128" s="15" t="s">
        <v>4313</v>
      </c>
      <c r="C1128" s="52">
        <v>27.557880999999998</v>
      </c>
      <c r="D1128" s="25">
        <v>2.9861111111111113E-2</v>
      </c>
      <c r="E1128" s="53">
        <v>-23.048404999999999</v>
      </c>
      <c r="F1128" s="53">
        <v>-45.596626999999998</v>
      </c>
      <c r="G1128" s="53">
        <v>-23.011257000000001</v>
      </c>
      <c r="H1128" s="53">
        <v>-45.520862999999999</v>
      </c>
      <c r="I1128" s="53">
        <v>-22.984587000000001</v>
      </c>
      <c r="J1128" s="53">
        <v>-45.518078000000003</v>
      </c>
      <c r="L1128" s="61" t="str">
        <f t="shared" si="18"/>
        <v>Cliente18-Cliente43</v>
      </c>
      <c r="M1128">
        <v>27.557880999999998</v>
      </c>
    </row>
    <row r="1129" spans="1:13" x14ac:dyDescent="0.25">
      <c r="A1129" s="15" t="s">
        <v>4288</v>
      </c>
      <c r="B1129" s="15" t="s">
        <v>4314</v>
      </c>
      <c r="C1129" s="54">
        <v>133.283209</v>
      </c>
      <c r="D1129" s="26">
        <v>0.1173611111111111</v>
      </c>
      <c r="E1129" s="55">
        <v>-23.375692000000001</v>
      </c>
      <c r="F1129" s="55">
        <v>-46.246760000000002</v>
      </c>
      <c r="G1129" s="55">
        <v>-23.516957000000001</v>
      </c>
      <c r="H1129" s="55">
        <v>-46.734350999999997</v>
      </c>
      <c r="I1129" s="55">
        <v>-23.418655999999999</v>
      </c>
      <c r="J1129" s="55">
        <v>-47.220267</v>
      </c>
      <c r="L1129" s="61" t="str">
        <f t="shared" si="18"/>
        <v>Cliente18-Cliente44</v>
      </c>
      <c r="M1129">
        <v>133.283209</v>
      </c>
    </row>
    <row r="1130" spans="1:13" x14ac:dyDescent="0.25">
      <c r="A1130" s="15" t="s">
        <v>4288</v>
      </c>
      <c r="B1130" s="15" t="s">
        <v>4315</v>
      </c>
      <c r="C1130" s="52">
        <v>137.57627400000001</v>
      </c>
      <c r="D1130" s="25">
        <v>0.12638888888888888</v>
      </c>
      <c r="E1130" s="53">
        <v>-23.393934999999999</v>
      </c>
      <c r="F1130" s="53">
        <v>-46.287450999999997</v>
      </c>
      <c r="G1130" s="53">
        <v>-23.524556</v>
      </c>
      <c r="H1130" s="53">
        <v>-46.754387999999999</v>
      </c>
      <c r="I1130" s="53">
        <v>-23.396457999999999</v>
      </c>
      <c r="J1130" s="53">
        <v>-47.348235000000003</v>
      </c>
      <c r="L1130" s="61" t="str">
        <f t="shared" si="18"/>
        <v>Cliente18-Cliente45</v>
      </c>
      <c r="M1130">
        <v>137.57627400000001</v>
      </c>
    </row>
    <row r="1131" spans="1:13" x14ac:dyDescent="0.25">
      <c r="A1131" s="15" t="s">
        <v>4288</v>
      </c>
      <c r="B1131" s="15" t="s">
        <v>4316</v>
      </c>
      <c r="C1131" s="54">
        <v>122.00529400000001</v>
      </c>
      <c r="D1131" s="26">
        <v>0.1111111111111111</v>
      </c>
      <c r="E1131" s="55">
        <v>-23.369153000000001</v>
      </c>
      <c r="F1131" s="55">
        <v>-46.236646999999998</v>
      </c>
      <c r="G1131" s="55">
        <v>-23.507629000000001</v>
      </c>
      <c r="H1131" s="55">
        <v>-46.716140000000003</v>
      </c>
      <c r="I1131" s="55">
        <v>-23.438927</v>
      </c>
      <c r="J1131" s="55">
        <v>-47.112934000000003</v>
      </c>
      <c r="L1131" s="61" t="str">
        <f t="shared" si="18"/>
        <v>Cliente18-Cliente46</v>
      </c>
      <c r="M1131">
        <v>122.00529400000001</v>
      </c>
    </row>
    <row r="1132" spans="1:13" x14ac:dyDescent="0.25">
      <c r="A1132" s="15" t="s">
        <v>4288</v>
      </c>
      <c r="B1132" s="15" t="s">
        <v>4317</v>
      </c>
      <c r="C1132" s="52">
        <v>235.733282</v>
      </c>
      <c r="D1132" s="25">
        <v>0.18958333333333333</v>
      </c>
      <c r="E1132" s="53">
        <v>-23.172456</v>
      </c>
      <c r="F1132" s="53">
        <v>-46.272011999999997</v>
      </c>
      <c r="G1132" s="53">
        <v>-22.954858999999999</v>
      </c>
      <c r="H1132" s="53">
        <v>-46.858078999999996</v>
      </c>
      <c r="I1132" s="53">
        <v>-22.454626999999999</v>
      </c>
      <c r="J1132" s="53">
        <v>-47.398665999999999</v>
      </c>
      <c r="L1132" s="61" t="str">
        <f t="shared" si="18"/>
        <v>Cliente18-Cliente47</v>
      </c>
      <c r="M1132">
        <v>235.733282</v>
      </c>
    </row>
    <row r="1133" spans="1:13" x14ac:dyDescent="0.25">
      <c r="A1133" s="15" t="s">
        <v>4288</v>
      </c>
      <c r="B1133" s="15" t="s">
        <v>4318</v>
      </c>
      <c r="C1133" s="54">
        <v>244.84447</v>
      </c>
      <c r="D1133" s="26">
        <v>0.19791666666666666</v>
      </c>
      <c r="E1133" s="55">
        <v>-23.17944</v>
      </c>
      <c r="F1133" s="55">
        <v>-46.312285000000003</v>
      </c>
      <c r="G1133" s="55">
        <v>-22.929752000000001</v>
      </c>
      <c r="H1133" s="55">
        <v>-46.939203999999997</v>
      </c>
      <c r="I1133" s="55">
        <v>-22.247682999999999</v>
      </c>
      <c r="J1133" s="55">
        <v>-47.390053000000002</v>
      </c>
      <c r="L1133" s="61" t="str">
        <f t="shared" si="18"/>
        <v>Cliente18-Cliente48</v>
      </c>
      <c r="M1133">
        <v>244.84447</v>
      </c>
    </row>
    <row r="1134" spans="1:13" x14ac:dyDescent="0.25">
      <c r="A1134" s="15" t="s">
        <v>4288</v>
      </c>
      <c r="B1134" s="15" t="s">
        <v>4319</v>
      </c>
      <c r="C1134" s="52">
        <v>238.482235</v>
      </c>
      <c r="D1134" s="25">
        <v>0.19375000000000001</v>
      </c>
      <c r="E1134" s="53">
        <v>-23.181612000000001</v>
      </c>
      <c r="F1134" s="53">
        <v>-46.302312999999998</v>
      </c>
      <c r="G1134" s="53">
        <v>-22.931467000000001</v>
      </c>
      <c r="H1134" s="53">
        <v>-46.901024999999997</v>
      </c>
      <c r="I1134" s="53">
        <v>-22.344252000000001</v>
      </c>
      <c r="J1134" s="53">
        <v>-47.393180999999998</v>
      </c>
      <c r="L1134" s="61" t="str">
        <f t="shared" si="18"/>
        <v>Cliente18-Cliente49</v>
      </c>
      <c r="M1134">
        <v>238.482235</v>
      </c>
    </row>
    <row r="1135" spans="1:13" x14ac:dyDescent="0.25">
      <c r="A1135" s="15" t="s">
        <v>4288</v>
      </c>
      <c r="B1135" s="15" t="s">
        <v>4320</v>
      </c>
      <c r="C1135" s="54">
        <v>269.40422799999999</v>
      </c>
      <c r="D1135" s="26">
        <v>0.21944444444444444</v>
      </c>
      <c r="E1135" s="55">
        <v>-23.177406000000001</v>
      </c>
      <c r="F1135" s="55">
        <v>-46.379396999999997</v>
      </c>
      <c r="G1135" s="55">
        <v>-22.802451000000001</v>
      </c>
      <c r="H1135" s="55">
        <v>-47.220654000000003</v>
      </c>
      <c r="I1135" s="55">
        <v>-22.290595</v>
      </c>
      <c r="J1135" s="55">
        <v>-48.017564</v>
      </c>
      <c r="L1135" s="61" t="str">
        <f t="shared" si="18"/>
        <v>Cliente18-Cliente50</v>
      </c>
      <c r="M1135">
        <v>269.40422799999999</v>
      </c>
    </row>
    <row r="1136" spans="1:13" x14ac:dyDescent="0.25">
      <c r="A1136" s="15" t="s">
        <v>4288</v>
      </c>
      <c r="B1136" s="15" t="s">
        <v>4321</v>
      </c>
      <c r="C1136" s="52">
        <v>263.05939100000001</v>
      </c>
      <c r="D1136" s="25">
        <v>0.21527777777777779</v>
      </c>
      <c r="E1136" s="53">
        <v>-23.18553</v>
      </c>
      <c r="F1136" s="53">
        <v>-46.361404</v>
      </c>
      <c r="G1136" s="53">
        <v>-22.857437000000001</v>
      </c>
      <c r="H1136" s="53">
        <v>-47.14237</v>
      </c>
      <c r="I1136" s="53">
        <v>-22.246524999999998</v>
      </c>
      <c r="J1136" s="53">
        <v>-47.832065999999998</v>
      </c>
      <c r="L1136" s="61" t="str">
        <f t="shared" si="18"/>
        <v>Cliente18-Cliente51</v>
      </c>
      <c r="M1136">
        <v>263.05939100000001</v>
      </c>
    </row>
    <row r="1137" spans="1:13" x14ac:dyDescent="0.25">
      <c r="A1137" s="15" t="s">
        <v>4289</v>
      </c>
      <c r="B1137" s="15" t="s">
        <v>4268</v>
      </c>
      <c r="C1137" s="54">
        <v>59.071421000000001</v>
      </c>
      <c r="D1137" s="26">
        <v>5.2083333333333336E-2</v>
      </c>
      <c r="E1137" s="55">
        <v>-23.517015000000001</v>
      </c>
      <c r="F1137" s="55">
        <v>-46.734730999999996</v>
      </c>
      <c r="G1137" s="55">
        <v>-23.473671</v>
      </c>
      <c r="H1137" s="55">
        <v>-47.004843000000001</v>
      </c>
      <c r="I1137" s="55">
        <v>-23.414975999999999</v>
      </c>
      <c r="J1137" s="55">
        <v>-47.258521000000002</v>
      </c>
      <c r="L1137" s="61" t="str">
        <f t="shared" si="18"/>
        <v>Cliente19-depósito A</v>
      </c>
      <c r="M1137">
        <v>59.071421000000001</v>
      </c>
    </row>
    <row r="1138" spans="1:13" x14ac:dyDescent="0.25">
      <c r="A1138" s="15" t="s">
        <v>4289</v>
      </c>
      <c r="B1138" s="15" t="s">
        <v>4269</v>
      </c>
      <c r="C1138" s="52">
        <v>164.753874</v>
      </c>
      <c r="D1138" s="25">
        <v>0.13402777777777777</v>
      </c>
      <c r="E1138" s="53">
        <v>-23.307998999999999</v>
      </c>
      <c r="F1138" s="53">
        <v>-46.835209999999996</v>
      </c>
      <c r="G1138" s="53">
        <v>-22.912247000000001</v>
      </c>
      <c r="H1138" s="53">
        <v>-47.136132000000003</v>
      </c>
      <c r="I1138" s="53">
        <v>-22.455729999999999</v>
      </c>
      <c r="J1138" s="53">
        <v>-47.550139999999999</v>
      </c>
      <c r="L1138" s="61" t="str">
        <f t="shared" si="18"/>
        <v>Cliente19-depósito B</v>
      </c>
      <c r="M1138">
        <v>164.753874</v>
      </c>
    </row>
    <row r="1139" spans="1:13" x14ac:dyDescent="0.25">
      <c r="A1139" s="15" t="s">
        <v>4289</v>
      </c>
      <c r="B1139" s="15" t="s">
        <v>4270</v>
      </c>
      <c r="C1139" s="54">
        <v>49.684342999999998</v>
      </c>
      <c r="D1139" s="26">
        <v>4.5833333333333337E-2</v>
      </c>
      <c r="E1139" s="55">
        <v>-23.521191000000002</v>
      </c>
      <c r="F1139" s="55">
        <v>-46.584283999999997</v>
      </c>
      <c r="G1139" s="55">
        <v>-23.378776999999999</v>
      </c>
      <c r="H1139" s="55">
        <v>-46.256095000000002</v>
      </c>
      <c r="I1139" s="55">
        <v>-23.321940999999999</v>
      </c>
      <c r="J1139" s="55">
        <v>-46.114023000000003</v>
      </c>
      <c r="L1139" s="61" t="str">
        <f t="shared" si="18"/>
        <v>Cliente19-depósito C</v>
      </c>
      <c r="M1139">
        <v>49.684342999999998</v>
      </c>
    </row>
    <row r="1140" spans="1:13" x14ac:dyDescent="0.25">
      <c r="A1140" s="15" t="s">
        <v>4289</v>
      </c>
      <c r="B1140" s="15" t="s">
        <v>4271</v>
      </c>
      <c r="C1140" s="52">
        <v>54.839250999999997</v>
      </c>
      <c r="D1140" s="25">
        <v>4.8611111111111112E-2</v>
      </c>
      <c r="E1140" s="53">
        <v>-23.474784</v>
      </c>
      <c r="F1140" s="53">
        <v>-46.745418999999998</v>
      </c>
      <c r="G1140" s="53">
        <v>-23.289812000000001</v>
      </c>
      <c r="H1140" s="53">
        <v>-46.846649999999997</v>
      </c>
      <c r="I1140" s="53">
        <v>-23.068556999999998</v>
      </c>
      <c r="J1140" s="53">
        <v>-47.032440999999999</v>
      </c>
      <c r="L1140" s="61" t="str">
        <f t="shared" si="18"/>
        <v>Cliente19-Cliente1</v>
      </c>
      <c r="M1140">
        <v>54.839250999999997</v>
      </c>
    </row>
    <row r="1141" spans="1:13" x14ac:dyDescent="0.25">
      <c r="A1141" s="15" t="s">
        <v>4289</v>
      </c>
      <c r="B1141" s="15" t="s">
        <v>4272</v>
      </c>
      <c r="C1141" s="54">
        <v>58.607255000000002</v>
      </c>
      <c r="D1141" s="26">
        <v>5.4166666666666669E-2</v>
      </c>
      <c r="E1141" s="55">
        <v>-23.442193</v>
      </c>
      <c r="F1141" s="55">
        <v>-46.756312999999999</v>
      </c>
      <c r="G1141" s="55">
        <v>-23.260161</v>
      </c>
      <c r="H1141" s="55">
        <v>-46.867735000000003</v>
      </c>
      <c r="I1141" s="55">
        <v>-22.997138</v>
      </c>
      <c r="J1141" s="55">
        <v>-47.103513</v>
      </c>
      <c r="L1141" s="61" t="str">
        <f t="shared" si="18"/>
        <v>Cliente19-Cliente2</v>
      </c>
      <c r="M1141">
        <v>58.607255000000002</v>
      </c>
    </row>
    <row r="1142" spans="1:13" x14ac:dyDescent="0.25">
      <c r="A1142" s="15" t="s">
        <v>4289</v>
      </c>
      <c r="B1142" s="15" t="s">
        <v>4273</v>
      </c>
      <c r="C1142" s="52">
        <v>56.586551</v>
      </c>
      <c r="D1142" s="25">
        <v>5.1388888888888894E-2</v>
      </c>
      <c r="E1142" s="53">
        <v>-23.472750000000001</v>
      </c>
      <c r="F1142" s="53">
        <v>-46.747653</v>
      </c>
      <c r="G1142" s="53">
        <v>-23.276807999999999</v>
      </c>
      <c r="H1142" s="53">
        <v>-46.849381999999999</v>
      </c>
      <c r="I1142" s="53">
        <v>-23.039185</v>
      </c>
      <c r="J1142" s="53">
        <v>-47.067613999999999</v>
      </c>
      <c r="L1142" s="61" t="str">
        <f t="shared" si="18"/>
        <v>Cliente19-Cliente3</v>
      </c>
      <c r="M1142">
        <v>56.586551</v>
      </c>
    </row>
    <row r="1143" spans="1:13" x14ac:dyDescent="0.25">
      <c r="A1143" s="15" t="s">
        <v>4289</v>
      </c>
      <c r="B1143" s="15" t="s">
        <v>4274</v>
      </c>
      <c r="C1143" s="54">
        <v>66.743510000000001</v>
      </c>
      <c r="D1143" s="26">
        <v>5.8333333333333327E-2</v>
      </c>
      <c r="E1143" s="55">
        <v>-23.423022</v>
      </c>
      <c r="F1143" s="55">
        <v>-46.760891000000001</v>
      </c>
      <c r="G1143" s="55">
        <v>-23.241554000000001</v>
      </c>
      <c r="H1143" s="55">
        <v>-46.883792999999997</v>
      </c>
      <c r="I1143" s="55">
        <v>-22.988129000000001</v>
      </c>
      <c r="J1143" s="55">
        <v>-47.056995999999998</v>
      </c>
      <c r="L1143" s="61" t="str">
        <f t="shared" si="18"/>
        <v>Cliente19-Cliente4</v>
      </c>
      <c r="M1143">
        <v>66.743510000000001</v>
      </c>
    </row>
    <row r="1144" spans="1:13" x14ac:dyDescent="0.25">
      <c r="A1144" s="15" t="s">
        <v>4289</v>
      </c>
      <c r="B1144" s="15" t="s">
        <v>4275</v>
      </c>
      <c r="C1144" s="52">
        <v>66.836715999999996</v>
      </c>
      <c r="D1144" s="25">
        <v>5.8333333333333327E-2</v>
      </c>
      <c r="E1144" s="53">
        <v>-23.424655000000001</v>
      </c>
      <c r="F1144" s="53">
        <v>-46.760683</v>
      </c>
      <c r="G1144" s="53">
        <v>-23.245958000000002</v>
      </c>
      <c r="H1144" s="53">
        <v>-46.880012999999998</v>
      </c>
      <c r="I1144" s="53">
        <v>-22.990489</v>
      </c>
      <c r="J1144" s="53">
        <v>-47.066079999999999</v>
      </c>
      <c r="L1144" s="61" t="str">
        <f t="shared" si="18"/>
        <v>Cliente19-Cliente5</v>
      </c>
      <c r="M1144">
        <v>66.836715999999996</v>
      </c>
    </row>
    <row r="1145" spans="1:13" x14ac:dyDescent="0.25">
      <c r="A1145" s="15" t="s">
        <v>4289</v>
      </c>
      <c r="B1145" s="15" t="s">
        <v>4276</v>
      </c>
      <c r="C1145" s="54">
        <v>49.212099000000002</v>
      </c>
      <c r="D1145" s="26">
        <v>4.7222222222222221E-2</v>
      </c>
      <c r="E1145" s="55">
        <v>-23.473061000000001</v>
      </c>
      <c r="F1145" s="55">
        <v>-46.747447000000001</v>
      </c>
      <c r="G1145" s="55">
        <v>-23.276807999999999</v>
      </c>
      <c r="H1145" s="55">
        <v>-46.849381999999999</v>
      </c>
      <c r="I1145" s="55">
        <v>-23.037489000000001</v>
      </c>
      <c r="J1145" s="55">
        <v>-47.009205999999999</v>
      </c>
      <c r="L1145" s="61" t="str">
        <f t="shared" si="18"/>
        <v>Cliente19-Cliente6</v>
      </c>
      <c r="M1145">
        <v>49.212099000000002</v>
      </c>
    </row>
    <row r="1146" spans="1:13" x14ac:dyDescent="0.25">
      <c r="A1146" s="15" t="s">
        <v>4289</v>
      </c>
      <c r="B1146" s="15" t="s">
        <v>4277</v>
      </c>
      <c r="C1146" s="52">
        <v>53.930183</v>
      </c>
      <c r="D1146" s="25">
        <v>4.7916666666666663E-2</v>
      </c>
      <c r="E1146" s="53">
        <v>-23.480018000000001</v>
      </c>
      <c r="F1146" s="53">
        <v>-46.738311000000003</v>
      </c>
      <c r="G1146" s="53">
        <v>-23.307998999999999</v>
      </c>
      <c r="H1146" s="53">
        <v>-46.835209999999996</v>
      </c>
      <c r="I1146" s="53">
        <v>-23.111777</v>
      </c>
      <c r="J1146" s="53">
        <v>-47.002515000000002</v>
      </c>
      <c r="L1146" s="61" t="str">
        <f t="shared" si="18"/>
        <v>Cliente19-Cliente7</v>
      </c>
      <c r="M1146">
        <v>53.930183</v>
      </c>
    </row>
    <row r="1147" spans="1:13" x14ac:dyDescent="0.25">
      <c r="A1147" s="15" t="s">
        <v>4289</v>
      </c>
      <c r="B1147" s="15" t="s">
        <v>4278</v>
      </c>
      <c r="C1147" s="54">
        <v>62.959971000000003</v>
      </c>
      <c r="D1147" s="26">
        <v>5.5555555555555552E-2</v>
      </c>
      <c r="E1147" s="55">
        <v>-23.421851</v>
      </c>
      <c r="F1147" s="55">
        <v>-46.761364999999998</v>
      </c>
      <c r="G1147" s="55">
        <v>-23.214390999999999</v>
      </c>
      <c r="H1147" s="55">
        <v>-46.918745000000001</v>
      </c>
      <c r="I1147" s="55">
        <v>-22.981280999999999</v>
      </c>
      <c r="J1147" s="55">
        <v>-47.045406</v>
      </c>
      <c r="L1147" s="61" t="str">
        <f t="shared" si="18"/>
        <v>Cliente19-Cliente8</v>
      </c>
      <c r="M1147">
        <v>62.959971000000003</v>
      </c>
    </row>
    <row r="1148" spans="1:13" x14ac:dyDescent="0.25">
      <c r="A1148" s="15" t="s">
        <v>4289</v>
      </c>
      <c r="B1148" s="15" t="s">
        <v>4279</v>
      </c>
      <c r="C1148" s="52">
        <v>74.972348999999994</v>
      </c>
      <c r="D1148" s="25">
        <v>6.6666666666666666E-2</v>
      </c>
      <c r="E1148" s="53">
        <v>-23.421851</v>
      </c>
      <c r="F1148" s="53">
        <v>-46.761364999999998</v>
      </c>
      <c r="G1148" s="53">
        <v>-23.241554000000001</v>
      </c>
      <c r="H1148" s="53">
        <v>-46.883792999999997</v>
      </c>
      <c r="I1148" s="53">
        <v>-22.942851999999998</v>
      </c>
      <c r="J1148" s="53">
        <v>-47.125774999999997</v>
      </c>
      <c r="L1148" s="61" t="str">
        <f t="shared" si="18"/>
        <v>Cliente19-Cliente9</v>
      </c>
      <c r="M1148">
        <v>74.972348999999994</v>
      </c>
    </row>
    <row r="1149" spans="1:13" x14ac:dyDescent="0.25">
      <c r="A1149" s="15" t="s">
        <v>4289</v>
      </c>
      <c r="B1149" s="15" t="s">
        <v>4280</v>
      </c>
      <c r="C1149" s="54">
        <v>6.645581</v>
      </c>
      <c r="D1149" s="26">
        <v>1.4583333333333332E-2</v>
      </c>
      <c r="E1149" s="55">
        <v>-23.513539000000002</v>
      </c>
      <c r="F1149" s="55">
        <v>-46.666128</v>
      </c>
      <c r="G1149" s="55">
        <v>-23.506305999999999</v>
      </c>
      <c r="H1149" s="55">
        <v>-46.688862</v>
      </c>
      <c r="I1149" s="55">
        <v>-23.480025999999999</v>
      </c>
      <c r="J1149" s="55">
        <v>-46.673129000000003</v>
      </c>
      <c r="L1149" s="61" t="str">
        <f t="shared" si="18"/>
        <v>Cliente19-Cliente10</v>
      </c>
      <c r="M1149">
        <v>6.645581</v>
      </c>
    </row>
    <row r="1150" spans="1:13" x14ac:dyDescent="0.25">
      <c r="A1150" s="15" t="s">
        <v>4289</v>
      </c>
      <c r="B1150" s="15" t="s">
        <v>4281</v>
      </c>
      <c r="C1150" s="52">
        <v>92.193693999999994</v>
      </c>
      <c r="D1150" s="25">
        <v>7.4999999999999997E-2</v>
      </c>
      <c r="E1150" s="53">
        <v>-23.378996999999998</v>
      </c>
      <c r="F1150" s="53">
        <v>-46.771318000000001</v>
      </c>
      <c r="G1150" s="53">
        <v>-23.137132000000001</v>
      </c>
      <c r="H1150" s="53">
        <v>-46.977894999999997</v>
      </c>
      <c r="I1150" s="53">
        <v>-22.894922000000001</v>
      </c>
      <c r="J1150" s="53">
        <v>-47.226118999999997</v>
      </c>
      <c r="L1150" s="61" t="str">
        <f t="shared" si="18"/>
        <v>Cliente19-Cliente11</v>
      </c>
      <c r="M1150">
        <v>92.193693999999994</v>
      </c>
    </row>
    <row r="1151" spans="1:13" x14ac:dyDescent="0.25">
      <c r="A1151" s="15" t="s">
        <v>4289</v>
      </c>
      <c r="B1151" s="15" t="s">
        <v>4282</v>
      </c>
      <c r="C1151" s="54">
        <v>48.725565000000003</v>
      </c>
      <c r="D1151" s="26">
        <v>4.5833333333333337E-2</v>
      </c>
      <c r="E1151" s="55">
        <v>-23.505759999999999</v>
      </c>
      <c r="F1151" s="55">
        <v>-46.569533</v>
      </c>
      <c r="G1151" s="55">
        <v>-23.377779</v>
      </c>
      <c r="H1151" s="55">
        <v>-46.254198000000002</v>
      </c>
      <c r="I1151" s="55">
        <v>-23.320944000000001</v>
      </c>
      <c r="J1151" s="55">
        <v>-46.092388999999997</v>
      </c>
      <c r="L1151" s="61" t="str">
        <f t="shared" si="18"/>
        <v>Cliente19-Cliente12</v>
      </c>
      <c r="M1151">
        <v>48.725565000000003</v>
      </c>
    </row>
    <row r="1152" spans="1:13" x14ac:dyDescent="0.25">
      <c r="A1152" s="15" t="s">
        <v>4289</v>
      </c>
      <c r="B1152" s="15" t="s">
        <v>4283</v>
      </c>
      <c r="C1152" s="52">
        <v>56.609541999999998</v>
      </c>
      <c r="D1152" s="25">
        <v>5.0694444444444452E-2</v>
      </c>
      <c r="E1152" s="53">
        <v>-23.481570000000001</v>
      </c>
      <c r="F1152" s="53">
        <v>-46.534331999999999</v>
      </c>
      <c r="G1152" s="53">
        <v>-23.369050000000001</v>
      </c>
      <c r="H1152" s="53">
        <v>-46.235802999999997</v>
      </c>
      <c r="I1152" s="53">
        <v>-23.307568</v>
      </c>
      <c r="J1152" s="53">
        <v>-46.044603000000002</v>
      </c>
      <c r="L1152" s="61" t="str">
        <f t="shared" si="18"/>
        <v>Cliente19-Cliente13</v>
      </c>
      <c r="M1152">
        <v>56.609541999999998</v>
      </c>
    </row>
    <row r="1153" spans="1:13" x14ac:dyDescent="0.25">
      <c r="A1153" s="15" t="s">
        <v>4289</v>
      </c>
      <c r="B1153" s="15" t="s">
        <v>4284</v>
      </c>
      <c r="C1153" s="54">
        <v>54.672102000000002</v>
      </c>
      <c r="D1153" s="26">
        <v>4.7916666666666663E-2</v>
      </c>
      <c r="E1153" s="55">
        <v>-23.522815999999999</v>
      </c>
      <c r="F1153" s="55">
        <v>-46.585721999999997</v>
      </c>
      <c r="G1153" s="55">
        <v>-23.383247999999998</v>
      </c>
      <c r="H1153" s="55">
        <v>-46.263074000000003</v>
      </c>
      <c r="I1153" s="55">
        <v>-23.323340999999999</v>
      </c>
      <c r="J1153" s="55">
        <v>-46.119652000000002</v>
      </c>
      <c r="L1153" s="61" t="str">
        <f t="shared" si="18"/>
        <v>Cliente19-Cliente14</v>
      </c>
      <c r="M1153">
        <v>54.672102000000002</v>
      </c>
    </row>
    <row r="1154" spans="1:13" x14ac:dyDescent="0.25">
      <c r="A1154" s="15" t="s">
        <v>4289</v>
      </c>
      <c r="B1154" s="15" t="s">
        <v>4285</v>
      </c>
      <c r="C1154" s="52">
        <v>57.050716000000001</v>
      </c>
      <c r="D1154" s="25">
        <v>5.4166666666666669E-2</v>
      </c>
      <c r="E1154" s="53">
        <v>-23.477979000000001</v>
      </c>
      <c r="F1154" s="53">
        <v>-46.528593000000001</v>
      </c>
      <c r="G1154" s="53">
        <v>-23.365017000000002</v>
      </c>
      <c r="H1154" s="53">
        <v>-46.226449000000002</v>
      </c>
      <c r="I1154" s="53">
        <v>-23.306694</v>
      </c>
      <c r="J1154" s="53">
        <v>-46.039658000000003</v>
      </c>
      <c r="L1154" s="61" t="str">
        <f t="shared" si="18"/>
        <v>Cliente19-Cliente15</v>
      </c>
      <c r="M1154">
        <v>57.050716000000001</v>
      </c>
    </row>
    <row r="1155" spans="1:13" x14ac:dyDescent="0.25">
      <c r="A1155" s="15" t="s">
        <v>4289</v>
      </c>
      <c r="B1155" s="15" t="s">
        <v>4286</v>
      </c>
      <c r="C1155" s="54">
        <v>55.981333999999997</v>
      </c>
      <c r="D1155" s="26">
        <v>5.2083333333333336E-2</v>
      </c>
      <c r="E1155" s="55">
        <v>-23.477979000000001</v>
      </c>
      <c r="F1155" s="55">
        <v>-46.528593000000001</v>
      </c>
      <c r="G1155" s="55">
        <v>-23.369050000000001</v>
      </c>
      <c r="H1155" s="55">
        <v>-46.235802999999997</v>
      </c>
      <c r="I1155" s="55">
        <v>-23.307434000000001</v>
      </c>
      <c r="J1155" s="55">
        <v>-46.043004000000003</v>
      </c>
      <c r="L1155" s="61" t="str">
        <f t="shared" si="18"/>
        <v>Cliente19-Cliente16</v>
      </c>
      <c r="M1155">
        <v>55.981333999999997</v>
      </c>
    </row>
    <row r="1156" spans="1:13" x14ac:dyDescent="0.25">
      <c r="A1156" s="15" t="s">
        <v>4289</v>
      </c>
      <c r="B1156" s="15" t="s">
        <v>4287</v>
      </c>
      <c r="C1156" s="52">
        <v>57.037045999999997</v>
      </c>
      <c r="D1156" s="25">
        <v>5.0694444444444452E-2</v>
      </c>
      <c r="E1156" s="53">
        <v>-23.481570000000001</v>
      </c>
      <c r="F1156" s="53">
        <v>-46.534331999999999</v>
      </c>
      <c r="G1156" s="53">
        <v>-23.369050000000001</v>
      </c>
      <c r="H1156" s="53">
        <v>-46.235802999999997</v>
      </c>
      <c r="I1156" s="53">
        <v>-23.307568</v>
      </c>
      <c r="J1156" s="53">
        <v>-46.044603000000002</v>
      </c>
      <c r="L1156" s="61" t="str">
        <f t="shared" si="18"/>
        <v>Cliente19-Cliente17</v>
      </c>
      <c r="M1156">
        <v>57.037045999999997</v>
      </c>
    </row>
    <row r="1157" spans="1:13" x14ac:dyDescent="0.25">
      <c r="A1157" s="15" t="s">
        <v>4289</v>
      </c>
      <c r="B1157" s="15" t="s">
        <v>4288</v>
      </c>
      <c r="C1157" s="54">
        <v>61.865112000000003</v>
      </c>
      <c r="D1157" s="26">
        <v>5.5555555555555552E-2</v>
      </c>
      <c r="E1157" s="55">
        <v>-23.501954000000001</v>
      </c>
      <c r="F1157" s="55">
        <v>-46.564717999999999</v>
      </c>
      <c r="G1157" s="55">
        <v>-23.371421999999999</v>
      </c>
      <c r="H1157" s="55">
        <v>-46.242780000000003</v>
      </c>
      <c r="I1157" s="55">
        <v>-23.313413000000001</v>
      </c>
      <c r="J1157" s="55">
        <v>-46.065551999999997</v>
      </c>
      <c r="L1157" s="61" t="str">
        <f t="shared" si="18"/>
        <v>Cliente19-Cliente18</v>
      </c>
      <c r="M1157">
        <v>61.865112000000003</v>
      </c>
    </row>
    <row r="1158" spans="1:13" x14ac:dyDescent="0.25">
      <c r="A1158" s="15" t="s">
        <v>4289</v>
      </c>
      <c r="B1158" s="15" t="s">
        <v>4289</v>
      </c>
      <c r="C1158" s="52">
        <v>0</v>
      </c>
      <c r="D1158" s="25">
        <v>0</v>
      </c>
      <c r="E1158" s="53">
        <f>'1. Locais'!D23</f>
        <v>-23.516719999999999</v>
      </c>
      <c r="F1158" s="53">
        <f>'1. Locais'!E23</f>
        <v>-46.670400000000001</v>
      </c>
      <c r="G1158" s="53">
        <f>'1. Locais'!D23</f>
        <v>-23.516719999999999</v>
      </c>
      <c r="H1158" s="53">
        <f>'1. Locais'!E23</f>
        <v>-46.670400000000001</v>
      </c>
      <c r="I1158" s="53">
        <f>'1. Locais'!D23</f>
        <v>-23.516719999999999</v>
      </c>
      <c r="J1158" s="53">
        <f>'1. Locais'!E23</f>
        <v>-46.670400000000001</v>
      </c>
      <c r="L1158" s="61" t="str">
        <f t="shared" si="18"/>
        <v>Cliente19-Cliente19</v>
      </c>
      <c r="M1158">
        <v>0</v>
      </c>
    </row>
    <row r="1159" spans="1:13" x14ac:dyDescent="0.25">
      <c r="A1159" s="15" t="s">
        <v>4289</v>
      </c>
      <c r="B1159" s="15" t="s">
        <v>4290</v>
      </c>
      <c r="C1159" s="54">
        <v>9.3765149999999995</v>
      </c>
      <c r="D1159" s="26">
        <v>1.5277777777777777E-2</v>
      </c>
      <c r="E1159" s="55">
        <v>-23.514109999999999</v>
      </c>
      <c r="F1159" s="55">
        <v>-46.665855999999998</v>
      </c>
      <c r="G1159" s="55">
        <v>-23.507629000000001</v>
      </c>
      <c r="H1159" s="55">
        <v>-46.716140000000003</v>
      </c>
      <c r="I1159" s="55">
        <v>-23.528064000000001</v>
      </c>
      <c r="J1159" s="55">
        <v>-46.750509000000001</v>
      </c>
      <c r="L1159" s="61" t="str">
        <f t="shared" si="18"/>
        <v>Cliente19-Cliente20</v>
      </c>
      <c r="M1159">
        <v>9.3765149999999995</v>
      </c>
    </row>
    <row r="1160" spans="1:13" x14ac:dyDescent="0.25">
      <c r="A1160" s="15" t="s">
        <v>4289</v>
      </c>
      <c r="B1160" s="15" t="s">
        <v>4291</v>
      </c>
      <c r="C1160" s="52">
        <v>5.8396610000000004</v>
      </c>
      <c r="D1160" s="25">
        <v>1.5277777777777777E-2</v>
      </c>
      <c r="E1160" s="53">
        <v>-23.515008000000002</v>
      </c>
      <c r="F1160" s="53">
        <v>-46.690465000000003</v>
      </c>
      <c r="G1160" s="53">
        <v>-23.520475000000001</v>
      </c>
      <c r="H1160" s="53">
        <v>-46.701925000000003</v>
      </c>
      <c r="I1160" s="53">
        <v>-23.536653999999999</v>
      </c>
      <c r="J1160" s="53">
        <v>-46.719478000000002</v>
      </c>
      <c r="L1160" s="61" t="str">
        <f t="shared" si="18"/>
        <v>Cliente19-Cliente21</v>
      </c>
      <c r="M1160">
        <v>5.8396610000000004</v>
      </c>
    </row>
    <row r="1161" spans="1:13" x14ac:dyDescent="0.25">
      <c r="A1161" s="15" t="s">
        <v>4289</v>
      </c>
      <c r="B1161" s="15" t="s">
        <v>4292</v>
      </c>
      <c r="C1161" s="54">
        <v>4.0948460000000004</v>
      </c>
      <c r="D1161" s="26">
        <v>1.1111111111111112E-2</v>
      </c>
      <c r="E1161" s="55">
        <v>-23.518387000000001</v>
      </c>
      <c r="F1161" s="55">
        <v>-46.677804999999999</v>
      </c>
      <c r="G1161" s="55">
        <v>-23.515554000000002</v>
      </c>
      <c r="H1161" s="55">
        <v>-46.698771000000001</v>
      </c>
      <c r="I1161" s="55">
        <v>-23.52637</v>
      </c>
      <c r="J1161" s="55">
        <v>-46.707825</v>
      </c>
      <c r="L1161" s="61" t="str">
        <f t="shared" si="18"/>
        <v>Cliente19-Cliente22</v>
      </c>
      <c r="M1161">
        <v>4.0948460000000004</v>
      </c>
    </row>
    <row r="1162" spans="1:13" x14ac:dyDescent="0.25">
      <c r="A1162" s="15" t="s">
        <v>4289</v>
      </c>
      <c r="B1162" s="15" t="s">
        <v>4293</v>
      </c>
      <c r="C1162" s="52">
        <v>9.3653300000000002</v>
      </c>
      <c r="D1162" s="25">
        <v>2.1527777777777781E-2</v>
      </c>
      <c r="E1162" s="53">
        <v>-23.530024999999998</v>
      </c>
      <c r="F1162" s="53">
        <v>-46.677604000000002</v>
      </c>
      <c r="G1162" s="53">
        <v>-23.570535</v>
      </c>
      <c r="H1162" s="53">
        <v>-46.689830999999998</v>
      </c>
      <c r="I1162" s="53">
        <v>-23.582436999999999</v>
      </c>
      <c r="J1162" s="53">
        <v>-46.733159999999998</v>
      </c>
      <c r="L1162" s="61" t="str">
        <f t="shared" si="18"/>
        <v>Cliente19-Cliente23</v>
      </c>
      <c r="M1162">
        <v>9.3653300000000002</v>
      </c>
    </row>
    <row r="1163" spans="1:13" x14ac:dyDescent="0.25">
      <c r="A1163" s="15" t="s">
        <v>4289</v>
      </c>
      <c r="B1163" s="15" t="s">
        <v>4294</v>
      </c>
      <c r="C1163" s="54">
        <v>9.3174840000000003</v>
      </c>
      <c r="D1163" s="26">
        <v>2.2222222222222223E-2</v>
      </c>
      <c r="E1163" s="55">
        <v>-23.527816999999999</v>
      </c>
      <c r="F1163" s="55">
        <v>-46.674624000000001</v>
      </c>
      <c r="G1163" s="55">
        <v>-23.556408999999999</v>
      </c>
      <c r="H1163" s="55">
        <v>-46.682977999999999</v>
      </c>
      <c r="I1163" s="55">
        <v>-23.583054000000001</v>
      </c>
      <c r="J1163" s="55">
        <v>-46.714644</v>
      </c>
      <c r="L1163" s="61" t="str">
        <f t="shared" si="18"/>
        <v>Cliente19-Cliente24</v>
      </c>
      <c r="M1163">
        <v>9.3174840000000003</v>
      </c>
    </row>
    <row r="1164" spans="1:13" x14ac:dyDescent="0.25">
      <c r="A1164" s="15" t="s">
        <v>4289</v>
      </c>
      <c r="B1164" s="15" t="s">
        <v>4295</v>
      </c>
      <c r="C1164" s="52">
        <v>11.740838</v>
      </c>
      <c r="D1164" s="25">
        <v>2.7777777777777776E-2</v>
      </c>
      <c r="E1164" s="53">
        <v>-23.541041</v>
      </c>
      <c r="F1164" s="53">
        <v>-46.676105</v>
      </c>
      <c r="G1164" s="53">
        <v>-23.575545999999999</v>
      </c>
      <c r="H1164" s="53">
        <v>-46.717728999999999</v>
      </c>
      <c r="I1164" s="53">
        <v>-23.599271000000002</v>
      </c>
      <c r="J1164" s="53">
        <v>-46.747380999999997</v>
      </c>
      <c r="L1164" s="61" t="str">
        <f t="shared" si="18"/>
        <v>Cliente19-Cliente25</v>
      </c>
      <c r="M1164">
        <v>11.740838</v>
      </c>
    </row>
    <row r="1165" spans="1:13" x14ac:dyDescent="0.25">
      <c r="A1165" s="15" t="s">
        <v>4289</v>
      </c>
      <c r="B1165" s="15" t="s">
        <v>4296</v>
      </c>
      <c r="C1165" s="54">
        <v>18.089403000000001</v>
      </c>
      <c r="D1165" s="26">
        <v>2.361111111111111E-2</v>
      </c>
      <c r="E1165" s="55">
        <v>-23.507912000000001</v>
      </c>
      <c r="F1165" s="55">
        <v>-46.711089999999999</v>
      </c>
      <c r="G1165" s="55">
        <v>-23.512758999999999</v>
      </c>
      <c r="H1165" s="55">
        <v>-46.798164999999997</v>
      </c>
      <c r="I1165" s="55">
        <v>-23.584633</v>
      </c>
      <c r="J1165" s="55">
        <v>-46.808562000000002</v>
      </c>
      <c r="L1165" s="61" t="str">
        <f t="shared" si="18"/>
        <v>Cliente19-Cliente26</v>
      </c>
      <c r="M1165">
        <v>18.089403000000001</v>
      </c>
    </row>
    <row r="1166" spans="1:13" x14ac:dyDescent="0.25">
      <c r="A1166" s="15" t="s">
        <v>4289</v>
      </c>
      <c r="B1166" s="15" t="s">
        <v>4297</v>
      </c>
      <c r="C1166" s="52">
        <v>11.14432</v>
      </c>
      <c r="D1166" s="25">
        <v>2.4305555555555556E-2</v>
      </c>
      <c r="E1166" s="53">
        <v>-23.531741</v>
      </c>
      <c r="F1166" s="53">
        <v>-46.676850000000002</v>
      </c>
      <c r="G1166" s="53">
        <v>-23.572237999999999</v>
      </c>
      <c r="H1166" s="53">
        <v>-46.701602999999999</v>
      </c>
      <c r="I1166" s="53">
        <v>-23.584365999999999</v>
      </c>
      <c r="J1166" s="53">
        <v>-46.737867999999999</v>
      </c>
      <c r="L1166" s="61" t="str">
        <f t="shared" si="18"/>
        <v>Cliente19-Cliente27</v>
      </c>
      <c r="M1166">
        <v>11.14432</v>
      </c>
    </row>
    <row r="1167" spans="1:13" x14ac:dyDescent="0.25">
      <c r="A1167" s="15" t="s">
        <v>4289</v>
      </c>
      <c r="B1167" s="15" t="s">
        <v>4298</v>
      </c>
      <c r="C1167" s="54">
        <v>14.909839</v>
      </c>
      <c r="D1167" s="26">
        <v>2.5694444444444447E-2</v>
      </c>
      <c r="E1167" s="55">
        <v>-23.541052000000001</v>
      </c>
      <c r="F1167" s="55">
        <v>-46.634163999999998</v>
      </c>
      <c r="G1167" s="55">
        <v>-23.575838000000001</v>
      </c>
      <c r="H1167" s="55">
        <v>-46.642372999999999</v>
      </c>
      <c r="I1167" s="55">
        <v>-23.631112999999999</v>
      </c>
      <c r="J1167" s="55">
        <v>-46.668992000000003</v>
      </c>
      <c r="L1167" s="61" t="str">
        <f t="shared" si="18"/>
        <v>Cliente19-Cliente28</v>
      </c>
      <c r="M1167">
        <v>14.909839</v>
      </c>
    </row>
    <row r="1168" spans="1:13" x14ac:dyDescent="0.25">
      <c r="A1168" s="15" t="s">
        <v>4289</v>
      </c>
      <c r="B1168" s="15" t="s">
        <v>4299</v>
      </c>
      <c r="C1168" s="52">
        <v>15.049647999999999</v>
      </c>
      <c r="D1168" s="25">
        <v>2.4999999999999998E-2</v>
      </c>
      <c r="E1168" s="53">
        <v>-23.53424</v>
      </c>
      <c r="F1168" s="53">
        <v>-46.625444000000002</v>
      </c>
      <c r="G1168" s="53">
        <v>-23.573074999999999</v>
      </c>
      <c r="H1168" s="53">
        <v>-46.604258000000002</v>
      </c>
      <c r="I1168" s="53">
        <v>-23.620704</v>
      </c>
      <c r="J1168" s="53">
        <v>-46.601770000000002</v>
      </c>
      <c r="L1168" s="61" t="str">
        <f t="shared" si="18"/>
        <v>Cliente19-Cliente29</v>
      </c>
      <c r="M1168">
        <v>15.049647999999999</v>
      </c>
    </row>
    <row r="1169" spans="1:13" x14ac:dyDescent="0.25">
      <c r="A1169" s="15" t="s">
        <v>4289</v>
      </c>
      <c r="B1169" s="15" t="s">
        <v>4300</v>
      </c>
      <c r="C1169" s="54">
        <v>19.109076000000002</v>
      </c>
      <c r="D1169" s="26">
        <v>3.4027777777777775E-2</v>
      </c>
      <c r="E1169" s="55">
        <v>-23.554154</v>
      </c>
      <c r="F1169" s="55">
        <v>-46.625132000000001</v>
      </c>
      <c r="G1169" s="55">
        <v>-23.588815</v>
      </c>
      <c r="H1169" s="55">
        <v>-46.589300999999999</v>
      </c>
      <c r="I1169" s="55">
        <v>-23.645823</v>
      </c>
      <c r="J1169" s="55">
        <v>-46.528733000000003</v>
      </c>
      <c r="L1169" s="61" t="str">
        <f t="shared" si="18"/>
        <v>Cliente19-Cliente30</v>
      </c>
      <c r="M1169">
        <v>19.109076000000002</v>
      </c>
    </row>
    <row r="1170" spans="1:13" x14ac:dyDescent="0.25">
      <c r="A1170" s="15" t="s">
        <v>4289</v>
      </c>
      <c r="B1170" s="15" t="s">
        <v>4301</v>
      </c>
      <c r="C1170" s="52">
        <v>12.091913</v>
      </c>
      <c r="D1170" s="25">
        <v>2.013888888888889E-2</v>
      </c>
      <c r="E1170" s="53">
        <v>-23.512371999999999</v>
      </c>
      <c r="F1170" s="53">
        <v>-46.679039000000003</v>
      </c>
      <c r="G1170" s="53">
        <v>-23.519438999999998</v>
      </c>
      <c r="H1170" s="53">
        <v>-46.747270999999998</v>
      </c>
      <c r="I1170" s="53">
        <v>-23.520554000000001</v>
      </c>
      <c r="J1170" s="53">
        <v>-46.789391999999999</v>
      </c>
      <c r="L1170" s="61" t="str">
        <f t="shared" ref="L1170:L1233" si="19">_xlfn.CONCAT(A1170,"-",B1170)</f>
        <v>Cliente19-Cliente31</v>
      </c>
      <c r="M1170">
        <v>12.091913</v>
      </c>
    </row>
    <row r="1171" spans="1:13" x14ac:dyDescent="0.25">
      <c r="A1171" s="15" t="s">
        <v>4289</v>
      </c>
      <c r="B1171" s="15" t="s">
        <v>4302</v>
      </c>
      <c r="C1171" s="54">
        <v>7.1227960000000001</v>
      </c>
      <c r="D1171" s="26">
        <v>1.3194444444444444E-2</v>
      </c>
      <c r="E1171" s="55">
        <v>-23.513539000000002</v>
      </c>
      <c r="F1171" s="55">
        <v>-46.666128</v>
      </c>
      <c r="G1171" s="55">
        <v>-23.507504000000001</v>
      </c>
      <c r="H1171" s="55">
        <v>-46.697887000000001</v>
      </c>
      <c r="I1171" s="55">
        <v>-23.508272000000002</v>
      </c>
      <c r="J1171" s="55">
        <v>-46.732950000000002</v>
      </c>
      <c r="L1171" s="61" t="str">
        <f t="shared" si="19"/>
        <v>Cliente19-Cliente32</v>
      </c>
      <c r="M1171">
        <v>7.1227960000000001</v>
      </c>
    </row>
    <row r="1172" spans="1:13" x14ac:dyDescent="0.25">
      <c r="A1172" s="15" t="s">
        <v>4289</v>
      </c>
      <c r="B1172" s="15" t="s">
        <v>4303</v>
      </c>
      <c r="C1172" s="52">
        <v>8.0915160000000004</v>
      </c>
      <c r="D1172" s="25">
        <v>1.8055555555555557E-2</v>
      </c>
      <c r="E1172" s="53">
        <v>-23.520208</v>
      </c>
      <c r="F1172" s="53">
        <v>-46.629435000000001</v>
      </c>
      <c r="G1172" s="53">
        <v>-23.502832999999999</v>
      </c>
      <c r="H1172" s="53">
        <v>-46.619366999999997</v>
      </c>
      <c r="I1172" s="53">
        <v>-23.483319000000002</v>
      </c>
      <c r="J1172" s="53">
        <v>-46.602348999999997</v>
      </c>
      <c r="L1172" s="61" t="str">
        <f t="shared" si="19"/>
        <v>Cliente19-Cliente33</v>
      </c>
      <c r="M1172">
        <v>8.0915160000000004</v>
      </c>
    </row>
    <row r="1173" spans="1:13" x14ac:dyDescent="0.25">
      <c r="A1173" s="15" t="s">
        <v>4289</v>
      </c>
      <c r="B1173" s="15" t="s">
        <v>4304</v>
      </c>
      <c r="C1173" s="54">
        <v>16.799433000000001</v>
      </c>
      <c r="D1173" s="26">
        <v>2.4999999999999998E-2</v>
      </c>
      <c r="E1173" s="55">
        <v>-23.508281</v>
      </c>
      <c r="F1173" s="55">
        <v>-46.706426</v>
      </c>
      <c r="G1173" s="55">
        <v>-23.518446999999998</v>
      </c>
      <c r="H1173" s="55">
        <v>-46.785387</v>
      </c>
      <c r="I1173" s="55">
        <v>-23.486743000000001</v>
      </c>
      <c r="J1173" s="55">
        <v>-46.836739000000001</v>
      </c>
      <c r="L1173" s="61" t="str">
        <f t="shared" si="19"/>
        <v>Cliente19-Cliente34</v>
      </c>
      <c r="M1173">
        <v>16.799433000000001</v>
      </c>
    </row>
    <row r="1174" spans="1:13" x14ac:dyDescent="0.25">
      <c r="A1174" s="15" t="s">
        <v>4289</v>
      </c>
      <c r="B1174" s="15" t="s">
        <v>4305</v>
      </c>
      <c r="C1174" s="52">
        <v>17.395330000000001</v>
      </c>
      <c r="D1174" s="25">
        <v>2.4305555555555556E-2</v>
      </c>
      <c r="E1174" s="53">
        <v>-23.507580999999998</v>
      </c>
      <c r="F1174" s="53">
        <v>-46.694507999999999</v>
      </c>
      <c r="G1174" s="53">
        <v>-23.520258999999999</v>
      </c>
      <c r="H1174" s="53">
        <v>-46.768515000000001</v>
      </c>
      <c r="I1174" s="53">
        <v>-23.49015</v>
      </c>
      <c r="J1174" s="53">
        <v>-46.853748000000003</v>
      </c>
      <c r="L1174" s="61" t="str">
        <f t="shared" si="19"/>
        <v>Cliente19-Cliente35</v>
      </c>
      <c r="M1174">
        <v>17.395330000000001</v>
      </c>
    </row>
    <row r="1175" spans="1:13" x14ac:dyDescent="0.25">
      <c r="A1175" s="15" t="s">
        <v>4289</v>
      </c>
      <c r="B1175" s="15" t="s">
        <v>4306</v>
      </c>
      <c r="C1175" s="54">
        <v>141.689761</v>
      </c>
      <c r="D1175" s="26">
        <v>0.11875000000000001</v>
      </c>
      <c r="E1175" s="55">
        <v>-23.309621</v>
      </c>
      <c r="F1175" s="55">
        <v>-46.833150000000003</v>
      </c>
      <c r="G1175" s="55">
        <v>-22.921287</v>
      </c>
      <c r="H1175" s="55">
        <v>-47.132606000000003</v>
      </c>
      <c r="I1175" s="55">
        <v>-22.461713</v>
      </c>
      <c r="J1175" s="55">
        <v>-47.534024000000002</v>
      </c>
      <c r="L1175" s="61" t="str">
        <f t="shared" si="19"/>
        <v>Cliente19-Cliente36</v>
      </c>
      <c r="M1175">
        <v>141.689761</v>
      </c>
    </row>
    <row r="1176" spans="1:13" x14ac:dyDescent="0.25">
      <c r="A1176" s="15" t="s">
        <v>4289</v>
      </c>
      <c r="B1176" s="15" t="s">
        <v>4307</v>
      </c>
      <c r="C1176" s="52">
        <v>140.59303800000001</v>
      </c>
      <c r="D1176" s="25">
        <v>0.1173611111111111</v>
      </c>
      <c r="E1176" s="53">
        <v>-23.307998999999999</v>
      </c>
      <c r="F1176" s="53">
        <v>-46.835209999999996</v>
      </c>
      <c r="G1176" s="53">
        <v>-22.912247000000001</v>
      </c>
      <c r="H1176" s="53">
        <v>-47.136132000000003</v>
      </c>
      <c r="I1176" s="53">
        <v>-22.455729999999999</v>
      </c>
      <c r="J1176" s="53">
        <v>-47.550139999999999</v>
      </c>
      <c r="L1176" s="61" t="str">
        <f t="shared" si="19"/>
        <v>Cliente19-Cliente37</v>
      </c>
      <c r="M1176">
        <v>140.59303800000001</v>
      </c>
    </row>
    <row r="1177" spans="1:13" x14ac:dyDescent="0.25">
      <c r="A1177" s="15" t="s">
        <v>4289</v>
      </c>
      <c r="B1177" s="15" t="s">
        <v>4308</v>
      </c>
      <c r="C1177" s="54">
        <v>138.81653299999999</v>
      </c>
      <c r="D1177" s="26">
        <v>0.11527777777777777</v>
      </c>
      <c r="E1177" s="55">
        <v>-23.311568999999999</v>
      </c>
      <c r="F1177" s="55">
        <v>-46.827970999999998</v>
      </c>
      <c r="G1177" s="55">
        <v>-22.924923</v>
      </c>
      <c r="H1177" s="55">
        <v>-47.130077</v>
      </c>
      <c r="I1177" s="55">
        <v>-22.470599</v>
      </c>
      <c r="J1177" s="55">
        <v>-47.50468</v>
      </c>
      <c r="L1177" s="61" t="str">
        <f t="shared" si="19"/>
        <v>Cliente19-Cliente38</v>
      </c>
      <c r="M1177">
        <v>138.81653299999999</v>
      </c>
    </row>
    <row r="1178" spans="1:13" x14ac:dyDescent="0.25">
      <c r="A1178" s="15" t="s">
        <v>4289</v>
      </c>
      <c r="B1178" s="15" t="s">
        <v>4309</v>
      </c>
      <c r="C1178" s="52">
        <v>82.871239000000003</v>
      </c>
      <c r="D1178" s="25">
        <v>7.4999999999999997E-2</v>
      </c>
      <c r="E1178" s="53">
        <v>-23.459603000000001</v>
      </c>
      <c r="F1178" s="53">
        <v>-46.484631</v>
      </c>
      <c r="G1178" s="53">
        <v>-23.351861</v>
      </c>
      <c r="H1178" s="53">
        <v>-46.197575000000001</v>
      </c>
      <c r="I1178" s="53">
        <v>-23.195211</v>
      </c>
      <c r="J1178" s="53">
        <v>-45.871408000000002</v>
      </c>
      <c r="L1178" s="61" t="str">
        <f t="shared" si="19"/>
        <v>Cliente19-Cliente39</v>
      </c>
      <c r="M1178">
        <v>82.871239000000003</v>
      </c>
    </row>
    <row r="1179" spans="1:13" x14ac:dyDescent="0.25">
      <c r="A1179" s="15" t="s">
        <v>4289</v>
      </c>
      <c r="B1179" s="15" t="s">
        <v>4310</v>
      </c>
      <c r="C1179" s="54">
        <v>84.432749000000001</v>
      </c>
      <c r="D1179" s="26">
        <v>7.8472222222222221E-2</v>
      </c>
      <c r="E1179" s="55">
        <v>-23.415243</v>
      </c>
      <c r="F1179" s="55">
        <v>-46.368104000000002</v>
      </c>
      <c r="G1179" s="55">
        <v>-23.347275</v>
      </c>
      <c r="H1179" s="55">
        <v>-46.166322999999998</v>
      </c>
      <c r="I1179" s="55">
        <v>-23.047127</v>
      </c>
      <c r="J1179" s="55">
        <v>-45.592542999999999</v>
      </c>
      <c r="L1179" s="61" t="str">
        <f t="shared" si="19"/>
        <v>Cliente19-Cliente40</v>
      </c>
      <c r="M1179">
        <v>84.432749000000001</v>
      </c>
    </row>
    <row r="1180" spans="1:13" x14ac:dyDescent="0.25">
      <c r="A1180" s="15" t="s">
        <v>4289</v>
      </c>
      <c r="B1180" s="15" t="s">
        <v>4311</v>
      </c>
      <c r="C1180" s="52">
        <v>73.726496999999995</v>
      </c>
      <c r="D1180" s="25">
        <v>6.9444444444444434E-2</v>
      </c>
      <c r="E1180" s="53">
        <v>-23.424005000000001</v>
      </c>
      <c r="F1180" s="53">
        <v>-46.399365000000003</v>
      </c>
      <c r="G1180" s="53">
        <v>-23.35247</v>
      </c>
      <c r="H1180" s="53">
        <v>-46.183019000000002</v>
      </c>
      <c r="I1180" s="53">
        <v>-23.111626999999999</v>
      </c>
      <c r="J1180" s="53">
        <v>-45.704881</v>
      </c>
      <c r="L1180" s="61" t="str">
        <f t="shared" si="19"/>
        <v>Cliente19-Cliente41</v>
      </c>
      <c r="M1180">
        <v>73.726496999999995</v>
      </c>
    </row>
    <row r="1181" spans="1:13" x14ac:dyDescent="0.25">
      <c r="A1181" s="15" t="s">
        <v>4289</v>
      </c>
      <c r="B1181" s="15" t="s">
        <v>4312</v>
      </c>
      <c r="C1181" s="54">
        <v>70.438812999999996</v>
      </c>
      <c r="D1181" s="26">
        <v>6.1805555555555558E-2</v>
      </c>
      <c r="E1181" s="55">
        <v>-23.495360999999999</v>
      </c>
      <c r="F1181" s="55">
        <v>-46.555112000000001</v>
      </c>
      <c r="G1181" s="55">
        <v>-23.370108999999999</v>
      </c>
      <c r="H1181" s="55">
        <v>-46.241131000000003</v>
      </c>
      <c r="I1181" s="55">
        <v>-23.309477000000001</v>
      </c>
      <c r="J1181" s="55">
        <v>-46.059258999999997</v>
      </c>
      <c r="L1181" s="61" t="str">
        <f t="shared" si="19"/>
        <v>Cliente19-Cliente42</v>
      </c>
      <c r="M1181">
        <v>70.438812999999996</v>
      </c>
    </row>
    <row r="1182" spans="1:13" x14ac:dyDescent="0.25">
      <c r="A1182" s="15" t="s">
        <v>4289</v>
      </c>
      <c r="B1182" s="15" t="s">
        <v>4313</v>
      </c>
      <c r="C1182" s="52">
        <v>93.091577999999998</v>
      </c>
      <c r="D1182" s="25">
        <v>8.2638888888888887E-2</v>
      </c>
      <c r="E1182" s="53">
        <v>-23.412475000000001</v>
      </c>
      <c r="F1182" s="53">
        <v>-46.357961000000003</v>
      </c>
      <c r="G1182" s="53">
        <v>-23.323340999999999</v>
      </c>
      <c r="H1182" s="53">
        <v>-46.119652000000002</v>
      </c>
      <c r="I1182" s="53">
        <v>-22.981380000000001</v>
      </c>
      <c r="J1182" s="53">
        <v>-45.462544000000001</v>
      </c>
      <c r="L1182" s="61" t="str">
        <f t="shared" si="19"/>
        <v>Cliente19-Cliente43</v>
      </c>
      <c r="M1182">
        <v>93.091577999999998</v>
      </c>
    </row>
    <row r="1183" spans="1:13" x14ac:dyDescent="0.25">
      <c r="A1183" s="15" t="s">
        <v>4289</v>
      </c>
      <c r="B1183" s="15" t="s">
        <v>4314</v>
      </c>
      <c r="C1183" s="54">
        <v>60.750990999999999</v>
      </c>
      <c r="D1183" s="26">
        <v>6.1111111111111116E-2</v>
      </c>
      <c r="E1183" s="55">
        <v>-23.518307</v>
      </c>
      <c r="F1183" s="55">
        <v>-46.746212</v>
      </c>
      <c r="G1183" s="55">
        <v>-23.461669000000001</v>
      </c>
      <c r="H1183" s="55">
        <v>-47.039842999999998</v>
      </c>
      <c r="I1183" s="55">
        <v>-23.400103999999999</v>
      </c>
      <c r="J1183" s="55">
        <v>-47.334395999999998</v>
      </c>
      <c r="L1183" s="61" t="str">
        <f t="shared" si="19"/>
        <v>Cliente19-Cliente44</v>
      </c>
      <c r="M1183">
        <v>60.750990999999999</v>
      </c>
    </row>
    <row r="1184" spans="1:13" x14ac:dyDescent="0.25">
      <c r="A1184" s="15" t="s">
        <v>4289</v>
      </c>
      <c r="B1184" s="15" t="s">
        <v>4315</v>
      </c>
      <c r="C1184" s="52">
        <v>61.528950000000002</v>
      </c>
      <c r="D1184" s="25">
        <v>6.3888888888888884E-2</v>
      </c>
      <c r="E1184" s="53">
        <v>-23.524705000000001</v>
      </c>
      <c r="F1184" s="53">
        <v>-46.753509999999999</v>
      </c>
      <c r="G1184" s="53">
        <v>-23.439371999999999</v>
      </c>
      <c r="H1184" s="53">
        <v>-47.109881000000001</v>
      </c>
      <c r="I1184" s="53">
        <v>-23.476593000000001</v>
      </c>
      <c r="J1184" s="53">
        <v>-47.442765999999999</v>
      </c>
      <c r="L1184" s="61" t="str">
        <f t="shared" si="19"/>
        <v>Cliente19-Cliente45</v>
      </c>
      <c r="M1184">
        <v>61.528950000000002</v>
      </c>
    </row>
    <row r="1185" spans="1:13" x14ac:dyDescent="0.25">
      <c r="A1185" s="15" t="s">
        <v>4289</v>
      </c>
      <c r="B1185" s="15" t="s">
        <v>4316</v>
      </c>
      <c r="C1185" s="54">
        <v>58.832191999999999</v>
      </c>
      <c r="D1185" s="26">
        <v>5.8333333333333327E-2</v>
      </c>
      <c r="E1185" s="55">
        <v>-23.517246</v>
      </c>
      <c r="F1185" s="55">
        <v>-46.744055000000003</v>
      </c>
      <c r="G1185" s="55">
        <v>-23.463331</v>
      </c>
      <c r="H1185" s="55">
        <v>-47.031599</v>
      </c>
      <c r="I1185" s="55">
        <v>-23.402104000000001</v>
      </c>
      <c r="J1185" s="55">
        <v>-47.327658999999997</v>
      </c>
      <c r="L1185" s="61" t="str">
        <f t="shared" si="19"/>
        <v>Cliente19-Cliente46</v>
      </c>
      <c r="M1185">
        <v>58.832191999999999</v>
      </c>
    </row>
    <row r="1186" spans="1:13" x14ac:dyDescent="0.25">
      <c r="A1186" s="15" t="s">
        <v>4289</v>
      </c>
      <c r="B1186" s="15" t="s">
        <v>4317</v>
      </c>
      <c r="C1186" s="52">
        <v>188.146072</v>
      </c>
      <c r="D1186" s="25">
        <v>0.15347222222222223</v>
      </c>
      <c r="E1186" s="53">
        <v>-23.294104999999998</v>
      </c>
      <c r="F1186" s="53">
        <v>-46.842212000000004</v>
      </c>
      <c r="G1186" s="53">
        <v>-22.868448000000001</v>
      </c>
      <c r="H1186" s="53">
        <v>-47.132019999999997</v>
      </c>
      <c r="I1186" s="53">
        <v>-22.249981999999999</v>
      </c>
      <c r="J1186" s="53">
        <v>-47.389749000000002</v>
      </c>
      <c r="L1186" s="61" t="str">
        <f t="shared" si="19"/>
        <v>Cliente19-Cliente47</v>
      </c>
      <c r="M1186">
        <v>188.146072</v>
      </c>
    </row>
    <row r="1187" spans="1:13" x14ac:dyDescent="0.25">
      <c r="A1187" s="15" t="s">
        <v>4289</v>
      </c>
      <c r="B1187" s="15" t="s">
        <v>4318</v>
      </c>
      <c r="C1187" s="54">
        <v>197.257261</v>
      </c>
      <c r="D1187" s="26">
        <v>0.16180555555555556</v>
      </c>
      <c r="E1187" s="55">
        <v>-23.267243000000001</v>
      </c>
      <c r="F1187" s="55">
        <v>-46.858772999999999</v>
      </c>
      <c r="G1187" s="55">
        <v>-22.772186000000001</v>
      </c>
      <c r="H1187" s="55">
        <v>-47.237149000000002</v>
      </c>
      <c r="I1187" s="55">
        <v>-21.807319</v>
      </c>
      <c r="J1187" s="55">
        <v>-47.501488999999999</v>
      </c>
      <c r="L1187" s="61" t="str">
        <f t="shared" si="19"/>
        <v>Cliente19-Cliente48</v>
      </c>
      <c r="M1187">
        <v>197.257261</v>
      </c>
    </row>
    <row r="1188" spans="1:13" x14ac:dyDescent="0.25">
      <c r="A1188" s="15" t="s">
        <v>4289</v>
      </c>
      <c r="B1188" s="15" t="s">
        <v>4319</v>
      </c>
      <c r="C1188" s="52">
        <v>190.895025</v>
      </c>
      <c r="D1188" s="25">
        <v>0.15763888888888888</v>
      </c>
      <c r="E1188" s="53">
        <v>-23.277508999999998</v>
      </c>
      <c r="F1188" s="53">
        <v>-46.848942000000001</v>
      </c>
      <c r="G1188" s="53">
        <v>-22.828955000000001</v>
      </c>
      <c r="H1188" s="53">
        <v>-47.181308999999999</v>
      </c>
      <c r="I1188" s="53">
        <v>-22.106054</v>
      </c>
      <c r="J1188" s="53">
        <v>-47.413187999999998</v>
      </c>
      <c r="L1188" s="61" t="str">
        <f t="shared" si="19"/>
        <v>Cliente19-Cliente49</v>
      </c>
      <c r="M1188">
        <v>190.895025</v>
      </c>
    </row>
    <row r="1189" spans="1:13" x14ac:dyDescent="0.25">
      <c r="A1189" s="15" t="s">
        <v>4289</v>
      </c>
      <c r="B1189" s="15" t="s">
        <v>4320</v>
      </c>
      <c r="C1189" s="54">
        <v>204.21042199999999</v>
      </c>
      <c r="D1189" s="26">
        <v>0.16805555555555554</v>
      </c>
      <c r="E1189" s="55">
        <v>-23.471340999999999</v>
      </c>
      <c r="F1189" s="55">
        <v>-47.009990000000002</v>
      </c>
      <c r="G1189" s="55">
        <v>-23.259872999999999</v>
      </c>
      <c r="H1189" s="55">
        <v>-47.853065999999998</v>
      </c>
      <c r="I1189" s="55">
        <v>-22.879940999999999</v>
      </c>
      <c r="J1189" s="55">
        <v>-48.469692999999999</v>
      </c>
      <c r="L1189" s="61" t="str">
        <f t="shared" si="19"/>
        <v>Cliente19-Cliente50</v>
      </c>
      <c r="M1189">
        <v>204.21042199999999</v>
      </c>
    </row>
    <row r="1190" spans="1:13" x14ac:dyDescent="0.25">
      <c r="A1190" s="15" t="s">
        <v>4289</v>
      </c>
      <c r="B1190" s="15" t="s">
        <v>4321</v>
      </c>
      <c r="C1190" s="52">
        <v>200.74253999999999</v>
      </c>
      <c r="D1190" s="25">
        <v>0.16527777777777777</v>
      </c>
      <c r="E1190" s="53">
        <v>-23.479880999999999</v>
      </c>
      <c r="F1190" s="53">
        <v>-46.996631999999998</v>
      </c>
      <c r="G1190" s="53">
        <v>-23.282881</v>
      </c>
      <c r="H1190" s="53">
        <v>-47.804893</v>
      </c>
      <c r="I1190" s="53">
        <v>-22.90521</v>
      </c>
      <c r="J1190" s="53">
        <v>-48.452035000000002</v>
      </c>
      <c r="L1190" s="61" t="str">
        <f t="shared" si="19"/>
        <v>Cliente19-Cliente51</v>
      </c>
      <c r="M1190">
        <v>200.74253999999999</v>
      </c>
    </row>
    <row r="1191" spans="1:13" x14ac:dyDescent="0.25">
      <c r="A1191" s="15" t="s">
        <v>4290</v>
      </c>
      <c r="B1191" s="15" t="s">
        <v>4268</v>
      </c>
      <c r="C1191" s="54">
        <v>55.025663000000002</v>
      </c>
      <c r="D1191" s="26">
        <v>5.2083333333333336E-2</v>
      </c>
      <c r="E1191" s="55">
        <v>-23.518765999999999</v>
      </c>
      <c r="F1191" s="55">
        <v>-46.776257999999999</v>
      </c>
      <c r="G1191" s="55">
        <v>-23.467303000000001</v>
      </c>
      <c r="H1191" s="55">
        <v>-47.023525999999997</v>
      </c>
      <c r="I1191" s="55">
        <v>-23.414494000000001</v>
      </c>
      <c r="J1191" s="55">
        <v>-47.267049</v>
      </c>
      <c r="L1191" s="61" t="str">
        <f t="shared" si="19"/>
        <v>Cliente20-depósito A</v>
      </c>
      <c r="M1191">
        <v>55.025663000000002</v>
      </c>
    </row>
    <row r="1192" spans="1:13" x14ac:dyDescent="0.25">
      <c r="A1192" s="15" t="s">
        <v>4290</v>
      </c>
      <c r="B1192" s="15" t="s">
        <v>4269</v>
      </c>
      <c r="C1192" s="52">
        <v>166.51484500000001</v>
      </c>
      <c r="D1192" s="25">
        <v>0.13749999999999998</v>
      </c>
      <c r="E1192" s="53">
        <v>-23.340357000000001</v>
      </c>
      <c r="F1192" s="53">
        <v>-46.819705999999996</v>
      </c>
      <c r="G1192" s="53">
        <v>-22.936243999999999</v>
      </c>
      <c r="H1192" s="53">
        <v>-47.126902000000001</v>
      </c>
      <c r="I1192" s="53">
        <v>-22.461528999999999</v>
      </c>
      <c r="J1192" s="53">
        <v>-47.535850000000003</v>
      </c>
      <c r="L1192" s="61" t="str">
        <f t="shared" si="19"/>
        <v>Cliente20-depósito B</v>
      </c>
      <c r="M1192">
        <v>166.51484500000001</v>
      </c>
    </row>
    <row r="1193" spans="1:13" x14ac:dyDescent="0.25">
      <c r="A1193" s="15" t="s">
        <v>4290</v>
      </c>
      <c r="B1193" s="15" t="s">
        <v>4270</v>
      </c>
      <c r="C1193" s="54">
        <v>58.775025999999997</v>
      </c>
      <c r="D1193" s="26">
        <v>5.8333333333333327E-2</v>
      </c>
      <c r="E1193" s="55">
        <v>-23.517565000000001</v>
      </c>
      <c r="F1193" s="55">
        <v>-46.730511999999997</v>
      </c>
      <c r="G1193" s="55">
        <v>-23.470203999999999</v>
      </c>
      <c r="H1193" s="55">
        <v>-46.514710000000001</v>
      </c>
      <c r="I1193" s="55">
        <v>-23.351861</v>
      </c>
      <c r="J1193" s="55">
        <v>-46.197575000000001</v>
      </c>
      <c r="L1193" s="61" t="str">
        <f t="shared" si="19"/>
        <v>Cliente20-depósito C</v>
      </c>
      <c r="M1193">
        <v>58.775025999999997</v>
      </c>
    </row>
    <row r="1194" spans="1:13" x14ac:dyDescent="0.25">
      <c r="A1194" s="15" t="s">
        <v>4290</v>
      </c>
      <c r="B1194" s="15" t="s">
        <v>4271</v>
      </c>
      <c r="C1194" s="52">
        <v>56.600220999999998</v>
      </c>
      <c r="D1194" s="25">
        <v>5.1388888888888894E-2</v>
      </c>
      <c r="E1194" s="53">
        <v>-23.506629</v>
      </c>
      <c r="F1194" s="53">
        <v>-46.721688999999998</v>
      </c>
      <c r="G1194" s="53">
        <v>-23.309108999999999</v>
      </c>
      <c r="H1194" s="53">
        <v>-46.833942</v>
      </c>
      <c r="I1194" s="53">
        <v>-23.081302999999998</v>
      </c>
      <c r="J1194" s="53">
        <v>-47.024233000000002</v>
      </c>
      <c r="L1194" s="61" t="str">
        <f t="shared" si="19"/>
        <v>Cliente20-Cliente1</v>
      </c>
      <c r="M1194">
        <v>56.600220999999998</v>
      </c>
    </row>
    <row r="1195" spans="1:13" x14ac:dyDescent="0.25">
      <c r="A1195" s="15" t="s">
        <v>4290</v>
      </c>
      <c r="B1195" s="15" t="s">
        <v>4272</v>
      </c>
      <c r="C1195" s="54">
        <v>60.368225000000002</v>
      </c>
      <c r="D1195" s="26">
        <v>5.7638888888888885E-2</v>
      </c>
      <c r="E1195" s="55">
        <v>-23.487676</v>
      </c>
      <c r="F1195" s="55">
        <v>-46.736913999999999</v>
      </c>
      <c r="G1195" s="55">
        <v>-23.278013000000001</v>
      </c>
      <c r="H1195" s="55">
        <v>-46.848697000000001</v>
      </c>
      <c r="I1195" s="55">
        <v>-23.007933999999999</v>
      </c>
      <c r="J1195" s="55">
        <v>-47.093673000000003</v>
      </c>
      <c r="L1195" s="61" t="str">
        <f t="shared" si="19"/>
        <v>Cliente20-Cliente2</v>
      </c>
      <c r="M1195">
        <v>60.368225000000002</v>
      </c>
    </row>
    <row r="1196" spans="1:13" x14ac:dyDescent="0.25">
      <c r="A1196" s="15" t="s">
        <v>4290</v>
      </c>
      <c r="B1196" s="15" t="s">
        <v>4273</v>
      </c>
      <c r="C1196" s="52">
        <v>58.347521</v>
      </c>
      <c r="D1196" s="25">
        <v>5.4166666666666669E-2</v>
      </c>
      <c r="E1196" s="53">
        <v>-23.498267999999999</v>
      </c>
      <c r="F1196" s="53">
        <v>-46.729049000000003</v>
      </c>
      <c r="G1196" s="53">
        <v>-23.296227999999999</v>
      </c>
      <c r="H1196" s="53">
        <v>-46.841242000000001</v>
      </c>
      <c r="I1196" s="53">
        <v>-23.049875</v>
      </c>
      <c r="J1196" s="53">
        <v>-47.052557</v>
      </c>
      <c r="L1196" s="61" t="str">
        <f t="shared" si="19"/>
        <v>Cliente20-Cliente3</v>
      </c>
      <c r="M1196">
        <v>58.347521</v>
      </c>
    </row>
    <row r="1197" spans="1:13" x14ac:dyDescent="0.25">
      <c r="A1197" s="15" t="s">
        <v>4290</v>
      </c>
      <c r="B1197" s="15" t="s">
        <v>4274</v>
      </c>
      <c r="C1197" s="54">
        <v>68.504480000000001</v>
      </c>
      <c r="D1197" s="26">
        <v>6.1111111111111116E-2</v>
      </c>
      <c r="E1197" s="55">
        <v>-23.478793</v>
      </c>
      <c r="F1197" s="55">
        <v>-46.738995000000003</v>
      </c>
      <c r="G1197" s="55">
        <v>-23.261506000000001</v>
      </c>
      <c r="H1197" s="55">
        <v>-46.866858999999998</v>
      </c>
      <c r="I1197" s="55">
        <v>-22.992294000000001</v>
      </c>
      <c r="J1197" s="55">
        <v>-47.069879</v>
      </c>
      <c r="L1197" s="61" t="str">
        <f t="shared" si="19"/>
        <v>Cliente20-Cliente4</v>
      </c>
      <c r="M1197">
        <v>68.504480000000001</v>
      </c>
    </row>
    <row r="1198" spans="1:13" x14ac:dyDescent="0.25">
      <c r="A1198" s="15" t="s">
        <v>4290</v>
      </c>
      <c r="B1198" s="15" t="s">
        <v>4275</v>
      </c>
      <c r="C1198" s="52">
        <v>68.597685999999996</v>
      </c>
      <c r="D1198" s="25">
        <v>6.1805555555555558E-2</v>
      </c>
      <c r="E1198" s="53">
        <v>-23.480018000000001</v>
      </c>
      <c r="F1198" s="53">
        <v>-46.738311000000003</v>
      </c>
      <c r="G1198" s="53">
        <v>-23.266877999999998</v>
      </c>
      <c r="H1198" s="53">
        <v>-46.859217999999998</v>
      </c>
      <c r="I1198" s="53">
        <v>-23.003634999999999</v>
      </c>
      <c r="J1198" s="53">
        <v>-47.082053999999999</v>
      </c>
      <c r="L1198" s="61" t="str">
        <f t="shared" si="19"/>
        <v>Cliente20-Cliente5</v>
      </c>
      <c r="M1198">
        <v>68.597685999999996</v>
      </c>
    </row>
    <row r="1199" spans="1:13" x14ac:dyDescent="0.25">
      <c r="A1199" s="15" t="s">
        <v>4290</v>
      </c>
      <c r="B1199" s="15" t="s">
        <v>4276</v>
      </c>
      <c r="C1199" s="54">
        <v>50.97307</v>
      </c>
      <c r="D1199" s="26">
        <v>5.0694444444444452E-2</v>
      </c>
      <c r="E1199" s="55">
        <v>-23.505381</v>
      </c>
      <c r="F1199" s="55">
        <v>-46.722994</v>
      </c>
      <c r="G1199" s="55">
        <v>-23.302479999999999</v>
      </c>
      <c r="H1199" s="55">
        <v>-46.840218</v>
      </c>
      <c r="I1199" s="55">
        <v>-23.106289</v>
      </c>
      <c r="J1199" s="55">
        <v>-46.962221999999997</v>
      </c>
      <c r="L1199" s="61" t="str">
        <f t="shared" si="19"/>
        <v>Cliente20-Cliente6</v>
      </c>
      <c r="M1199">
        <v>50.97307</v>
      </c>
    </row>
    <row r="1200" spans="1:13" x14ac:dyDescent="0.25">
      <c r="A1200" s="15" t="s">
        <v>4290</v>
      </c>
      <c r="B1200" s="15" t="s">
        <v>4277</v>
      </c>
      <c r="C1200" s="52">
        <v>55.691153</v>
      </c>
      <c r="D1200" s="25">
        <v>5.1388888888888894E-2</v>
      </c>
      <c r="E1200" s="53">
        <v>-23.509481999999998</v>
      </c>
      <c r="F1200" s="53">
        <v>-46.720061999999999</v>
      </c>
      <c r="G1200" s="53">
        <v>-23.330997</v>
      </c>
      <c r="H1200" s="53">
        <v>-46.823045999999998</v>
      </c>
      <c r="I1200" s="53">
        <v>-23.1281</v>
      </c>
      <c r="J1200" s="53">
        <v>-46.981898999999999</v>
      </c>
      <c r="L1200" s="61" t="str">
        <f t="shared" si="19"/>
        <v>Cliente20-Cliente7</v>
      </c>
      <c r="M1200">
        <v>55.691153</v>
      </c>
    </row>
    <row r="1201" spans="1:13" x14ac:dyDescent="0.25">
      <c r="A1201" s="15" t="s">
        <v>4290</v>
      </c>
      <c r="B1201" s="15" t="s">
        <v>4278</v>
      </c>
      <c r="C1201" s="54">
        <v>64.720941999999994</v>
      </c>
      <c r="D1201" s="26">
        <v>5.8333333333333327E-2</v>
      </c>
      <c r="E1201" s="55">
        <v>-23.477478999999999</v>
      </c>
      <c r="F1201" s="55">
        <v>-46.740135000000002</v>
      </c>
      <c r="G1201" s="55">
        <v>-23.256233999999999</v>
      </c>
      <c r="H1201" s="55">
        <v>-46.869290999999997</v>
      </c>
      <c r="I1201" s="55">
        <v>-22.989887</v>
      </c>
      <c r="J1201" s="55">
        <v>-47.064033999999999</v>
      </c>
      <c r="L1201" s="61" t="str">
        <f t="shared" si="19"/>
        <v>Cliente20-Cliente8</v>
      </c>
      <c r="M1201">
        <v>64.720941999999994</v>
      </c>
    </row>
    <row r="1202" spans="1:13" x14ac:dyDescent="0.25">
      <c r="A1202" s="15" t="s">
        <v>4290</v>
      </c>
      <c r="B1202" s="15" t="s">
        <v>4279</v>
      </c>
      <c r="C1202" s="52">
        <v>76.733318999999995</v>
      </c>
      <c r="D1202" s="25">
        <v>6.9444444444444434E-2</v>
      </c>
      <c r="E1202" s="53">
        <v>-23.477478999999999</v>
      </c>
      <c r="F1202" s="53">
        <v>-46.740135000000002</v>
      </c>
      <c r="G1202" s="53">
        <v>-23.261506000000001</v>
      </c>
      <c r="H1202" s="53">
        <v>-46.866858999999998</v>
      </c>
      <c r="I1202" s="53">
        <v>-22.960961000000001</v>
      </c>
      <c r="J1202" s="53">
        <v>-47.123862000000003</v>
      </c>
      <c r="L1202" s="61" t="str">
        <f t="shared" si="19"/>
        <v>Cliente20-Cliente9</v>
      </c>
      <c r="M1202">
        <v>76.733318999999995</v>
      </c>
    </row>
    <row r="1203" spans="1:13" x14ac:dyDescent="0.25">
      <c r="A1203" s="15" t="s">
        <v>4290</v>
      </c>
      <c r="B1203" s="15" t="s">
        <v>4280</v>
      </c>
      <c r="C1203" s="54">
        <v>12.528738000000001</v>
      </c>
      <c r="D1203" s="26">
        <v>2.361111111111111E-2</v>
      </c>
      <c r="E1203" s="55">
        <v>-23.545456000000001</v>
      </c>
      <c r="F1203" s="55">
        <v>-46.732596999999998</v>
      </c>
      <c r="G1203" s="55">
        <v>-23.513819999999999</v>
      </c>
      <c r="H1203" s="55">
        <v>-46.723894000000001</v>
      </c>
      <c r="I1203" s="55">
        <v>-23.492836</v>
      </c>
      <c r="J1203" s="55">
        <v>-46.685037000000001</v>
      </c>
      <c r="L1203" s="61" t="str">
        <f t="shared" si="19"/>
        <v>Cliente20-Cliente10</v>
      </c>
      <c r="M1203">
        <v>12.528738000000001</v>
      </c>
    </row>
    <row r="1204" spans="1:13" x14ac:dyDescent="0.25">
      <c r="A1204" s="15" t="s">
        <v>4290</v>
      </c>
      <c r="B1204" s="15" t="s">
        <v>4281</v>
      </c>
      <c r="C1204" s="52">
        <v>93.954665000000006</v>
      </c>
      <c r="D1204" s="25">
        <v>7.8472222222222221E-2</v>
      </c>
      <c r="E1204" s="53">
        <v>-23.435265000000001</v>
      </c>
      <c r="F1204" s="53">
        <v>-46.759596999999999</v>
      </c>
      <c r="G1204" s="53">
        <v>-23.168407999999999</v>
      </c>
      <c r="H1204" s="53">
        <v>-46.941127000000002</v>
      </c>
      <c r="I1204" s="53">
        <v>-22.8995</v>
      </c>
      <c r="J1204" s="53">
        <v>-47.211309</v>
      </c>
      <c r="L1204" s="61" t="str">
        <f t="shared" si="19"/>
        <v>Cliente20-Cliente11</v>
      </c>
      <c r="M1204">
        <v>93.954665000000006</v>
      </c>
    </row>
    <row r="1205" spans="1:13" x14ac:dyDescent="0.25">
      <c r="A1205" s="15" t="s">
        <v>4290</v>
      </c>
      <c r="B1205" s="15" t="s">
        <v>4282</v>
      </c>
      <c r="C1205" s="54">
        <v>57.816248000000002</v>
      </c>
      <c r="D1205" s="26">
        <v>5.8333333333333327E-2</v>
      </c>
      <c r="E1205" s="55">
        <v>-23.512931999999999</v>
      </c>
      <c r="F1205" s="55">
        <v>-46.722610000000003</v>
      </c>
      <c r="G1205" s="55">
        <v>-23.425788000000001</v>
      </c>
      <c r="H1205" s="55">
        <v>-46.404009000000002</v>
      </c>
      <c r="I1205" s="55">
        <v>-23.352187000000001</v>
      </c>
      <c r="J1205" s="55">
        <v>-46.180871000000003</v>
      </c>
      <c r="L1205" s="61" t="str">
        <f t="shared" si="19"/>
        <v>Cliente20-Cliente12</v>
      </c>
      <c r="M1205">
        <v>57.816248000000002</v>
      </c>
    </row>
    <row r="1206" spans="1:13" x14ac:dyDescent="0.25">
      <c r="A1206" s="15" t="s">
        <v>4290</v>
      </c>
      <c r="B1206" s="15" t="s">
        <v>4283</v>
      </c>
      <c r="C1206" s="52">
        <v>65.700225000000003</v>
      </c>
      <c r="D1206" s="25">
        <v>6.3888888888888884E-2</v>
      </c>
      <c r="E1206" s="53">
        <v>-23.509042000000001</v>
      </c>
      <c r="F1206" s="53">
        <v>-46.719047000000003</v>
      </c>
      <c r="G1206" s="53">
        <v>-23.407972999999998</v>
      </c>
      <c r="H1206" s="53">
        <v>-46.338434999999997</v>
      </c>
      <c r="I1206" s="53">
        <v>-23.320404</v>
      </c>
      <c r="J1206" s="53">
        <v>-46.090277999999998</v>
      </c>
      <c r="L1206" s="61" t="str">
        <f t="shared" si="19"/>
        <v>Cliente20-Cliente13</v>
      </c>
      <c r="M1206">
        <v>65.700225000000003</v>
      </c>
    </row>
    <row r="1207" spans="1:13" x14ac:dyDescent="0.25">
      <c r="A1207" s="15" t="s">
        <v>4290</v>
      </c>
      <c r="B1207" s="15" t="s">
        <v>4284</v>
      </c>
      <c r="C1207" s="54">
        <v>63.762785000000001</v>
      </c>
      <c r="D1207" s="26">
        <v>6.0416666666666667E-2</v>
      </c>
      <c r="E1207" s="55">
        <v>-23.517824999999998</v>
      </c>
      <c r="F1207" s="55">
        <v>-46.731133999999997</v>
      </c>
      <c r="G1207" s="55">
        <v>-23.472083000000001</v>
      </c>
      <c r="H1207" s="55">
        <v>-46.519261999999998</v>
      </c>
      <c r="I1207" s="55">
        <v>-23.352976999999999</v>
      </c>
      <c r="J1207" s="55">
        <v>-46.201134000000003</v>
      </c>
      <c r="L1207" s="61" t="str">
        <f t="shared" si="19"/>
        <v>Cliente20-Cliente14</v>
      </c>
      <c r="M1207">
        <v>63.762785000000001</v>
      </c>
    </row>
    <row r="1208" spans="1:13" x14ac:dyDescent="0.25">
      <c r="A1208" s="15" t="s">
        <v>4290</v>
      </c>
      <c r="B1208" s="15" t="s">
        <v>4285</v>
      </c>
      <c r="C1208" s="52">
        <v>66.141400000000004</v>
      </c>
      <c r="D1208" s="25">
        <v>6.6666666666666666E-2</v>
      </c>
      <c r="E1208" s="53">
        <v>-23.509042000000001</v>
      </c>
      <c r="F1208" s="53">
        <v>-46.719047000000003</v>
      </c>
      <c r="G1208" s="53">
        <v>-23.407972999999998</v>
      </c>
      <c r="H1208" s="53">
        <v>-46.338434999999997</v>
      </c>
      <c r="I1208" s="53">
        <v>-23.320404</v>
      </c>
      <c r="J1208" s="53">
        <v>-46.090277999999998</v>
      </c>
      <c r="L1208" s="61" t="str">
        <f t="shared" si="19"/>
        <v>Cliente20-Cliente15</v>
      </c>
      <c r="M1208">
        <v>66.141400000000004</v>
      </c>
    </row>
    <row r="1209" spans="1:13" x14ac:dyDescent="0.25">
      <c r="A1209" s="15" t="s">
        <v>4290</v>
      </c>
      <c r="B1209" s="15" t="s">
        <v>4286</v>
      </c>
      <c r="C1209" s="54">
        <v>65.072017000000002</v>
      </c>
      <c r="D1209" s="26">
        <v>6.5277777777777782E-2</v>
      </c>
      <c r="E1209" s="55">
        <v>-23.508780999999999</v>
      </c>
      <c r="F1209" s="55">
        <v>-46.718155000000003</v>
      </c>
      <c r="G1209" s="55">
        <v>-23.407972999999998</v>
      </c>
      <c r="H1209" s="55">
        <v>-46.338434999999997</v>
      </c>
      <c r="I1209" s="55">
        <v>-23.319845000000001</v>
      </c>
      <c r="J1209" s="55">
        <v>-46.088535</v>
      </c>
      <c r="L1209" s="61" t="str">
        <f t="shared" si="19"/>
        <v>Cliente20-Cliente16</v>
      </c>
      <c r="M1209">
        <v>65.072017000000002</v>
      </c>
    </row>
    <row r="1210" spans="1:13" x14ac:dyDescent="0.25">
      <c r="A1210" s="15" t="s">
        <v>4290</v>
      </c>
      <c r="B1210" s="15" t="s">
        <v>4287</v>
      </c>
      <c r="C1210" s="52">
        <v>66.127729000000002</v>
      </c>
      <c r="D1210" s="25">
        <v>6.3194444444444442E-2</v>
      </c>
      <c r="E1210" s="53">
        <v>-23.509042000000001</v>
      </c>
      <c r="F1210" s="53">
        <v>-46.719047000000003</v>
      </c>
      <c r="G1210" s="53">
        <v>-23.407972999999998</v>
      </c>
      <c r="H1210" s="53">
        <v>-46.338434999999997</v>
      </c>
      <c r="I1210" s="53">
        <v>-23.320404</v>
      </c>
      <c r="J1210" s="53">
        <v>-46.090277999999998</v>
      </c>
      <c r="L1210" s="61" t="str">
        <f t="shared" si="19"/>
        <v>Cliente20-Cliente17</v>
      </c>
      <c r="M1210">
        <v>66.127729000000002</v>
      </c>
    </row>
    <row r="1211" spans="1:13" x14ac:dyDescent="0.25">
      <c r="A1211" s="15" t="s">
        <v>4290</v>
      </c>
      <c r="B1211" s="15" t="s">
        <v>4288</v>
      </c>
      <c r="C1211" s="54">
        <v>70.955796000000007</v>
      </c>
      <c r="D1211" s="26">
        <v>6.805555555555555E-2</v>
      </c>
      <c r="E1211" s="55">
        <v>-23.512308000000001</v>
      </c>
      <c r="F1211" s="55">
        <v>-46.722051</v>
      </c>
      <c r="G1211" s="55">
        <v>-23.415243</v>
      </c>
      <c r="H1211" s="55">
        <v>-46.368104000000002</v>
      </c>
      <c r="I1211" s="55">
        <v>-23.340577</v>
      </c>
      <c r="J1211" s="55">
        <v>-46.153419</v>
      </c>
      <c r="L1211" s="61" t="str">
        <f t="shared" si="19"/>
        <v>Cliente20-Cliente18</v>
      </c>
      <c r="M1211">
        <v>70.955796000000007</v>
      </c>
    </row>
    <row r="1212" spans="1:13" x14ac:dyDescent="0.25">
      <c r="A1212" s="15" t="s">
        <v>4290</v>
      </c>
      <c r="B1212" s="15" t="s">
        <v>4289</v>
      </c>
      <c r="C1212" s="52">
        <v>9.3286689999999997</v>
      </c>
      <c r="D1212" s="25">
        <v>1.4583333333333332E-2</v>
      </c>
      <c r="E1212" s="53">
        <v>-23.544799000000001</v>
      </c>
      <c r="F1212" s="53">
        <v>-46.733369000000003</v>
      </c>
      <c r="G1212" s="53">
        <v>-23.528912999999999</v>
      </c>
      <c r="H1212" s="53">
        <v>-46.747647999999998</v>
      </c>
      <c r="I1212" s="53">
        <v>-23.509775999999999</v>
      </c>
      <c r="J1212" s="53">
        <v>-46.720204000000003</v>
      </c>
      <c r="L1212" s="61" t="str">
        <f t="shared" si="19"/>
        <v>Cliente20-Cliente19</v>
      </c>
      <c r="M1212">
        <v>9.3286689999999997</v>
      </c>
    </row>
    <row r="1213" spans="1:13" x14ac:dyDescent="0.25">
      <c r="A1213" s="15" t="s">
        <v>4290</v>
      </c>
      <c r="B1213" s="15" t="s">
        <v>4290</v>
      </c>
      <c r="C1213" s="54">
        <v>0</v>
      </c>
      <c r="D1213" s="26">
        <v>0</v>
      </c>
      <c r="E1213" s="55">
        <f>'1. Locais'!D24</f>
        <v>-23.552240000000001</v>
      </c>
      <c r="F1213" s="55">
        <f>'1. Locais'!E24</f>
        <v>-46.742319999999999</v>
      </c>
      <c r="G1213" s="55">
        <f>'1. Locais'!D24</f>
        <v>-23.552240000000001</v>
      </c>
      <c r="H1213" s="55">
        <f>'1. Locais'!E24</f>
        <v>-46.742319999999999</v>
      </c>
      <c r="I1213" s="55">
        <f>'1. Locais'!D24</f>
        <v>-23.552240000000001</v>
      </c>
      <c r="J1213" s="55">
        <f>'1. Locais'!E24</f>
        <v>-46.742319999999999</v>
      </c>
      <c r="L1213" s="61" t="str">
        <f t="shared" si="19"/>
        <v>Cliente20-Cliente20</v>
      </c>
      <c r="M1213">
        <v>0</v>
      </c>
    </row>
    <row r="1214" spans="1:13" x14ac:dyDescent="0.25">
      <c r="A1214" s="15" t="s">
        <v>4290</v>
      </c>
      <c r="B1214" s="15" t="s">
        <v>4291</v>
      </c>
      <c r="C1214" s="52">
        <v>2.5967169999999999</v>
      </c>
      <c r="D1214" s="25">
        <v>5.5555555555555558E-3</v>
      </c>
      <c r="E1214" s="53">
        <v>-23.557544</v>
      </c>
      <c r="F1214" s="53">
        <v>-46.746098000000003</v>
      </c>
      <c r="G1214" s="53">
        <v>-23.553864000000001</v>
      </c>
      <c r="H1214" s="53">
        <v>-46.742998</v>
      </c>
      <c r="I1214" s="53">
        <v>-23.544494</v>
      </c>
      <c r="J1214" s="53">
        <v>-46.732280000000003</v>
      </c>
      <c r="L1214" s="61" t="str">
        <f t="shared" si="19"/>
        <v>Cliente20-Cliente21</v>
      </c>
      <c r="M1214">
        <v>2.5967169999999999</v>
      </c>
    </row>
    <row r="1215" spans="1:13" x14ac:dyDescent="0.25">
      <c r="A1215" s="15" t="s">
        <v>4290</v>
      </c>
      <c r="B1215" s="15" t="s">
        <v>4292</v>
      </c>
      <c r="C1215" s="54">
        <v>3.518834</v>
      </c>
      <c r="D1215" s="26">
        <v>8.3333333333333332E-3</v>
      </c>
      <c r="E1215" s="55">
        <v>-23.557756999999999</v>
      </c>
      <c r="F1215" s="55">
        <v>-46.746250000000003</v>
      </c>
      <c r="G1215" s="55">
        <v>-23.544799000000001</v>
      </c>
      <c r="H1215" s="55">
        <v>-46.733369000000003</v>
      </c>
      <c r="I1215" s="55">
        <v>-23.5367</v>
      </c>
      <c r="J1215" s="55">
        <v>-46.719417</v>
      </c>
      <c r="L1215" s="61" t="str">
        <f t="shared" si="19"/>
        <v>Cliente20-Cliente22</v>
      </c>
      <c r="M1215">
        <v>3.518834</v>
      </c>
    </row>
    <row r="1216" spans="1:13" x14ac:dyDescent="0.25">
      <c r="A1216" s="15" t="s">
        <v>4290</v>
      </c>
      <c r="B1216" s="15" t="s">
        <v>4293</v>
      </c>
      <c r="C1216" s="52">
        <v>4.7410740000000002</v>
      </c>
      <c r="D1216" s="25">
        <v>1.2499999999999999E-2</v>
      </c>
      <c r="E1216" s="53">
        <v>-23.574141999999998</v>
      </c>
      <c r="F1216" s="53">
        <v>-46.735419999999998</v>
      </c>
      <c r="G1216" s="53">
        <v>-23.577013000000001</v>
      </c>
      <c r="H1216" s="53">
        <v>-46.725217999999998</v>
      </c>
      <c r="I1216" s="53">
        <v>-23.585065</v>
      </c>
      <c r="J1216" s="53">
        <v>-46.738157999999999</v>
      </c>
      <c r="L1216" s="61" t="str">
        <f t="shared" si="19"/>
        <v>Cliente20-Cliente23</v>
      </c>
      <c r="M1216">
        <v>4.7410740000000002</v>
      </c>
    </row>
    <row r="1217" spans="1:13" x14ac:dyDescent="0.25">
      <c r="A1217" s="15" t="s">
        <v>4290</v>
      </c>
      <c r="B1217" s="15" t="s">
        <v>4294</v>
      </c>
      <c r="C1217" s="54">
        <v>5.7203569999999999</v>
      </c>
      <c r="D1217" s="26">
        <v>1.4583333333333332E-2</v>
      </c>
      <c r="E1217" s="55">
        <v>-23.574144</v>
      </c>
      <c r="F1217" s="55">
        <v>-46.734757000000002</v>
      </c>
      <c r="G1217" s="55">
        <v>-23.577688999999999</v>
      </c>
      <c r="H1217" s="55">
        <v>-46.725076999999999</v>
      </c>
      <c r="I1217" s="55">
        <v>-23.589618000000002</v>
      </c>
      <c r="J1217" s="55">
        <v>-46.735771999999997</v>
      </c>
      <c r="L1217" s="61" t="str">
        <f t="shared" si="19"/>
        <v>Cliente20-Cliente24</v>
      </c>
      <c r="M1217">
        <v>5.7203569999999999</v>
      </c>
    </row>
    <row r="1218" spans="1:13" x14ac:dyDescent="0.25">
      <c r="A1218" s="15" t="s">
        <v>4290</v>
      </c>
      <c r="B1218" s="15" t="s">
        <v>4295</v>
      </c>
      <c r="C1218" s="52">
        <v>7.1165820000000002</v>
      </c>
      <c r="D1218" s="25">
        <v>1.8055555555555557E-2</v>
      </c>
      <c r="E1218" s="53">
        <v>-23.575073</v>
      </c>
      <c r="F1218" s="53">
        <v>-46.729022999999998</v>
      </c>
      <c r="G1218" s="53">
        <v>-23.584408</v>
      </c>
      <c r="H1218" s="53">
        <v>-46.737917000000003</v>
      </c>
      <c r="I1218" s="53">
        <v>-23.606546999999999</v>
      </c>
      <c r="J1218" s="53">
        <v>-46.751503999999997</v>
      </c>
      <c r="L1218" s="61" t="str">
        <f t="shared" si="19"/>
        <v>Cliente20-Cliente25</v>
      </c>
      <c r="M1218">
        <v>7.1165820000000002</v>
      </c>
    </row>
    <row r="1219" spans="1:13" x14ac:dyDescent="0.25">
      <c r="A1219" s="15" t="s">
        <v>4290</v>
      </c>
      <c r="B1219" s="15" t="s">
        <v>4296</v>
      </c>
      <c r="C1219" s="54">
        <v>6.9954140000000002</v>
      </c>
      <c r="D1219" s="26">
        <v>1.1805555555555555E-2</v>
      </c>
      <c r="E1219" s="55">
        <v>-23.567630000000001</v>
      </c>
      <c r="F1219" s="55">
        <v>-46.756920999999998</v>
      </c>
      <c r="G1219" s="55">
        <v>-23.592393000000001</v>
      </c>
      <c r="H1219" s="55">
        <v>-46.801475000000003</v>
      </c>
      <c r="I1219" s="55">
        <v>-23.587513999999999</v>
      </c>
      <c r="J1219" s="55">
        <v>-46.816871999999996</v>
      </c>
      <c r="L1219" s="61" t="str">
        <f t="shared" si="19"/>
        <v>Cliente20-Cliente26</v>
      </c>
      <c r="M1219">
        <v>6.9954140000000002</v>
      </c>
    </row>
    <row r="1220" spans="1:13" x14ac:dyDescent="0.25">
      <c r="A1220" s="15" t="s">
        <v>4290</v>
      </c>
      <c r="B1220" s="15" t="s">
        <v>4297</v>
      </c>
      <c r="C1220" s="52">
        <v>6.5200639999999996</v>
      </c>
      <c r="D1220" s="25">
        <v>1.5277777777777777E-2</v>
      </c>
      <c r="E1220" s="53">
        <v>-23.573761000000001</v>
      </c>
      <c r="F1220" s="53">
        <v>-46.733539999999998</v>
      </c>
      <c r="G1220" s="53">
        <v>-23.578990999999998</v>
      </c>
      <c r="H1220" s="53">
        <v>-46.728216000000003</v>
      </c>
      <c r="I1220" s="53">
        <v>-23.590474</v>
      </c>
      <c r="J1220" s="53">
        <v>-46.737152999999999</v>
      </c>
      <c r="L1220" s="61" t="str">
        <f t="shared" si="19"/>
        <v>Cliente20-Cliente27</v>
      </c>
      <c r="M1220">
        <v>6.5200639999999996</v>
      </c>
    </row>
    <row r="1221" spans="1:13" x14ac:dyDescent="0.25">
      <c r="A1221" s="15" t="s">
        <v>4290</v>
      </c>
      <c r="B1221" s="15" t="s">
        <v>4298</v>
      </c>
      <c r="C1221" s="54">
        <v>13.209142</v>
      </c>
      <c r="D1221" s="26">
        <v>2.2916666666666669E-2</v>
      </c>
      <c r="E1221" s="55">
        <v>-23.547471999999999</v>
      </c>
      <c r="F1221" s="55">
        <v>-46.734205000000003</v>
      </c>
      <c r="G1221" s="55">
        <v>-23.597878000000001</v>
      </c>
      <c r="H1221" s="55">
        <v>-46.697119000000001</v>
      </c>
      <c r="I1221" s="55">
        <v>-23.627122</v>
      </c>
      <c r="J1221" s="55">
        <v>-46.686264999999999</v>
      </c>
      <c r="L1221" s="61" t="str">
        <f t="shared" si="19"/>
        <v>Cliente20-Cliente28</v>
      </c>
      <c r="M1221">
        <v>13.209142</v>
      </c>
    </row>
    <row r="1222" spans="1:13" x14ac:dyDescent="0.25">
      <c r="A1222" s="15" t="s">
        <v>4290</v>
      </c>
      <c r="B1222" s="15" t="s">
        <v>4299</v>
      </c>
      <c r="C1222" s="52">
        <v>17.85266</v>
      </c>
      <c r="D1222" s="25">
        <v>2.9166666666666664E-2</v>
      </c>
      <c r="E1222" s="53">
        <v>-23.563141999999999</v>
      </c>
      <c r="F1222" s="53">
        <v>-46.706037999999999</v>
      </c>
      <c r="G1222" s="53">
        <v>-23.623759</v>
      </c>
      <c r="H1222" s="53">
        <v>-46.650767000000002</v>
      </c>
      <c r="I1222" s="53">
        <v>-23.621165999999999</v>
      </c>
      <c r="J1222" s="53">
        <v>-46.606805999999999</v>
      </c>
      <c r="L1222" s="61" t="str">
        <f t="shared" si="19"/>
        <v>Cliente20-Cliente29</v>
      </c>
      <c r="M1222">
        <v>17.85266</v>
      </c>
    </row>
    <row r="1223" spans="1:13" x14ac:dyDescent="0.25">
      <c r="A1223" s="15" t="s">
        <v>4290</v>
      </c>
      <c r="B1223" s="15" t="s">
        <v>4300</v>
      </c>
      <c r="C1223" s="54">
        <v>26.133073</v>
      </c>
      <c r="D1223" s="26">
        <v>4.3055555555555562E-2</v>
      </c>
      <c r="E1223" s="55">
        <v>-23.592648000000001</v>
      </c>
      <c r="F1223" s="55">
        <v>-46.694594000000002</v>
      </c>
      <c r="G1223" s="55">
        <v>-23.604876999999998</v>
      </c>
      <c r="H1223" s="55">
        <v>-46.599871</v>
      </c>
      <c r="I1223" s="55">
        <v>-23.656489000000001</v>
      </c>
      <c r="J1223" s="55">
        <v>-46.549354999999998</v>
      </c>
      <c r="L1223" s="61" t="str">
        <f t="shared" si="19"/>
        <v>Cliente20-Cliente30</v>
      </c>
      <c r="M1223">
        <v>26.133073</v>
      </c>
    </row>
    <row r="1224" spans="1:13" x14ac:dyDescent="0.25">
      <c r="A1224" s="15" t="s">
        <v>4290</v>
      </c>
      <c r="B1224" s="15" t="s">
        <v>4301</v>
      </c>
      <c r="C1224" s="52">
        <v>5.7035799999999997</v>
      </c>
      <c r="D1224" s="25">
        <v>1.5277777777777777E-2</v>
      </c>
      <c r="E1224" s="53">
        <v>-23.554758</v>
      </c>
      <c r="F1224" s="53">
        <v>-46.7517</v>
      </c>
      <c r="G1224" s="53">
        <v>-23.531186000000002</v>
      </c>
      <c r="H1224" s="53">
        <v>-46.786028000000002</v>
      </c>
      <c r="I1224" s="53">
        <v>-23.538568000000001</v>
      </c>
      <c r="J1224" s="53">
        <v>-46.788207999999997</v>
      </c>
      <c r="L1224" s="61" t="str">
        <f t="shared" si="19"/>
        <v>Cliente20-Cliente31</v>
      </c>
      <c r="M1224">
        <v>5.7035799999999997</v>
      </c>
    </row>
    <row r="1225" spans="1:13" x14ac:dyDescent="0.25">
      <c r="A1225" s="15" t="s">
        <v>4290</v>
      </c>
      <c r="B1225" s="15" t="s">
        <v>4302</v>
      </c>
      <c r="C1225" s="54">
        <v>8.2126830000000002</v>
      </c>
      <c r="D1225" s="26">
        <v>1.5972222222222224E-2</v>
      </c>
      <c r="E1225" s="55">
        <v>-23.544494</v>
      </c>
      <c r="F1225" s="55">
        <v>-46.732280000000003</v>
      </c>
      <c r="G1225" s="55">
        <v>-23.518775999999999</v>
      </c>
      <c r="H1225" s="55">
        <v>-46.744508000000003</v>
      </c>
      <c r="I1225" s="55">
        <v>-23.507164</v>
      </c>
      <c r="J1225" s="55">
        <v>-46.736916000000001</v>
      </c>
      <c r="L1225" s="61" t="str">
        <f t="shared" si="19"/>
        <v>Cliente20-Cliente32</v>
      </c>
      <c r="M1225">
        <v>8.2126830000000002</v>
      </c>
    </row>
    <row r="1226" spans="1:13" x14ac:dyDescent="0.25">
      <c r="A1226" s="15" t="s">
        <v>4290</v>
      </c>
      <c r="B1226" s="15" t="s">
        <v>4303</v>
      </c>
      <c r="C1226" s="52">
        <v>22.224639</v>
      </c>
      <c r="D1226" s="25">
        <v>3.0555555555555555E-2</v>
      </c>
      <c r="E1226" s="53">
        <v>-23.532643</v>
      </c>
      <c r="F1226" s="53">
        <v>-46.747456999999997</v>
      </c>
      <c r="G1226" s="53">
        <v>-23.517282999999999</v>
      </c>
      <c r="H1226" s="53">
        <v>-46.654156999999998</v>
      </c>
      <c r="I1226" s="53">
        <v>-23.50074</v>
      </c>
      <c r="J1226" s="53">
        <v>-46.559711999999998</v>
      </c>
      <c r="L1226" s="61" t="str">
        <f t="shared" si="19"/>
        <v>Cliente20-Cliente33</v>
      </c>
      <c r="M1226">
        <v>22.224639</v>
      </c>
    </row>
    <row r="1227" spans="1:13" x14ac:dyDescent="0.25">
      <c r="A1227" s="15" t="s">
        <v>4290</v>
      </c>
      <c r="B1227" s="15" t="s">
        <v>4304</v>
      </c>
      <c r="C1227" s="54">
        <v>12.740005</v>
      </c>
      <c r="D1227" s="26">
        <v>2.4305555555555556E-2</v>
      </c>
      <c r="E1227" s="55">
        <v>-23.526471999999998</v>
      </c>
      <c r="F1227" s="55">
        <v>-46.773662999999999</v>
      </c>
      <c r="G1227" s="55">
        <v>-23.507615000000001</v>
      </c>
      <c r="H1227" s="55">
        <v>-46.828420999999999</v>
      </c>
      <c r="I1227" s="55">
        <v>-23.480205000000002</v>
      </c>
      <c r="J1227" s="55">
        <v>-46.831201999999998</v>
      </c>
      <c r="L1227" s="61" t="str">
        <f t="shared" si="19"/>
        <v>Cliente20-Cliente34</v>
      </c>
      <c r="M1227">
        <v>12.740005</v>
      </c>
    </row>
    <row r="1228" spans="1:13" x14ac:dyDescent="0.25">
      <c r="A1228" s="15" t="s">
        <v>4290</v>
      </c>
      <c r="B1228" s="15" t="s">
        <v>4305</v>
      </c>
      <c r="C1228" s="52">
        <v>13.335902000000001</v>
      </c>
      <c r="D1228" s="25">
        <v>2.361111111111111E-2</v>
      </c>
      <c r="E1228" s="53">
        <v>-23.533263999999999</v>
      </c>
      <c r="F1228" s="53">
        <v>-46.772855</v>
      </c>
      <c r="G1228" s="53">
        <v>-23.511731999999999</v>
      </c>
      <c r="H1228" s="53">
        <v>-46.800997000000002</v>
      </c>
      <c r="I1228" s="53">
        <v>-23.485437999999998</v>
      </c>
      <c r="J1228" s="53">
        <v>-46.857388</v>
      </c>
      <c r="L1228" s="61" t="str">
        <f t="shared" si="19"/>
        <v>Cliente20-Cliente35</v>
      </c>
      <c r="M1228">
        <v>13.335902000000001</v>
      </c>
    </row>
    <row r="1229" spans="1:13" x14ac:dyDescent="0.25">
      <c r="A1229" s="15" t="s">
        <v>4290</v>
      </c>
      <c r="B1229" s="15" t="s">
        <v>4306</v>
      </c>
      <c r="C1229" s="54">
        <v>143.45073099999999</v>
      </c>
      <c r="D1229" s="26">
        <v>0.12222222222222223</v>
      </c>
      <c r="E1229" s="55">
        <v>-23.348537</v>
      </c>
      <c r="F1229" s="55">
        <v>-46.811100000000003</v>
      </c>
      <c r="G1229" s="55">
        <v>-22.942851999999998</v>
      </c>
      <c r="H1229" s="55">
        <v>-47.125774999999997</v>
      </c>
      <c r="I1229" s="55">
        <v>-22.463215000000002</v>
      </c>
      <c r="J1229" s="55">
        <v>-47.522052000000002</v>
      </c>
      <c r="L1229" s="61" t="str">
        <f t="shared" si="19"/>
        <v>Cliente20-Cliente36</v>
      </c>
      <c r="M1229">
        <v>143.45073099999999</v>
      </c>
    </row>
    <row r="1230" spans="1:13" x14ac:dyDescent="0.25">
      <c r="A1230" s="15" t="s">
        <v>4290</v>
      </c>
      <c r="B1230" s="15" t="s">
        <v>4307</v>
      </c>
      <c r="C1230" s="52">
        <v>142.35400799999999</v>
      </c>
      <c r="D1230" s="25">
        <v>0.12083333333333333</v>
      </c>
      <c r="E1230" s="53">
        <v>-23.340357000000001</v>
      </c>
      <c r="F1230" s="53">
        <v>-46.819705999999996</v>
      </c>
      <c r="G1230" s="53">
        <v>-22.936243999999999</v>
      </c>
      <c r="H1230" s="53">
        <v>-47.126902000000001</v>
      </c>
      <c r="I1230" s="53">
        <v>-22.461528999999999</v>
      </c>
      <c r="J1230" s="53">
        <v>-47.535850000000003</v>
      </c>
      <c r="L1230" s="61" t="str">
        <f t="shared" si="19"/>
        <v>Cliente20-Cliente37</v>
      </c>
      <c r="M1230">
        <v>142.35400799999999</v>
      </c>
    </row>
    <row r="1231" spans="1:13" x14ac:dyDescent="0.25">
      <c r="A1231" s="15" t="s">
        <v>4290</v>
      </c>
      <c r="B1231" s="15" t="s">
        <v>4308</v>
      </c>
      <c r="C1231" s="54">
        <v>140.577504</v>
      </c>
      <c r="D1231" s="26">
        <v>0.11875000000000001</v>
      </c>
      <c r="E1231" s="55">
        <v>-23.350290000000001</v>
      </c>
      <c r="F1231" s="55">
        <v>-46.807253000000003</v>
      </c>
      <c r="G1231" s="55">
        <v>-22.967222</v>
      </c>
      <c r="H1231" s="55">
        <v>-47.118684999999999</v>
      </c>
      <c r="I1231" s="55">
        <v>-22.501315000000002</v>
      </c>
      <c r="J1231" s="55">
        <v>-47.397235000000002</v>
      </c>
      <c r="L1231" s="61" t="str">
        <f t="shared" si="19"/>
        <v>Cliente20-Cliente38</v>
      </c>
      <c r="M1231">
        <v>140.577504</v>
      </c>
    </row>
    <row r="1232" spans="1:13" x14ac:dyDescent="0.25">
      <c r="A1232" s="15" t="s">
        <v>4290</v>
      </c>
      <c r="B1232" s="15" t="s">
        <v>4309</v>
      </c>
      <c r="C1232" s="52">
        <v>91.961922000000001</v>
      </c>
      <c r="D1232" s="25">
        <v>8.7500000000000008E-2</v>
      </c>
      <c r="E1232" s="53">
        <v>-23.511005000000001</v>
      </c>
      <c r="F1232" s="53">
        <v>-46.683208999999998</v>
      </c>
      <c r="G1232" s="53">
        <v>-23.394511999999999</v>
      </c>
      <c r="H1232" s="53">
        <v>-46.288277999999998</v>
      </c>
      <c r="I1232" s="53">
        <v>-23.297806999999999</v>
      </c>
      <c r="J1232" s="53">
        <v>-46.009369999999997</v>
      </c>
      <c r="L1232" s="61" t="str">
        <f t="shared" si="19"/>
        <v>Cliente20-Cliente39</v>
      </c>
      <c r="M1232">
        <v>91.961922000000001</v>
      </c>
    </row>
    <row r="1233" spans="1:13" x14ac:dyDescent="0.25">
      <c r="A1233" s="15" t="s">
        <v>4290</v>
      </c>
      <c r="B1233" s="15" t="s">
        <v>4310</v>
      </c>
      <c r="C1233" s="54">
        <v>96.817329000000001</v>
      </c>
      <c r="D1233" s="26">
        <v>9.5833333333333326E-2</v>
      </c>
      <c r="E1233" s="55">
        <v>-23.518433999999999</v>
      </c>
      <c r="F1233" s="55">
        <v>-46.645426999999998</v>
      </c>
      <c r="G1233" s="55">
        <v>-23.368745000000001</v>
      </c>
      <c r="H1233" s="55">
        <v>-46.234957999999999</v>
      </c>
      <c r="I1233" s="55">
        <v>-23.038605</v>
      </c>
      <c r="J1233" s="55">
        <v>-45.560336999999997</v>
      </c>
      <c r="L1233" s="61" t="str">
        <f t="shared" si="19"/>
        <v>Cliente20-Cliente40</v>
      </c>
      <c r="M1233">
        <v>96.817329000000001</v>
      </c>
    </row>
    <row r="1234" spans="1:13" x14ac:dyDescent="0.25">
      <c r="A1234" s="15" t="s">
        <v>4290</v>
      </c>
      <c r="B1234" s="15" t="s">
        <v>4311</v>
      </c>
      <c r="C1234" s="52">
        <v>83.000484999999998</v>
      </c>
      <c r="D1234" s="25">
        <v>8.1944444444444445E-2</v>
      </c>
      <c r="E1234" s="53">
        <v>-23.513693</v>
      </c>
      <c r="F1234" s="53">
        <v>-46.679369999999999</v>
      </c>
      <c r="G1234" s="53">
        <v>-23.378015999999999</v>
      </c>
      <c r="H1234" s="53">
        <v>-46.254795000000001</v>
      </c>
      <c r="I1234" s="53">
        <v>-23.244430000000001</v>
      </c>
      <c r="J1234" s="53">
        <v>-45.926609999999997</v>
      </c>
      <c r="L1234" s="61" t="str">
        <f t="shared" ref="L1234:L1297" si="20">_xlfn.CONCAT(A1234,"-",B1234)</f>
        <v>Cliente20-Cliente41</v>
      </c>
      <c r="M1234">
        <v>83.000484999999998</v>
      </c>
    </row>
    <row r="1235" spans="1:13" x14ac:dyDescent="0.25">
      <c r="A1235" s="15" t="s">
        <v>4290</v>
      </c>
      <c r="B1235" s="15" t="s">
        <v>4312</v>
      </c>
      <c r="C1235" s="54">
        <v>79.529497000000006</v>
      </c>
      <c r="D1235" s="26">
        <v>7.4305555555555555E-2</v>
      </c>
      <c r="E1235" s="55">
        <v>-23.510446999999999</v>
      </c>
      <c r="F1235" s="55">
        <v>-46.720799999999997</v>
      </c>
      <c r="G1235" s="55">
        <v>-23.413406999999999</v>
      </c>
      <c r="H1235" s="55">
        <v>-46.360911000000002</v>
      </c>
      <c r="I1235" s="55">
        <v>-23.337396999999999</v>
      </c>
      <c r="J1235" s="55">
        <v>-46.147202</v>
      </c>
      <c r="L1235" s="61" t="str">
        <f t="shared" si="20"/>
        <v>Cliente20-Cliente42</v>
      </c>
      <c r="M1235">
        <v>79.529497000000006</v>
      </c>
    </row>
    <row r="1236" spans="1:13" x14ac:dyDescent="0.25">
      <c r="A1236" s="15" t="s">
        <v>4290</v>
      </c>
      <c r="B1236" s="15" t="s">
        <v>4313</v>
      </c>
      <c r="C1236" s="52">
        <v>102.182261</v>
      </c>
      <c r="D1236" s="25">
        <v>9.5138888888888884E-2</v>
      </c>
      <c r="E1236" s="53">
        <v>-23.517282999999999</v>
      </c>
      <c r="F1236" s="53">
        <v>-46.654156999999998</v>
      </c>
      <c r="G1236" s="53">
        <v>-23.369716</v>
      </c>
      <c r="H1236" s="53">
        <v>-46.240248999999999</v>
      </c>
      <c r="I1236" s="53">
        <v>-23.052363</v>
      </c>
      <c r="J1236" s="53">
        <v>-45.606071999999998</v>
      </c>
      <c r="L1236" s="61" t="str">
        <f t="shared" si="20"/>
        <v>Cliente20-Cliente43</v>
      </c>
      <c r="M1236">
        <v>102.182261</v>
      </c>
    </row>
    <row r="1237" spans="1:13" x14ac:dyDescent="0.25">
      <c r="A1237" s="15" t="s">
        <v>4290</v>
      </c>
      <c r="B1237" s="15" t="s">
        <v>4314</v>
      </c>
      <c r="C1237" s="54">
        <v>62.108691</v>
      </c>
      <c r="D1237" s="26">
        <v>6.3194444444444442E-2</v>
      </c>
      <c r="E1237" s="55">
        <v>-23.563580000000002</v>
      </c>
      <c r="F1237" s="55">
        <v>-46.820070999999999</v>
      </c>
      <c r="G1237" s="55">
        <v>-23.467303000000001</v>
      </c>
      <c r="H1237" s="55">
        <v>-47.023525999999997</v>
      </c>
      <c r="I1237" s="55">
        <v>-23.401465000000002</v>
      </c>
      <c r="J1237" s="55">
        <v>-47.329757000000001</v>
      </c>
      <c r="L1237" s="61" t="str">
        <f t="shared" si="20"/>
        <v>Cliente20-Cliente44</v>
      </c>
      <c r="M1237">
        <v>62.108691</v>
      </c>
    </row>
    <row r="1238" spans="1:13" x14ac:dyDescent="0.25">
      <c r="A1238" s="15" t="s">
        <v>4290</v>
      </c>
      <c r="B1238" s="15" t="s">
        <v>4315</v>
      </c>
      <c r="C1238" s="52">
        <v>63.225296999999998</v>
      </c>
      <c r="D1238" s="25">
        <v>6.5972222222222224E-2</v>
      </c>
      <c r="E1238" s="53">
        <v>-23.507006000000001</v>
      </c>
      <c r="F1238" s="53">
        <v>-46.834629999999997</v>
      </c>
      <c r="G1238" s="53">
        <v>-23.418334999999999</v>
      </c>
      <c r="H1238" s="53">
        <v>-47.215012999999999</v>
      </c>
      <c r="I1238" s="53">
        <v>-23.493462999999998</v>
      </c>
      <c r="J1238" s="53">
        <v>-47.390948999999999</v>
      </c>
      <c r="L1238" s="61" t="str">
        <f t="shared" si="20"/>
        <v>Cliente20-Cliente45</v>
      </c>
      <c r="M1238">
        <v>63.225296999999998</v>
      </c>
    </row>
    <row r="1239" spans="1:13" x14ac:dyDescent="0.25">
      <c r="A1239" s="15" t="s">
        <v>4290</v>
      </c>
      <c r="B1239" s="15" t="s">
        <v>4316</v>
      </c>
      <c r="C1239" s="54">
        <v>60.189892</v>
      </c>
      <c r="D1239" s="26">
        <v>6.0416666666666667E-2</v>
      </c>
      <c r="E1239" s="55">
        <v>-23.565037</v>
      </c>
      <c r="F1239" s="55">
        <v>-46.819653000000002</v>
      </c>
      <c r="G1239" s="55">
        <v>-23.472094999999999</v>
      </c>
      <c r="H1239" s="55">
        <v>-47.007860999999998</v>
      </c>
      <c r="I1239" s="55">
        <v>-23.409723</v>
      </c>
      <c r="J1239" s="55">
        <v>-47.278654000000003</v>
      </c>
      <c r="L1239" s="61" t="str">
        <f t="shared" si="20"/>
        <v>Cliente20-Cliente46</v>
      </c>
      <c r="M1239">
        <v>60.189892</v>
      </c>
    </row>
    <row r="1240" spans="1:13" x14ac:dyDescent="0.25">
      <c r="A1240" s="15" t="s">
        <v>4290</v>
      </c>
      <c r="B1240" s="15" t="s">
        <v>4317</v>
      </c>
      <c r="C1240" s="52">
        <v>189.90704299999999</v>
      </c>
      <c r="D1240" s="25">
        <v>0.15625</v>
      </c>
      <c r="E1240" s="53">
        <v>-23.316742000000001</v>
      </c>
      <c r="F1240" s="53">
        <v>-46.823464999999999</v>
      </c>
      <c r="G1240" s="53">
        <v>-22.900372999999998</v>
      </c>
      <c r="H1240" s="53">
        <v>-47.136681000000003</v>
      </c>
      <c r="I1240" s="53">
        <v>-22.271709999999999</v>
      </c>
      <c r="J1240" s="53">
        <v>-47.391724000000004</v>
      </c>
      <c r="L1240" s="61" t="str">
        <f t="shared" si="20"/>
        <v>Cliente20-Cliente47</v>
      </c>
      <c r="M1240">
        <v>189.90704299999999</v>
      </c>
    </row>
    <row r="1241" spans="1:13" x14ac:dyDescent="0.25">
      <c r="A1241" s="15" t="s">
        <v>4290</v>
      </c>
      <c r="B1241" s="15" t="s">
        <v>4318</v>
      </c>
      <c r="C1241" s="54">
        <v>199.01823099999999</v>
      </c>
      <c r="D1241" s="26">
        <v>0.16458333333333333</v>
      </c>
      <c r="E1241" s="55">
        <v>-23.296227999999999</v>
      </c>
      <c r="F1241" s="55">
        <v>-46.841242000000001</v>
      </c>
      <c r="G1241" s="55">
        <v>-22.827233</v>
      </c>
      <c r="H1241" s="55">
        <v>-47.184015000000002</v>
      </c>
      <c r="I1241" s="55">
        <v>-21.826577</v>
      </c>
      <c r="J1241" s="55">
        <v>-47.495210999999998</v>
      </c>
      <c r="L1241" s="61" t="str">
        <f t="shared" si="20"/>
        <v>Cliente20-Cliente48</v>
      </c>
      <c r="M1241">
        <v>199.01823099999999</v>
      </c>
    </row>
    <row r="1242" spans="1:13" x14ac:dyDescent="0.25">
      <c r="A1242" s="15" t="s">
        <v>4290</v>
      </c>
      <c r="B1242" s="15" t="s">
        <v>4319</v>
      </c>
      <c r="C1242" s="52">
        <v>192.65599599999999</v>
      </c>
      <c r="D1242" s="25">
        <v>0.16041666666666668</v>
      </c>
      <c r="E1242" s="53">
        <v>-23.309108999999999</v>
      </c>
      <c r="F1242" s="53">
        <v>-46.833942</v>
      </c>
      <c r="G1242" s="53">
        <v>-22.859562</v>
      </c>
      <c r="H1242" s="53">
        <v>-47.143931000000002</v>
      </c>
      <c r="I1242" s="53">
        <v>-22.135707</v>
      </c>
      <c r="J1242" s="53">
        <v>-47.408588000000002</v>
      </c>
      <c r="L1242" s="61" t="str">
        <f t="shared" si="20"/>
        <v>Cliente20-Cliente49</v>
      </c>
      <c r="M1242">
        <v>192.65599599999999</v>
      </c>
    </row>
    <row r="1243" spans="1:13" x14ac:dyDescent="0.25">
      <c r="A1243" s="15" t="s">
        <v>4290</v>
      </c>
      <c r="B1243" s="15" t="s">
        <v>4320</v>
      </c>
      <c r="C1243" s="54">
        <v>205.56812099999999</v>
      </c>
      <c r="D1243" s="26">
        <v>0.17083333333333331</v>
      </c>
      <c r="E1243" s="55">
        <v>-23.500024</v>
      </c>
      <c r="F1243" s="55">
        <v>-46.982743999999997</v>
      </c>
      <c r="G1243" s="55">
        <v>-23.27355</v>
      </c>
      <c r="H1243" s="55">
        <v>-47.828702999999997</v>
      </c>
      <c r="I1243" s="55">
        <v>-22.884874</v>
      </c>
      <c r="J1243" s="55">
        <v>-48.461320000000001</v>
      </c>
      <c r="L1243" s="61" t="str">
        <f t="shared" si="20"/>
        <v>Cliente20-Cliente50</v>
      </c>
      <c r="M1243">
        <v>205.56812099999999</v>
      </c>
    </row>
    <row r="1244" spans="1:13" x14ac:dyDescent="0.25">
      <c r="A1244" s="15" t="s">
        <v>4290</v>
      </c>
      <c r="B1244" s="15" t="s">
        <v>4321</v>
      </c>
      <c r="C1244" s="52">
        <v>202.10024000000001</v>
      </c>
      <c r="D1244" s="25">
        <v>0.1673611111111111</v>
      </c>
      <c r="E1244" s="53">
        <v>-23.515350000000002</v>
      </c>
      <c r="F1244" s="53">
        <v>-46.963603999999997</v>
      </c>
      <c r="G1244" s="53">
        <v>-23.295396</v>
      </c>
      <c r="H1244" s="53">
        <v>-47.712263999999998</v>
      </c>
      <c r="I1244" s="53">
        <v>-22.905007000000001</v>
      </c>
      <c r="J1244" s="53">
        <v>-48.453077</v>
      </c>
      <c r="L1244" s="61" t="str">
        <f t="shared" si="20"/>
        <v>Cliente20-Cliente51</v>
      </c>
      <c r="M1244">
        <v>202.10024000000001</v>
      </c>
    </row>
    <row r="1245" spans="1:13" x14ac:dyDescent="0.25">
      <c r="A1245" s="15" t="s">
        <v>4291</v>
      </c>
      <c r="B1245" s="15" t="s">
        <v>4268</v>
      </c>
      <c r="C1245" s="54">
        <v>55.668162000000002</v>
      </c>
      <c r="D1245" s="26">
        <v>4.8611111111111112E-2</v>
      </c>
      <c r="E1245" s="55">
        <v>-23.524611</v>
      </c>
      <c r="F1245" s="55">
        <v>-46.754534999999997</v>
      </c>
      <c r="G1245" s="55">
        <v>-23.461669000000001</v>
      </c>
      <c r="H1245" s="55">
        <v>-47.039842999999998</v>
      </c>
      <c r="I1245" s="55">
        <v>-23.413698</v>
      </c>
      <c r="J1245" s="55">
        <v>-47.271191000000002</v>
      </c>
      <c r="L1245" s="61" t="str">
        <f t="shared" si="20"/>
        <v>Cliente21-depósito A</v>
      </c>
      <c r="M1245">
        <v>55.668162000000002</v>
      </c>
    </row>
    <row r="1246" spans="1:13" x14ac:dyDescent="0.25">
      <c r="A1246" s="15" t="s">
        <v>4291</v>
      </c>
      <c r="B1246" s="15" t="s">
        <v>4269</v>
      </c>
      <c r="C1246" s="52">
        <v>164.766302</v>
      </c>
      <c r="D1246" s="25">
        <v>0.13402777777777777</v>
      </c>
      <c r="E1246" s="53">
        <v>-23.301447</v>
      </c>
      <c r="F1246" s="53">
        <v>-46.840581</v>
      </c>
      <c r="G1246" s="53">
        <v>-22.900372999999998</v>
      </c>
      <c r="H1246" s="53">
        <v>-47.136681000000003</v>
      </c>
      <c r="I1246" s="53">
        <v>-22.452338000000001</v>
      </c>
      <c r="J1246" s="53">
        <v>-47.555236000000001</v>
      </c>
      <c r="L1246" s="61" t="str">
        <f t="shared" si="20"/>
        <v>Cliente21-depósito B</v>
      </c>
      <c r="M1246">
        <v>164.766302</v>
      </c>
    </row>
    <row r="1247" spans="1:13" x14ac:dyDescent="0.25">
      <c r="A1247" s="15" t="s">
        <v>4291</v>
      </c>
      <c r="B1247" s="15" t="s">
        <v>4270</v>
      </c>
      <c r="C1247" s="54">
        <v>57.026482999999999</v>
      </c>
      <c r="D1247" s="26">
        <v>5.486111111111111E-2</v>
      </c>
      <c r="E1247" s="55">
        <v>-23.516403</v>
      </c>
      <c r="F1247" s="55">
        <v>-46.661253000000002</v>
      </c>
      <c r="G1247" s="55">
        <v>-23.409220999999999</v>
      </c>
      <c r="H1247" s="55">
        <v>-46.341467999999999</v>
      </c>
      <c r="I1247" s="55">
        <v>-23.351889</v>
      </c>
      <c r="J1247" s="55">
        <v>-46.179844000000003</v>
      </c>
      <c r="L1247" s="61" t="str">
        <f t="shared" si="20"/>
        <v>Cliente21-depósito C</v>
      </c>
      <c r="M1247">
        <v>57.026482999999999</v>
      </c>
    </row>
    <row r="1248" spans="1:13" x14ac:dyDescent="0.25">
      <c r="A1248" s="15" t="s">
        <v>4291</v>
      </c>
      <c r="B1248" s="15" t="s">
        <v>4271</v>
      </c>
      <c r="C1248" s="52">
        <v>54.851678</v>
      </c>
      <c r="D1248" s="25">
        <v>4.8611111111111112E-2</v>
      </c>
      <c r="E1248" s="53">
        <v>-23.471793000000002</v>
      </c>
      <c r="F1248" s="53">
        <v>-46.748151</v>
      </c>
      <c r="G1248" s="53">
        <v>-23.281606</v>
      </c>
      <c r="H1248" s="53">
        <v>-46.848067</v>
      </c>
      <c r="I1248" s="53">
        <v>-23.057791999999999</v>
      </c>
      <c r="J1248" s="53">
        <v>-47.044170000000001</v>
      </c>
      <c r="L1248" s="61" t="str">
        <f t="shared" si="20"/>
        <v>Cliente21-Cliente1</v>
      </c>
      <c r="M1248">
        <v>54.851678</v>
      </c>
    </row>
    <row r="1249" spans="1:13" x14ac:dyDescent="0.25">
      <c r="A1249" s="15" t="s">
        <v>4291</v>
      </c>
      <c r="B1249" s="15" t="s">
        <v>4272</v>
      </c>
      <c r="C1249" s="54">
        <v>58.619683000000002</v>
      </c>
      <c r="D1249" s="26">
        <v>5.4166666666666669E-2</v>
      </c>
      <c r="E1249" s="55">
        <v>-23.424655000000001</v>
      </c>
      <c r="F1249" s="55">
        <v>-46.760683</v>
      </c>
      <c r="G1249" s="55">
        <v>-23.254868999999999</v>
      </c>
      <c r="H1249" s="55">
        <v>-46.870063999999999</v>
      </c>
      <c r="I1249" s="55">
        <v>-22.994116000000002</v>
      </c>
      <c r="J1249" s="55">
        <v>-47.107070999999998</v>
      </c>
      <c r="L1249" s="61" t="str">
        <f t="shared" si="20"/>
        <v>Cliente21-Cliente2</v>
      </c>
      <c r="M1249">
        <v>58.619683000000002</v>
      </c>
    </row>
    <row r="1250" spans="1:13" x14ac:dyDescent="0.25">
      <c r="A1250" s="15" t="s">
        <v>4291</v>
      </c>
      <c r="B1250" s="15" t="s">
        <v>4273</v>
      </c>
      <c r="C1250" s="52">
        <v>56.598978000000002</v>
      </c>
      <c r="D1250" s="25">
        <v>5.1388888888888894E-2</v>
      </c>
      <c r="E1250" s="53">
        <v>-23.462112000000001</v>
      </c>
      <c r="F1250" s="53">
        <v>-46.752139999999997</v>
      </c>
      <c r="G1250" s="53">
        <v>-23.272092000000001</v>
      </c>
      <c r="H1250" s="53">
        <v>-46.854826000000003</v>
      </c>
      <c r="I1250" s="53">
        <v>-23.037751</v>
      </c>
      <c r="J1250" s="53">
        <v>-47.068987999999997</v>
      </c>
      <c r="L1250" s="61" t="str">
        <f t="shared" si="20"/>
        <v>Cliente21-Cliente3</v>
      </c>
      <c r="M1250">
        <v>56.598978000000002</v>
      </c>
    </row>
    <row r="1251" spans="1:13" x14ac:dyDescent="0.25">
      <c r="A1251" s="15" t="s">
        <v>4291</v>
      </c>
      <c r="B1251" s="15" t="s">
        <v>4274</v>
      </c>
      <c r="C1251" s="54">
        <v>66.755937000000003</v>
      </c>
      <c r="D1251" s="26">
        <v>5.8333333333333327E-2</v>
      </c>
      <c r="E1251" s="55">
        <v>-23.410371000000001</v>
      </c>
      <c r="F1251" s="55">
        <v>-46.767124000000003</v>
      </c>
      <c r="G1251" s="55">
        <v>-23.213062000000001</v>
      </c>
      <c r="H1251" s="55">
        <v>-46.920383000000001</v>
      </c>
      <c r="I1251" s="55">
        <v>-22.986733000000001</v>
      </c>
      <c r="J1251" s="55">
        <v>-47.054166000000002</v>
      </c>
      <c r="L1251" s="61" t="str">
        <f t="shared" si="20"/>
        <v>Cliente21-Cliente4</v>
      </c>
      <c r="M1251">
        <v>66.755937000000003</v>
      </c>
    </row>
    <row r="1252" spans="1:13" x14ac:dyDescent="0.25">
      <c r="A1252" s="15" t="s">
        <v>4291</v>
      </c>
      <c r="B1252" s="15" t="s">
        <v>4275</v>
      </c>
      <c r="C1252" s="52">
        <v>66.849142999999998</v>
      </c>
      <c r="D1252" s="25">
        <v>5.8333333333333327E-2</v>
      </c>
      <c r="E1252" s="53">
        <v>-23.412851</v>
      </c>
      <c r="F1252" s="53">
        <v>-46.766370000000002</v>
      </c>
      <c r="G1252" s="53">
        <v>-23.234124000000001</v>
      </c>
      <c r="H1252" s="53">
        <v>-46.892462000000002</v>
      </c>
      <c r="I1252" s="53">
        <v>-22.988741000000001</v>
      </c>
      <c r="J1252" s="53">
        <v>-47.058788</v>
      </c>
      <c r="L1252" s="61" t="str">
        <f t="shared" si="20"/>
        <v>Cliente21-Cliente5</v>
      </c>
      <c r="M1252">
        <v>66.849142999999998</v>
      </c>
    </row>
    <row r="1253" spans="1:13" x14ac:dyDescent="0.25">
      <c r="A1253" s="15" t="s">
        <v>4291</v>
      </c>
      <c r="B1253" s="15" t="s">
        <v>4276</v>
      </c>
      <c r="C1253" s="54">
        <v>49.224527000000002</v>
      </c>
      <c r="D1253" s="26">
        <v>4.7222222222222221E-2</v>
      </c>
      <c r="E1253" s="55">
        <v>-23.462112000000001</v>
      </c>
      <c r="F1253" s="55">
        <v>-46.752139999999997</v>
      </c>
      <c r="G1253" s="55">
        <v>-23.275991000000001</v>
      </c>
      <c r="H1253" s="55">
        <v>-46.850140000000003</v>
      </c>
      <c r="I1253" s="55">
        <v>-23.039964000000001</v>
      </c>
      <c r="J1253" s="55">
        <v>-47.007879000000003</v>
      </c>
      <c r="L1253" s="61" t="str">
        <f t="shared" si="20"/>
        <v>Cliente21-Cliente6</v>
      </c>
      <c r="M1253">
        <v>49.224527000000002</v>
      </c>
    </row>
    <row r="1254" spans="1:13" x14ac:dyDescent="0.25">
      <c r="A1254" s="15" t="s">
        <v>4291</v>
      </c>
      <c r="B1254" s="15" t="s">
        <v>4277</v>
      </c>
      <c r="C1254" s="52">
        <v>53.942610000000002</v>
      </c>
      <c r="D1254" s="25">
        <v>4.7916666666666663E-2</v>
      </c>
      <c r="E1254" s="53">
        <v>-23.476095999999998</v>
      </c>
      <c r="F1254" s="53">
        <v>-46.742280999999998</v>
      </c>
      <c r="G1254" s="53">
        <v>-23.302479999999999</v>
      </c>
      <c r="H1254" s="53">
        <v>-46.840218</v>
      </c>
      <c r="I1254" s="53">
        <v>-23.110254000000001</v>
      </c>
      <c r="J1254" s="53">
        <v>-47.004246000000002</v>
      </c>
      <c r="L1254" s="61" t="str">
        <f t="shared" si="20"/>
        <v>Cliente21-Cliente7</v>
      </c>
      <c r="M1254">
        <v>53.942610000000002</v>
      </c>
    </row>
    <row r="1255" spans="1:13" x14ac:dyDescent="0.25">
      <c r="A1255" s="15" t="s">
        <v>4291</v>
      </c>
      <c r="B1255" s="15" t="s">
        <v>4278</v>
      </c>
      <c r="C1255" s="54">
        <v>62.972399000000003</v>
      </c>
      <c r="D1255" s="26">
        <v>5.5555555555555552E-2</v>
      </c>
      <c r="E1255" s="55">
        <v>-23.408905000000001</v>
      </c>
      <c r="F1255" s="55">
        <v>-46.767395</v>
      </c>
      <c r="G1255" s="55">
        <v>-23.209679000000001</v>
      </c>
      <c r="H1255" s="55">
        <v>-46.923510999999998</v>
      </c>
      <c r="I1255" s="55">
        <v>-22.978455</v>
      </c>
      <c r="J1255" s="55">
        <v>-47.040956999999999</v>
      </c>
      <c r="L1255" s="61" t="str">
        <f t="shared" si="20"/>
        <v>Cliente21-Cliente8</v>
      </c>
      <c r="M1255">
        <v>62.972399000000003</v>
      </c>
    </row>
    <row r="1256" spans="1:13" x14ac:dyDescent="0.25">
      <c r="A1256" s="15" t="s">
        <v>4291</v>
      </c>
      <c r="B1256" s="15" t="s">
        <v>4279</v>
      </c>
      <c r="C1256" s="52">
        <v>74.984775999999997</v>
      </c>
      <c r="D1256" s="25">
        <v>6.6666666666666666E-2</v>
      </c>
      <c r="E1256" s="53">
        <v>-23.408905000000001</v>
      </c>
      <c r="F1256" s="53">
        <v>-46.767395</v>
      </c>
      <c r="G1256" s="53">
        <v>-23.213062000000001</v>
      </c>
      <c r="H1256" s="53">
        <v>-46.920383000000001</v>
      </c>
      <c r="I1256" s="53">
        <v>-22.939596999999999</v>
      </c>
      <c r="J1256" s="53">
        <v>-47.126145999999999</v>
      </c>
      <c r="L1256" s="61" t="str">
        <f t="shared" si="20"/>
        <v>Cliente21-Cliente9</v>
      </c>
      <c r="M1256">
        <v>74.984775999999997</v>
      </c>
    </row>
    <row r="1257" spans="1:13" x14ac:dyDescent="0.25">
      <c r="A1257" s="15" t="s">
        <v>4291</v>
      </c>
      <c r="B1257" s="15" t="s">
        <v>4280</v>
      </c>
      <c r="C1257" s="54">
        <v>10.780196</v>
      </c>
      <c r="D1257" s="26">
        <v>2.013888888888889E-2</v>
      </c>
      <c r="E1257" s="55">
        <v>-23.522076999999999</v>
      </c>
      <c r="F1257" s="55">
        <v>-46.747140999999999</v>
      </c>
      <c r="G1257" s="55">
        <v>-23.509177999999999</v>
      </c>
      <c r="H1257" s="55">
        <v>-46.700595</v>
      </c>
      <c r="I1257" s="55">
        <v>-23.481403</v>
      </c>
      <c r="J1257" s="55">
        <v>-46.674452000000002</v>
      </c>
      <c r="L1257" s="61" t="str">
        <f t="shared" si="20"/>
        <v>Cliente21-Cliente10</v>
      </c>
      <c r="M1257">
        <v>10.780196</v>
      </c>
    </row>
    <row r="1258" spans="1:13" x14ac:dyDescent="0.25">
      <c r="A1258" s="15" t="s">
        <v>4291</v>
      </c>
      <c r="B1258" s="15" t="s">
        <v>4281</v>
      </c>
      <c r="C1258" s="52">
        <v>92.206121999999993</v>
      </c>
      <c r="D1258" s="25">
        <v>7.4999999999999997E-2</v>
      </c>
      <c r="E1258" s="53">
        <v>-23.364153000000002</v>
      </c>
      <c r="F1258" s="53">
        <v>-46.783403999999997</v>
      </c>
      <c r="G1258" s="53">
        <v>-23.130575</v>
      </c>
      <c r="H1258" s="53">
        <v>-46.980268000000002</v>
      </c>
      <c r="I1258" s="53">
        <v>-22.893166000000001</v>
      </c>
      <c r="J1258" s="53">
        <v>-47.227525999999997</v>
      </c>
      <c r="L1258" s="61" t="str">
        <f t="shared" si="20"/>
        <v>Cliente21-Cliente11</v>
      </c>
      <c r="M1258">
        <v>92.206121999999993</v>
      </c>
    </row>
    <row r="1259" spans="1:13" x14ac:dyDescent="0.25">
      <c r="A1259" s="15" t="s">
        <v>4291</v>
      </c>
      <c r="B1259" s="15" t="s">
        <v>4282</v>
      </c>
      <c r="C1259" s="54">
        <v>56.067704999999997</v>
      </c>
      <c r="D1259" s="26">
        <v>5.486111111111111E-2</v>
      </c>
      <c r="E1259" s="55">
        <v>-23.517282999999999</v>
      </c>
      <c r="F1259" s="55">
        <v>-46.654156999999998</v>
      </c>
      <c r="G1259" s="55">
        <v>-23.404866999999999</v>
      </c>
      <c r="H1259" s="55">
        <v>-46.333517999999998</v>
      </c>
      <c r="I1259" s="55">
        <v>-23.338992999999999</v>
      </c>
      <c r="J1259" s="55">
        <v>-46.14978</v>
      </c>
      <c r="L1259" s="61" t="str">
        <f t="shared" si="20"/>
        <v>Cliente21-Cliente12</v>
      </c>
      <c r="M1259">
        <v>56.067704999999997</v>
      </c>
    </row>
    <row r="1260" spans="1:13" x14ac:dyDescent="0.25">
      <c r="A1260" s="15" t="s">
        <v>4291</v>
      </c>
      <c r="B1260" s="15" t="s">
        <v>4283</v>
      </c>
      <c r="C1260" s="52">
        <v>63.951681999999998</v>
      </c>
      <c r="D1260" s="25">
        <v>6.0416666666666667E-2</v>
      </c>
      <c r="E1260" s="53">
        <v>-23.519863999999998</v>
      </c>
      <c r="F1260" s="53">
        <v>-46.623714</v>
      </c>
      <c r="G1260" s="53">
        <v>-23.397445000000001</v>
      </c>
      <c r="H1260" s="53">
        <v>-46.293413000000001</v>
      </c>
      <c r="I1260" s="53">
        <v>-23.314112000000002</v>
      </c>
      <c r="J1260" s="53">
        <v>-46.067197</v>
      </c>
      <c r="L1260" s="61" t="str">
        <f t="shared" si="20"/>
        <v>Cliente21-Cliente13</v>
      </c>
      <c r="M1260">
        <v>63.951681999999998</v>
      </c>
    </row>
    <row r="1261" spans="1:13" x14ac:dyDescent="0.25">
      <c r="A1261" s="15" t="s">
        <v>4291</v>
      </c>
      <c r="B1261" s="15" t="s">
        <v>4284</v>
      </c>
      <c r="C1261" s="54">
        <v>62.014242000000003</v>
      </c>
      <c r="D1261" s="26">
        <v>5.6944444444444443E-2</v>
      </c>
      <c r="E1261" s="55">
        <v>-23.514403999999999</v>
      </c>
      <c r="F1261" s="55">
        <v>-46.677278999999999</v>
      </c>
      <c r="G1261" s="55">
        <v>-23.412475000000001</v>
      </c>
      <c r="H1261" s="55">
        <v>-46.357961000000003</v>
      </c>
      <c r="I1261" s="55">
        <v>-23.35247</v>
      </c>
      <c r="J1261" s="55">
        <v>-46.183019000000002</v>
      </c>
      <c r="L1261" s="61" t="str">
        <f t="shared" si="20"/>
        <v>Cliente21-Cliente14</v>
      </c>
      <c r="M1261">
        <v>62.014242000000003</v>
      </c>
    </row>
    <row r="1262" spans="1:13" x14ac:dyDescent="0.25">
      <c r="A1262" s="15" t="s">
        <v>4291</v>
      </c>
      <c r="B1262" s="15" t="s">
        <v>4285</v>
      </c>
      <c r="C1262" s="52">
        <v>64.392857000000006</v>
      </c>
      <c r="D1262" s="25">
        <v>6.3194444444444442E-2</v>
      </c>
      <c r="E1262" s="53">
        <v>-23.519863999999998</v>
      </c>
      <c r="F1262" s="53">
        <v>-46.623714</v>
      </c>
      <c r="G1262" s="53">
        <v>-23.397445000000001</v>
      </c>
      <c r="H1262" s="53">
        <v>-46.293413000000001</v>
      </c>
      <c r="I1262" s="53">
        <v>-23.314112000000002</v>
      </c>
      <c r="J1262" s="53">
        <v>-46.067197</v>
      </c>
      <c r="L1262" s="61" t="str">
        <f t="shared" si="20"/>
        <v>Cliente21-Cliente15</v>
      </c>
      <c r="M1262">
        <v>64.392857000000006</v>
      </c>
    </row>
    <row r="1263" spans="1:13" x14ac:dyDescent="0.25">
      <c r="A1263" s="15" t="s">
        <v>4291</v>
      </c>
      <c r="B1263" s="15" t="s">
        <v>4286</v>
      </c>
      <c r="C1263" s="54">
        <v>63.323473999999997</v>
      </c>
      <c r="D1263" s="26">
        <v>6.1805555555555558E-2</v>
      </c>
      <c r="E1263" s="55">
        <v>-23.519798000000002</v>
      </c>
      <c r="F1263" s="55">
        <v>-46.622607000000002</v>
      </c>
      <c r="G1263" s="55">
        <v>-23.397445000000001</v>
      </c>
      <c r="H1263" s="55">
        <v>-46.293413000000001</v>
      </c>
      <c r="I1263" s="55">
        <v>-23.313413000000001</v>
      </c>
      <c r="J1263" s="55">
        <v>-46.065551999999997</v>
      </c>
      <c r="L1263" s="61" t="str">
        <f t="shared" si="20"/>
        <v>Cliente21-Cliente16</v>
      </c>
      <c r="M1263">
        <v>63.323473999999997</v>
      </c>
    </row>
    <row r="1264" spans="1:13" x14ac:dyDescent="0.25">
      <c r="A1264" s="15" t="s">
        <v>4291</v>
      </c>
      <c r="B1264" s="15" t="s">
        <v>4287</v>
      </c>
      <c r="C1264" s="52">
        <v>64.379186000000004</v>
      </c>
      <c r="D1264" s="25">
        <v>5.9722222222222225E-2</v>
      </c>
      <c r="E1264" s="53">
        <v>-23.519863999999998</v>
      </c>
      <c r="F1264" s="53">
        <v>-46.623714</v>
      </c>
      <c r="G1264" s="53">
        <v>-23.397445000000001</v>
      </c>
      <c r="H1264" s="53">
        <v>-46.293413000000001</v>
      </c>
      <c r="I1264" s="53">
        <v>-23.314112000000002</v>
      </c>
      <c r="J1264" s="53">
        <v>-46.067197</v>
      </c>
      <c r="L1264" s="61" t="str">
        <f t="shared" si="20"/>
        <v>Cliente21-Cliente17</v>
      </c>
      <c r="M1264">
        <v>64.379186000000004</v>
      </c>
    </row>
    <row r="1265" spans="1:13" x14ac:dyDescent="0.25">
      <c r="A1265" s="15" t="s">
        <v>4291</v>
      </c>
      <c r="B1265" s="15" t="s">
        <v>4288</v>
      </c>
      <c r="C1265" s="54">
        <v>69.207252999999994</v>
      </c>
      <c r="D1265" s="26">
        <v>6.458333333333334E-2</v>
      </c>
      <c r="E1265" s="55">
        <v>-23.517954</v>
      </c>
      <c r="F1265" s="55">
        <v>-46.649636999999998</v>
      </c>
      <c r="G1265" s="55">
        <v>-23.403002000000001</v>
      </c>
      <c r="H1265" s="55">
        <v>-46.327855</v>
      </c>
      <c r="I1265" s="55">
        <v>-23.322071000000001</v>
      </c>
      <c r="J1265" s="55">
        <v>-46.115288</v>
      </c>
      <c r="L1265" s="61" t="str">
        <f t="shared" si="20"/>
        <v>Cliente21-Cliente18</v>
      </c>
      <c r="M1265">
        <v>69.207252999999994</v>
      </c>
    </row>
    <row r="1266" spans="1:13" x14ac:dyDescent="0.25">
      <c r="A1266" s="15" t="s">
        <v>4291</v>
      </c>
      <c r="B1266" s="15" t="s">
        <v>4289</v>
      </c>
      <c r="C1266" s="52">
        <v>7.5801259999999999</v>
      </c>
      <c r="D1266" s="25">
        <v>1.1111111111111112E-2</v>
      </c>
      <c r="E1266" s="53">
        <v>-23.532643</v>
      </c>
      <c r="F1266" s="53">
        <v>-46.747456999999997</v>
      </c>
      <c r="G1266" s="53">
        <v>-23.518122000000002</v>
      </c>
      <c r="H1266" s="53">
        <v>-46.742942999999997</v>
      </c>
      <c r="I1266" s="53">
        <v>-23.508479999999999</v>
      </c>
      <c r="J1266" s="53">
        <v>-46.695965999999999</v>
      </c>
      <c r="L1266" s="61" t="str">
        <f t="shared" si="20"/>
        <v>Cliente21-Cliente19</v>
      </c>
      <c r="M1266">
        <v>7.5801259999999999</v>
      </c>
    </row>
    <row r="1267" spans="1:13" x14ac:dyDescent="0.25">
      <c r="A1267" s="15" t="s">
        <v>4291</v>
      </c>
      <c r="B1267" s="15" t="s">
        <v>4290</v>
      </c>
      <c r="C1267" s="54">
        <v>1.147054</v>
      </c>
      <c r="D1267" s="26">
        <v>2.7777777777777779E-3</v>
      </c>
      <c r="E1267" s="55">
        <v>-23.542109</v>
      </c>
      <c r="F1267" s="55">
        <v>-46.730846</v>
      </c>
      <c r="G1267" s="55">
        <v>-23.546965</v>
      </c>
      <c r="H1267" s="55">
        <v>-46.736046000000002</v>
      </c>
      <c r="I1267" s="55">
        <v>-23.552800999999999</v>
      </c>
      <c r="J1267" s="55">
        <v>-46.742296000000003</v>
      </c>
      <c r="L1267" s="61" t="str">
        <f t="shared" si="20"/>
        <v>Cliente21-Cliente20</v>
      </c>
      <c r="M1267">
        <v>1.147054</v>
      </c>
    </row>
    <row r="1268" spans="1:13" x14ac:dyDescent="0.25">
      <c r="A1268" s="15" t="s">
        <v>4291</v>
      </c>
      <c r="B1268" s="15" t="s">
        <v>4291</v>
      </c>
      <c r="C1268" s="52">
        <v>0</v>
      </c>
      <c r="D1268" s="25">
        <v>0</v>
      </c>
      <c r="E1268" s="53">
        <f>'1. Locais'!D25</f>
        <v>-23.54149</v>
      </c>
      <c r="F1268" s="53">
        <f>'1. Locais'!E25</f>
        <v>-46.730600000000003</v>
      </c>
      <c r="G1268" s="53">
        <f>'1. Locais'!D25</f>
        <v>-23.54149</v>
      </c>
      <c r="H1268" s="53">
        <f>'1. Locais'!E25</f>
        <v>-46.730600000000003</v>
      </c>
      <c r="I1268" s="53">
        <f>'1. Locais'!D25</f>
        <v>-23.54149</v>
      </c>
      <c r="J1268" s="53">
        <f>'1. Locais'!E25</f>
        <v>-46.730600000000003</v>
      </c>
      <c r="L1268" s="61" t="str">
        <f t="shared" si="20"/>
        <v>Cliente21-Cliente21</v>
      </c>
      <c r="M1268">
        <v>0</v>
      </c>
    </row>
    <row r="1269" spans="1:13" x14ac:dyDescent="0.25">
      <c r="A1269" s="15" t="s">
        <v>4291</v>
      </c>
      <c r="B1269" s="15" t="s">
        <v>4292</v>
      </c>
      <c r="C1269" s="54">
        <v>1.5577810000000001</v>
      </c>
      <c r="D1269" s="26">
        <v>4.8611111111111112E-3</v>
      </c>
      <c r="E1269" s="55">
        <v>-23.539035999999999</v>
      </c>
      <c r="F1269" s="55">
        <v>-46.727474999999998</v>
      </c>
      <c r="G1269" s="55">
        <v>-23.5367</v>
      </c>
      <c r="H1269" s="55">
        <v>-46.719417</v>
      </c>
      <c r="I1269" s="55">
        <v>-23.536176000000001</v>
      </c>
      <c r="J1269" s="55">
        <v>-46.713946</v>
      </c>
      <c r="L1269" s="61" t="str">
        <f t="shared" si="20"/>
        <v>Cliente21-Cliente22</v>
      </c>
      <c r="M1269">
        <v>1.5577810000000001</v>
      </c>
    </row>
    <row r="1270" spans="1:13" x14ac:dyDescent="0.25">
      <c r="A1270" s="15" t="s">
        <v>4291</v>
      </c>
      <c r="B1270" s="15" t="s">
        <v>4293</v>
      </c>
      <c r="C1270" s="52">
        <v>6.4535770000000001</v>
      </c>
      <c r="D1270" s="25">
        <v>1.2499999999999999E-2</v>
      </c>
      <c r="E1270" s="53">
        <v>-23.548428999999999</v>
      </c>
      <c r="F1270" s="53">
        <v>-46.733018000000001</v>
      </c>
      <c r="G1270" s="53">
        <v>-23.575766000000002</v>
      </c>
      <c r="H1270" s="53">
        <v>-46.718147999999999</v>
      </c>
      <c r="I1270" s="53">
        <v>-23.584394</v>
      </c>
      <c r="J1270" s="53">
        <v>-46.737932999999998</v>
      </c>
      <c r="L1270" s="61" t="str">
        <f t="shared" si="20"/>
        <v>Cliente21-Cliente23</v>
      </c>
      <c r="M1270">
        <v>6.4535770000000001</v>
      </c>
    </row>
    <row r="1271" spans="1:13" x14ac:dyDescent="0.25">
      <c r="A1271" s="15" t="s">
        <v>4291</v>
      </c>
      <c r="B1271" s="15" t="s">
        <v>4294</v>
      </c>
      <c r="C1271" s="54">
        <v>7.4328609999999999</v>
      </c>
      <c r="D1271" s="26">
        <v>1.5277777777777777E-2</v>
      </c>
      <c r="E1271" s="55">
        <v>-23.548591999999999</v>
      </c>
      <c r="F1271" s="55">
        <v>-46.732787999999999</v>
      </c>
      <c r="G1271" s="55">
        <v>-23.575733</v>
      </c>
      <c r="H1271" s="55">
        <v>-46.720070999999997</v>
      </c>
      <c r="I1271" s="55">
        <v>-23.585065</v>
      </c>
      <c r="J1271" s="55">
        <v>-46.738157999999999</v>
      </c>
      <c r="L1271" s="61" t="str">
        <f t="shared" si="20"/>
        <v>Cliente21-Cliente24</v>
      </c>
      <c r="M1271">
        <v>7.4328609999999999</v>
      </c>
    </row>
    <row r="1272" spans="1:13" x14ac:dyDescent="0.25">
      <c r="A1272" s="15" t="s">
        <v>4291</v>
      </c>
      <c r="B1272" s="15" t="s">
        <v>4295</v>
      </c>
      <c r="C1272" s="52">
        <v>8.8290849999999992</v>
      </c>
      <c r="D1272" s="25">
        <v>1.8749999999999999E-2</v>
      </c>
      <c r="E1272" s="53">
        <v>-23.560220999999999</v>
      </c>
      <c r="F1272" s="53">
        <v>-46.712127000000002</v>
      </c>
      <c r="G1272" s="53">
        <v>-23.584379999999999</v>
      </c>
      <c r="H1272" s="53">
        <v>-46.737892000000002</v>
      </c>
      <c r="I1272" s="53">
        <v>-23.606546999999999</v>
      </c>
      <c r="J1272" s="53">
        <v>-46.751503999999997</v>
      </c>
      <c r="L1272" s="61" t="str">
        <f t="shared" si="20"/>
        <v>Cliente21-Cliente25</v>
      </c>
      <c r="M1272">
        <v>8.8290849999999992</v>
      </c>
    </row>
    <row r="1273" spans="1:13" x14ac:dyDescent="0.25">
      <c r="A1273" s="15" t="s">
        <v>4291</v>
      </c>
      <c r="B1273" s="15" t="s">
        <v>4296</v>
      </c>
      <c r="C1273" s="54">
        <v>8.0057659999999995</v>
      </c>
      <c r="D1273" s="26">
        <v>1.3194444444444444E-2</v>
      </c>
      <c r="E1273" s="55">
        <v>-23.565194999999999</v>
      </c>
      <c r="F1273" s="55">
        <v>-46.755571000000003</v>
      </c>
      <c r="G1273" s="55">
        <v>-23.584665000000001</v>
      </c>
      <c r="H1273" s="55">
        <v>-46.787185000000001</v>
      </c>
      <c r="I1273" s="55">
        <v>-23.588097999999999</v>
      </c>
      <c r="J1273" s="55">
        <v>-46.817774999999997</v>
      </c>
      <c r="L1273" s="61" t="str">
        <f t="shared" si="20"/>
        <v>Cliente21-Cliente26</v>
      </c>
      <c r="M1273">
        <v>8.0057659999999995</v>
      </c>
    </row>
    <row r="1274" spans="1:13" x14ac:dyDescent="0.25">
      <c r="A1274" s="15" t="s">
        <v>4291</v>
      </c>
      <c r="B1274" s="15" t="s">
        <v>4297</v>
      </c>
      <c r="C1274" s="52" t="s">
        <v>7286</v>
      </c>
      <c r="D1274" s="25">
        <v>1.5277777777777777E-2</v>
      </c>
      <c r="E1274" s="53">
        <v>-23.549605</v>
      </c>
      <c r="F1274" s="53">
        <v>-46.731372</v>
      </c>
      <c r="G1274" s="53">
        <v>-23.576957</v>
      </c>
      <c r="H1274" s="53">
        <v>-46.722441000000003</v>
      </c>
      <c r="I1274" s="53">
        <v>-23.589618000000002</v>
      </c>
      <c r="J1274" s="53">
        <v>-46.735771999999997</v>
      </c>
      <c r="L1274" s="61" t="str">
        <f t="shared" si="20"/>
        <v>Cliente21-Cliente27</v>
      </c>
      <c r="M1274" t="s">
        <v>7286</v>
      </c>
    </row>
    <row r="1275" spans="1:13" x14ac:dyDescent="0.25">
      <c r="A1275" s="15" t="s">
        <v>4291</v>
      </c>
      <c r="B1275" s="15" t="s">
        <v>4298</v>
      </c>
      <c r="C1275" s="54">
        <v>12.68346</v>
      </c>
      <c r="D1275" s="26">
        <v>2.1527777777777781E-2</v>
      </c>
      <c r="E1275" s="55">
        <v>-23.561693999999999</v>
      </c>
      <c r="F1275" s="55">
        <v>-46.707268999999997</v>
      </c>
      <c r="G1275" s="55">
        <v>-23.612738</v>
      </c>
      <c r="H1275" s="55">
        <v>-46.700533999999998</v>
      </c>
      <c r="I1275" s="55">
        <v>-23.630251000000001</v>
      </c>
      <c r="J1275" s="55">
        <v>-46.684216999999997</v>
      </c>
      <c r="L1275" s="61" t="str">
        <f t="shared" si="20"/>
        <v>Cliente21-Cliente28</v>
      </c>
      <c r="M1275">
        <v>12.68346</v>
      </c>
    </row>
    <row r="1276" spans="1:13" x14ac:dyDescent="0.25">
      <c r="A1276" s="15" t="s">
        <v>4291</v>
      </c>
      <c r="B1276" s="15" t="s">
        <v>4299</v>
      </c>
      <c r="C1276" s="52">
        <v>17.326979000000001</v>
      </c>
      <c r="D1276" s="25">
        <v>2.7777777777777776E-2</v>
      </c>
      <c r="E1276" s="53">
        <v>-23.585476</v>
      </c>
      <c r="F1276" s="53">
        <v>-46.692335999999997</v>
      </c>
      <c r="G1276" s="53">
        <v>-23.630343</v>
      </c>
      <c r="H1276" s="53">
        <v>-46.646669000000003</v>
      </c>
      <c r="I1276" s="53">
        <v>-23.621794000000001</v>
      </c>
      <c r="J1276" s="53">
        <v>-46.605794000000003</v>
      </c>
      <c r="L1276" s="61" t="str">
        <f t="shared" si="20"/>
        <v>Cliente21-Cliente29</v>
      </c>
      <c r="M1276">
        <v>17.326979000000001</v>
      </c>
    </row>
    <row r="1277" spans="1:13" x14ac:dyDescent="0.25">
      <c r="A1277" s="15" t="s">
        <v>4291</v>
      </c>
      <c r="B1277" s="15" t="s">
        <v>4300</v>
      </c>
      <c r="C1277" s="54">
        <v>26.456807999999999</v>
      </c>
      <c r="D1277" s="26">
        <v>4.3055555555555562E-2</v>
      </c>
      <c r="E1277" s="55">
        <v>-23.513106000000001</v>
      </c>
      <c r="F1277" s="55">
        <v>-46.680301999999998</v>
      </c>
      <c r="G1277" s="55">
        <v>-23.570951999999998</v>
      </c>
      <c r="H1277" s="55">
        <v>-46.604725999999999</v>
      </c>
      <c r="I1277" s="55">
        <v>-23.610721000000002</v>
      </c>
      <c r="J1277" s="55">
        <v>-46.545031999999999</v>
      </c>
      <c r="L1277" s="61" t="str">
        <f t="shared" si="20"/>
        <v>Cliente21-Cliente30</v>
      </c>
      <c r="M1277">
        <v>26.456807999999999</v>
      </c>
    </row>
    <row r="1278" spans="1:13" x14ac:dyDescent="0.25">
      <c r="A1278" s="15" t="s">
        <v>4291</v>
      </c>
      <c r="B1278" s="15" t="s">
        <v>4301</v>
      </c>
      <c r="C1278" s="52">
        <v>6.7139319999999998</v>
      </c>
      <c r="D1278" s="25">
        <v>1.6666666666666666E-2</v>
      </c>
      <c r="E1278" s="53">
        <v>-23.555074000000001</v>
      </c>
      <c r="F1278" s="53">
        <v>-46.751153000000002</v>
      </c>
      <c r="G1278" s="53">
        <v>-23.531309</v>
      </c>
      <c r="H1278" s="53">
        <v>-46.785921999999999</v>
      </c>
      <c r="I1278" s="53">
        <v>-23.538568000000001</v>
      </c>
      <c r="J1278" s="53">
        <v>-46.788207999999997</v>
      </c>
      <c r="L1278" s="61" t="str">
        <f t="shared" si="20"/>
        <v>Cliente21-Cliente31</v>
      </c>
      <c r="M1278">
        <v>6.7139319999999998</v>
      </c>
    </row>
    <row r="1279" spans="1:13" x14ac:dyDescent="0.25">
      <c r="A1279" s="15" t="s">
        <v>4291</v>
      </c>
      <c r="B1279" s="15" t="s">
        <v>4302</v>
      </c>
      <c r="C1279" s="54">
        <v>6.4641409999999997</v>
      </c>
      <c r="D1279" s="26">
        <v>1.2499999999999999E-2</v>
      </c>
      <c r="E1279" s="55">
        <v>-23.524531</v>
      </c>
      <c r="F1279" s="55">
        <v>-46.747653999999997</v>
      </c>
      <c r="G1279" s="55">
        <v>-23.511897000000001</v>
      </c>
      <c r="H1279" s="55">
        <v>-46.727139000000001</v>
      </c>
      <c r="I1279" s="55">
        <v>-23.506616000000001</v>
      </c>
      <c r="J1279" s="55">
        <v>-46.735748000000001</v>
      </c>
      <c r="L1279" s="61" t="str">
        <f t="shared" si="20"/>
        <v>Cliente21-Cliente32</v>
      </c>
      <c r="M1279">
        <v>6.4641409999999997</v>
      </c>
    </row>
    <row r="1280" spans="1:13" x14ac:dyDescent="0.25">
      <c r="A1280" s="15" t="s">
        <v>4291</v>
      </c>
      <c r="B1280" s="15" t="s">
        <v>4303</v>
      </c>
      <c r="C1280" s="52">
        <v>20.476095999999998</v>
      </c>
      <c r="D1280" s="25">
        <v>2.7777777777777776E-2</v>
      </c>
      <c r="E1280" s="53">
        <v>-23.517824999999998</v>
      </c>
      <c r="F1280" s="53">
        <v>-46.731133999999997</v>
      </c>
      <c r="G1280" s="53">
        <v>-23.523378999999998</v>
      </c>
      <c r="H1280" s="53">
        <v>-46.611517999999997</v>
      </c>
      <c r="I1280" s="53">
        <v>-23.492477000000001</v>
      </c>
      <c r="J1280" s="53">
        <v>-46.559266999999998</v>
      </c>
      <c r="L1280" s="61" t="str">
        <f t="shared" si="20"/>
        <v>Cliente21-Cliente33</v>
      </c>
      <c r="M1280">
        <v>20.476095999999998</v>
      </c>
    </row>
    <row r="1281" spans="1:13" x14ac:dyDescent="0.25">
      <c r="A1281" s="15" t="s">
        <v>4291</v>
      </c>
      <c r="B1281" s="15" t="s">
        <v>4304</v>
      </c>
      <c r="C1281" s="54">
        <v>13.396174999999999</v>
      </c>
      <c r="D1281" s="26">
        <v>2.2222222222222223E-2</v>
      </c>
      <c r="E1281" s="55">
        <v>-23.520444000000001</v>
      </c>
      <c r="F1281" s="55">
        <v>-46.749234000000001</v>
      </c>
      <c r="G1281" s="55">
        <v>-23.507532000000001</v>
      </c>
      <c r="H1281" s="55">
        <v>-46.828612</v>
      </c>
      <c r="I1281" s="55">
        <v>-23.480205000000002</v>
      </c>
      <c r="J1281" s="55">
        <v>-46.831201999999998</v>
      </c>
      <c r="L1281" s="61" t="str">
        <f t="shared" si="20"/>
        <v>Cliente21-Cliente34</v>
      </c>
      <c r="M1281">
        <v>13.396174999999999</v>
      </c>
    </row>
    <row r="1282" spans="1:13" x14ac:dyDescent="0.25">
      <c r="A1282" s="15" t="s">
        <v>4291</v>
      </c>
      <c r="B1282" s="15" t="s">
        <v>4305</v>
      </c>
      <c r="C1282" s="52">
        <v>13.992070999999999</v>
      </c>
      <c r="D1282" s="25">
        <v>2.1527777777777781E-2</v>
      </c>
      <c r="E1282" s="53">
        <v>-23.520384</v>
      </c>
      <c r="F1282" s="53">
        <v>-46.747959000000002</v>
      </c>
      <c r="G1282" s="53">
        <v>-23.510712999999999</v>
      </c>
      <c r="H1282" s="53">
        <v>-46.804582000000003</v>
      </c>
      <c r="I1282" s="53">
        <v>-23.485437999999998</v>
      </c>
      <c r="J1282" s="53">
        <v>-46.857388</v>
      </c>
      <c r="L1282" s="61" t="str">
        <f t="shared" si="20"/>
        <v>Cliente21-Cliente35</v>
      </c>
      <c r="M1282">
        <v>13.992070999999999</v>
      </c>
    </row>
    <row r="1283" spans="1:13" x14ac:dyDescent="0.25">
      <c r="A1283" s="15" t="s">
        <v>4291</v>
      </c>
      <c r="B1283" s="15" t="s">
        <v>4306</v>
      </c>
      <c r="C1283" s="54">
        <v>141.70218800000001</v>
      </c>
      <c r="D1283" s="26">
        <v>0.11875000000000001</v>
      </c>
      <c r="E1283" s="55">
        <v>-23.303117</v>
      </c>
      <c r="F1283" s="55">
        <v>-46.839846000000001</v>
      </c>
      <c r="G1283" s="55">
        <v>-22.918247000000001</v>
      </c>
      <c r="H1283" s="55">
        <v>-47.134307999999997</v>
      </c>
      <c r="I1283" s="55">
        <v>-22.461137000000001</v>
      </c>
      <c r="J1283" s="55">
        <v>-47.537436999999997</v>
      </c>
      <c r="L1283" s="61" t="str">
        <f t="shared" si="20"/>
        <v>Cliente21-Cliente36</v>
      </c>
      <c r="M1283">
        <v>141.70218800000001</v>
      </c>
    </row>
    <row r="1284" spans="1:13" x14ac:dyDescent="0.25">
      <c r="A1284" s="15" t="s">
        <v>4291</v>
      </c>
      <c r="B1284" s="15" t="s">
        <v>4307</v>
      </c>
      <c r="C1284" s="52">
        <v>140.60546600000001</v>
      </c>
      <c r="D1284" s="25">
        <v>0.1173611111111111</v>
      </c>
      <c r="E1284" s="53">
        <v>-23.301447</v>
      </c>
      <c r="F1284" s="53">
        <v>-46.840581</v>
      </c>
      <c r="G1284" s="53">
        <v>-22.900372999999998</v>
      </c>
      <c r="H1284" s="53">
        <v>-47.136681000000003</v>
      </c>
      <c r="I1284" s="53">
        <v>-22.452469000000001</v>
      </c>
      <c r="J1284" s="53">
        <v>-47.555061000000002</v>
      </c>
      <c r="L1284" s="61" t="str">
        <f t="shared" si="20"/>
        <v>Cliente21-Cliente37</v>
      </c>
      <c r="M1284">
        <v>140.60546600000001</v>
      </c>
    </row>
    <row r="1285" spans="1:13" x14ac:dyDescent="0.25">
      <c r="A1285" s="15" t="s">
        <v>4291</v>
      </c>
      <c r="B1285" s="15" t="s">
        <v>4308</v>
      </c>
      <c r="C1285" s="54">
        <v>138.82896099999999</v>
      </c>
      <c r="D1285" s="26">
        <v>0.11527777777777777</v>
      </c>
      <c r="E1285" s="55">
        <v>-23.309108999999999</v>
      </c>
      <c r="F1285" s="55">
        <v>-46.833942</v>
      </c>
      <c r="G1285" s="55">
        <v>-22.924838999999999</v>
      </c>
      <c r="H1285" s="55">
        <v>-47.130057999999998</v>
      </c>
      <c r="I1285" s="55">
        <v>-22.472346000000002</v>
      </c>
      <c r="J1285" s="55">
        <v>-47.500408</v>
      </c>
      <c r="L1285" s="61" t="str">
        <f t="shared" si="20"/>
        <v>Cliente21-Cliente38</v>
      </c>
      <c r="M1285">
        <v>138.82896099999999</v>
      </c>
    </row>
    <row r="1286" spans="1:13" x14ac:dyDescent="0.25">
      <c r="A1286" s="15" t="s">
        <v>4291</v>
      </c>
      <c r="B1286" s="15" t="s">
        <v>4309</v>
      </c>
      <c r="C1286" s="52">
        <v>90.213379000000003</v>
      </c>
      <c r="D1286" s="25">
        <v>8.4027777777777771E-2</v>
      </c>
      <c r="E1286" s="53">
        <v>-23.523140000000001</v>
      </c>
      <c r="F1286" s="53">
        <v>-46.612188000000003</v>
      </c>
      <c r="G1286" s="53">
        <v>-23.370768000000002</v>
      </c>
      <c r="H1286" s="53">
        <v>-46.242114000000001</v>
      </c>
      <c r="I1286" s="53">
        <v>-23.247695</v>
      </c>
      <c r="J1286" s="53">
        <v>-45.931547999999999</v>
      </c>
      <c r="L1286" s="61" t="str">
        <f t="shared" si="20"/>
        <v>Cliente21-Cliente39</v>
      </c>
      <c r="M1286">
        <v>90.213379000000003</v>
      </c>
    </row>
    <row r="1287" spans="1:13" x14ac:dyDescent="0.25">
      <c r="A1287" s="15" t="s">
        <v>4291</v>
      </c>
      <c r="B1287" s="15" t="s">
        <v>4310</v>
      </c>
      <c r="C1287" s="54">
        <v>95.068786000000003</v>
      </c>
      <c r="D1287" s="26">
        <v>9.2361111111111116E-2</v>
      </c>
      <c r="E1287" s="55">
        <v>-23.524187000000001</v>
      </c>
      <c r="F1287" s="55">
        <v>-46.60219</v>
      </c>
      <c r="G1287" s="55">
        <v>-23.352087999999998</v>
      </c>
      <c r="H1287" s="55">
        <v>-46.199134999999998</v>
      </c>
      <c r="I1287" s="55">
        <v>-23.038188000000002</v>
      </c>
      <c r="J1287" s="55">
        <v>-45.558281000000001</v>
      </c>
      <c r="L1287" s="61" t="str">
        <f t="shared" si="20"/>
        <v>Cliente21-Cliente40</v>
      </c>
      <c r="M1287">
        <v>95.068786000000003</v>
      </c>
    </row>
    <row r="1288" spans="1:13" x14ac:dyDescent="0.25">
      <c r="A1288" s="15" t="s">
        <v>4291</v>
      </c>
      <c r="B1288" s="15" t="s">
        <v>4311</v>
      </c>
      <c r="C1288" s="52">
        <v>81.251942</v>
      </c>
      <c r="D1288" s="25">
        <v>7.9166666666666663E-2</v>
      </c>
      <c r="E1288" s="53">
        <v>-23.523824999999999</v>
      </c>
      <c r="F1288" s="53">
        <v>-46.609220000000001</v>
      </c>
      <c r="G1288" s="53">
        <v>-23.368745000000001</v>
      </c>
      <c r="H1288" s="53">
        <v>-46.234957999999999</v>
      </c>
      <c r="I1288" s="53">
        <v>-23.195211</v>
      </c>
      <c r="J1288" s="53">
        <v>-45.871408000000002</v>
      </c>
      <c r="L1288" s="61" t="str">
        <f t="shared" si="20"/>
        <v>Cliente21-Cliente41</v>
      </c>
      <c r="M1288">
        <v>81.251942</v>
      </c>
    </row>
    <row r="1289" spans="1:13" x14ac:dyDescent="0.25">
      <c r="A1289" s="15" t="s">
        <v>4291</v>
      </c>
      <c r="B1289" s="15" t="s">
        <v>4312</v>
      </c>
      <c r="C1289" s="54">
        <v>77.780953999999994</v>
      </c>
      <c r="D1289" s="26">
        <v>7.0833333333333331E-2</v>
      </c>
      <c r="E1289" s="55">
        <v>-23.518433999999999</v>
      </c>
      <c r="F1289" s="55">
        <v>-46.645426999999998</v>
      </c>
      <c r="G1289" s="55">
        <v>-23.402197000000001</v>
      </c>
      <c r="H1289" s="55">
        <v>-46.313864000000002</v>
      </c>
      <c r="I1289" s="55">
        <v>-23.321373000000001</v>
      </c>
      <c r="J1289" s="55">
        <v>-46.094712000000001</v>
      </c>
      <c r="L1289" s="61" t="str">
        <f t="shared" si="20"/>
        <v>Cliente21-Cliente42</v>
      </c>
      <c r="M1289">
        <v>77.780953999999994</v>
      </c>
    </row>
    <row r="1290" spans="1:13" x14ac:dyDescent="0.25">
      <c r="A1290" s="15" t="s">
        <v>4291</v>
      </c>
      <c r="B1290" s="15" t="s">
        <v>4313</v>
      </c>
      <c r="C1290" s="52">
        <v>100.433718</v>
      </c>
      <c r="D1290" s="25">
        <v>9.1666666666666674E-2</v>
      </c>
      <c r="E1290" s="53">
        <v>-23.523402000000001</v>
      </c>
      <c r="F1290" s="53">
        <v>-46.604121999999997</v>
      </c>
      <c r="G1290" s="53">
        <v>-23.356480999999999</v>
      </c>
      <c r="H1290" s="53">
        <v>-46.205931</v>
      </c>
      <c r="I1290" s="53">
        <v>-23.037822999999999</v>
      </c>
      <c r="J1290" s="53">
        <v>-45.558621000000002</v>
      </c>
      <c r="L1290" s="61" t="str">
        <f t="shared" si="20"/>
        <v>Cliente21-Cliente43</v>
      </c>
      <c r="M1290">
        <v>100.433718</v>
      </c>
    </row>
    <row r="1291" spans="1:13" x14ac:dyDescent="0.25">
      <c r="A1291" s="15" t="s">
        <v>4291</v>
      </c>
      <c r="B1291" s="15" t="s">
        <v>4314</v>
      </c>
      <c r="C1291" s="54">
        <v>57.347732999999998</v>
      </c>
      <c r="D1291" s="26">
        <v>5.7638888888888885E-2</v>
      </c>
      <c r="E1291" s="55">
        <v>-23.520325</v>
      </c>
      <c r="F1291" s="55">
        <v>-46.777152000000001</v>
      </c>
      <c r="G1291" s="55">
        <v>-23.436174999999999</v>
      </c>
      <c r="H1291" s="55">
        <v>-47.077751999999997</v>
      </c>
      <c r="I1291" s="55">
        <v>-23.406790000000001</v>
      </c>
      <c r="J1291" s="55">
        <v>-47.338889999999999</v>
      </c>
      <c r="L1291" s="61" t="str">
        <f t="shared" si="20"/>
        <v>Cliente21-Cliente44</v>
      </c>
      <c r="M1291">
        <v>57.347732999999998</v>
      </c>
    </row>
    <row r="1292" spans="1:13" x14ac:dyDescent="0.25">
      <c r="A1292" s="15" t="s">
        <v>4291</v>
      </c>
      <c r="B1292" s="15" t="s">
        <v>4315</v>
      </c>
      <c r="C1292" s="52">
        <v>58.125691000000003</v>
      </c>
      <c r="D1292" s="25">
        <v>6.1111111111111116E-2</v>
      </c>
      <c r="E1292" s="53">
        <v>-23.504666</v>
      </c>
      <c r="F1292" s="53">
        <v>-46.868639999999999</v>
      </c>
      <c r="G1292" s="53">
        <v>-23.428398999999999</v>
      </c>
      <c r="H1292" s="53">
        <v>-47.140070000000001</v>
      </c>
      <c r="I1292" s="53">
        <v>-23.481904</v>
      </c>
      <c r="J1292" s="53">
        <v>-47.451154000000002</v>
      </c>
      <c r="L1292" s="61" t="str">
        <f t="shared" si="20"/>
        <v>Cliente21-Cliente45</v>
      </c>
      <c r="M1292">
        <v>58.125691000000003</v>
      </c>
    </row>
    <row r="1293" spans="1:13" x14ac:dyDescent="0.25">
      <c r="A1293" s="15" t="s">
        <v>4291</v>
      </c>
      <c r="B1293" s="15" t="s">
        <v>4316</v>
      </c>
      <c r="C1293" s="54">
        <v>55.420234000000001</v>
      </c>
      <c r="D1293" s="26">
        <v>5.486111111111111E-2</v>
      </c>
      <c r="E1293" s="55">
        <v>-23.520394</v>
      </c>
      <c r="F1293" s="55">
        <v>-46.769325000000002</v>
      </c>
      <c r="G1293" s="55">
        <v>-23.438381</v>
      </c>
      <c r="H1293" s="55">
        <v>-47.066941999999997</v>
      </c>
      <c r="I1293" s="55">
        <v>-23.400103999999999</v>
      </c>
      <c r="J1293" s="55">
        <v>-47.334395999999998</v>
      </c>
      <c r="L1293" s="61" t="str">
        <f t="shared" si="20"/>
        <v>Cliente21-Cliente46</v>
      </c>
      <c r="M1293">
        <v>55.420234000000001</v>
      </c>
    </row>
    <row r="1294" spans="1:13" x14ac:dyDescent="0.25">
      <c r="A1294" s="15" t="s">
        <v>4291</v>
      </c>
      <c r="B1294" s="15" t="s">
        <v>4317</v>
      </c>
      <c r="C1294" s="52">
        <v>188.1585</v>
      </c>
      <c r="D1294" s="25">
        <v>0.15277777777777776</v>
      </c>
      <c r="E1294" s="53">
        <v>-23.288824000000002</v>
      </c>
      <c r="F1294" s="53">
        <v>-46.847138000000001</v>
      </c>
      <c r="G1294" s="53">
        <v>-22.865646000000002</v>
      </c>
      <c r="H1294" s="53">
        <v>-47.133854999999997</v>
      </c>
      <c r="I1294" s="53">
        <v>-22.249542999999999</v>
      </c>
      <c r="J1294" s="53">
        <v>-47.389777000000002</v>
      </c>
      <c r="L1294" s="61" t="str">
        <f t="shared" si="20"/>
        <v>Cliente21-Cliente47</v>
      </c>
      <c r="M1294">
        <v>188.1585</v>
      </c>
    </row>
    <row r="1295" spans="1:13" x14ac:dyDescent="0.25">
      <c r="A1295" s="15" t="s">
        <v>4291</v>
      </c>
      <c r="B1295" s="15" t="s">
        <v>4318</v>
      </c>
      <c r="C1295" s="54">
        <v>197.269688</v>
      </c>
      <c r="D1295" s="26">
        <v>0.16111111111111112</v>
      </c>
      <c r="E1295" s="55">
        <v>-23.262077000000001</v>
      </c>
      <c r="F1295" s="55">
        <v>-46.866301999999997</v>
      </c>
      <c r="G1295" s="55">
        <v>-22.765263000000001</v>
      </c>
      <c r="H1295" s="55">
        <v>-47.245572000000003</v>
      </c>
      <c r="I1295" s="55">
        <v>-21.810300000000002</v>
      </c>
      <c r="J1295" s="55">
        <v>-47.499709000000003</v>
      </c>
      <c r="L1295" s="61" t="str">
        <f t="shared" si="20"/>
        <v>Cliente21-Cliente48</v>
      </c>
      <c r="M1295">
        <v>197.269688</v>
      </c>
    </row>
    <row r="1296" spans="1:13" x14ac:dyDescent="0.25">
      <c r="A1296" s="15" t="s">
        <v>4291</v>
      </c>
      <c r="B1296" s="15" t="s">
        <v>4319</v>
      </c>
      <c r="C1296" s="52">
        <v>190.907453</v>
      </c>
      <c r="D1296" s="25">
        <v>0.15694444444444444</v>
      </c>
      <c r="E1296" s="53">
        <v>-23.272092000000001</v>
      </c>
      <c r="F1296" s="53">
        <v>-46.854826000000003</v>
      </c>
      <c r="G1296" s="53">
        <v>-22.814350999999998</v>
      </c>
      <c r="H1296" s="53">
        <v>-47.208008999999997</v>
      </c>
      <c r="I1296" s="53">
        <v>-22.036068</v>
      </c>
      <c r="J1296" s="53">
        <v>-47.432747999999997</v>
      </c>
      <c r="L1296" s="61" t="str">
        <f t="shared" si="20"/>
        <v>Cliente21-Cliente49</v>
      </c>
      <c r="M1296">
        <v>190.907453</v>
      </c>
    </row>
    <row r="1297" spans="1:13" x14ac:dyDescent="0.25">
      <c r="A1297" s="15" t="s">
        <v>4291</v>
      </c>
      <c r="B1297" s="15" t="s">
        <v>4320</v>
      </c>
      <c r="C1297" s="54">
        <v>200.807163</v>
      </c>
      <c r="D1297" s="26">
        <v>0.16527777777777777</v>
      </c>
      <c r="E1297" s="55">
        <v>-23.438381</v>
      </c>
      <c r="F1297" s="55">
        <v>-47.066941999999997</v>
      </c>
      <c r="G1297" s="55" t="s">
        <v>7287</v>
      </c>
      <c r="H1297" s="55">
        <v>-48.146149999999999</v>
      </c>
      <c r="I1297" s="55">
        <v>-22.876194000000002</v>
      </c>
      <c r="J1297" s="55">
        <v>-48.479697000000002</v>
      </c>
      <c r="L1297" s="61" t="str">
        <f t="shared" si="20"/>
        <v>Cliente21-Cliente50</v>
      </c>
      <c r="M1297">
        <v>200.807163</v>
      </c>
    </row>
    <row r="1298" spans="1:13" x14ac:dyDescent="0.25">
      <c r="A1298" s="15" t="s">
        <v>4291</v>
      </c>
      <c r="B1298" s="15" t="s">
        <v>4321</v>
      </c>
      <c r="C1298" s="52">
        <v>197.339282</v>
      </c>
      <c r="D1298" s="25">
        <v>0.16180555555555556</v>
      </c>
      <c r="E1298" s="53">
        <v>-23.455265000000001</v>
      </c>
      <c r="F1298" s="53">
        <v>-47.052894000000002</v>
      </c>
      <c r="G1298" s="53">
        <v>-23.259872999999999</v>
      </c>
      <c r="H1298" s="53">
        <v>-47.853065999999998</v>
      </c>
      <c r="I1298" s="53">
        <v>-22.90634</v>
      </c>
      <c r="J1298" s="53">
        <v>-48.453237000000001</v>
      </c>
      <c r="L1298" s="61" t="str">
        <f t="shared" ref="L1298:L1361" si="21">_xlfn.CONCAT(A1298,"-",B1298)</f>
        <v>Cliente21-Cliente51</v>
      </c>
      <c r="M1298">
        <v>197.339282</v>
      </c>
    </row>
    <row r="1299" spans="1:13" x14ac:dyDescent="0.25">
      <c r="A1299" s="15" t="s">
        <v>4292</v>
      </c>
      <c r="B1299" s="15" t="s">
        <v>4268</v>
      </c>
      <c r="C1299" s="54">
        <v>56.572881000000002</v>
      </c>
      <c r="D1299" s="26">
        <v>5.2083333333333336E-2</v>
      </c>
      <c r="E1299" s="55">
        <v>-23.522513</v>
      </c>
      <c r="F1299" s="55">
        <v>-46.748930999999999</v>
      </c>
      <c r="G1299" s="55">
        <v>-23.464064</v>
      </c>
      <c r="H1299" s="55">
        <v>-47.029637000000001</v>
      </c>
      <c r="I1299" s="55">
        <v>-23.414403</v>
      </c>
      <c r="J1299" s="55">
        <v>-47.268616999999999</v>
      </c>
      <c r="L1299" s="61" t="str">
        <f t="shared" si="21"/>
        <v>Cliente22-depósito A</v>
      </c>
      <c r="M1299">
        <v>56.572881000000002</v>
      </c>
    </row>
    <row r="1300" spans="1:13" x14ac:dyDescent="0.25">
      <c r="A1300" s="15" t="s">
        <v>4292</v>
      </c>
      <c r="B1300" s="15" t="s">
        <v>4269</v>
      </c>
      <c r="C1300" s="52">
        <v>164.34936099999999</v>
      </c>
      <c r="D1300" s="25">
        <v>0.1361111111111111</v>
      </c>
      <c r="E1300" s="53">
        <v>-23.304127999999999</v>
      </c>
      <c r="F1300" s="53">
        <v>-46.839002999999998</v>
      </c>
      <c r="G1300" s="53">
        <v>-22.910419999999998</v>
      </c>
      <c r="H1300" s="53">
        <v>-47.136571000000004</v>
      </c>
      <c r="I1300" s="53">
        <v>-22.454174999999999</v>
      </c>
      <c r="J1300" s="53">
        <v>-47.552635000000002</v>
      </c>
      <c r="L1300" s="61" t="str">
        <f t="shared" si="21"/>
        <v>Cliente22-depósito B</v>
      </c>
      <c r="M1300">
        <v>164.34936099999999</v>
      </c>
    </row>
    <row r="1301" spans="1:13" x14ac:dyDescent="0.25">
      <c r="A1301" s="15" t="s">
        <v>4292</v>
      </c>
      <c r="B1301" s="15" t="s">
        <v>4270</v>
      </c>
      <c r="C1301" s="54">
        <v>53.620117999999998</v>
      </c>
      <c r="D1301" s="26">
        <v>5.347222222222222E-2</v>
      </c>
      <c r="E1301" s="55">
        <v>-23.514489999999999</v>
      </c>
      <c r="F1301" s="55">
        <v>-46.677638000000002</v>
      </c>
      <c r="G1301" s="55">
        <v>-23.412844</v>
      </c>
      <c r="H1301" s="55">
        <v>-46.359305999999997</v>
      </c>
      <c r="I1301" s="55">
        <v>-23.352187000000001</v>
      </c>
      <c r="J1301" s="55">
        <v>-46.180871000000003</v>
      </c>
      <c r="L1301" s="61" t="str">
        <f t="shared" si="21"/>
        <v>Cliente22-depósito C</v>
      </c>
      <c r="M1301">
        <v>53.620117999999998</v>
      </c>
    </row>
    <row r="1302" spans="1:13" x14ac:dyDescent="0.25">
      <c r="A1302" s="15" t="s">
        <v>4292</v>
      </c>
      <c r="B1302" s="15" t="s">
        <v>4271</v>
      </c>
      <c r="C1302" s="52">
        <v>53.382753000000001</v>
      </c>
      <c r="D1302" s="25">
        <v>4.9305555555555554E-2</v>
      </c>
      <c r="E1302" s="53">
        <v>-23.495908</v>
      </c>
      <c r="F1302" s="53">
        <v>-46.730547000000001</v>
      </c>
      <c r="G1302" s="53">
        <v>-23.303117</v>
      </c>
      <c r="H1302" s="53">
        <v>-46.839846000000001</v>
      </c>
      <c r="I1302" s="53">
        <v>-23.071769</v>
      </c>
      <c r="J1302" s="53">
        <v>-47.029691999999997</v>
      </c>
      <c r="L1302" s="61" t="str">
        <f t="shared" si="21"/>
        <v>Cliente22-Cliente1</v>
      </c>
      <c r="M1302">
        <v>53.382753000000001</v>
      </c>
    </row>
    <row r="1303" spans="1:13" x14ac:dyDescent="0.25">
      <c r="A1303" s="15" t="s">
        <v>4292</v>
      </c>
      <c r="B1303" s="15" t="s">
        <v>4272</v>
      </c>
      <c r="C1303" s="54">
        <v>58.202741000000003</v>
      </c>
      <c r="D1303" s="26">
        <v>5.6250000000000001E-2</v>
      </c>
      <c r="E1303" s="55">
        <v>-23.44144</v>
      </c>
      <c r="F1303" s="55">
        <v>-46.756554000000001</v>
      </c>
      <c r="G1303" s="55">
        <v>-23.256233999999999</v>
      </c>
      <c r="H1303" s="55">
        <v>-46.869290999999997</v>
      </c>
      <c r="I1303" s="55">
        <v>-22.995744999999999</v>
      </c>
      <c r="J1303" s="55">
        <v>-47.105038</v>
      </c>
      <c r="L1303" s="61" t="str">
        <f t="shared" si="21"/>
        <v>Cliente22-Cliente2</v>
      </c>
      <c r="M1303">
        <v>58.202741000000003</v>
      </c>
    </row>
    <row r="1304" spans="1:13" x14ac:dyDescent="0.25">
      <c r="A1304" s="15" t="s">
        <v>4292</v>
      </c>
      <c r="B1304" s="15" t="s">
        <v>4273</v>
      </c>
      <c r="C1304" s="52">
        <v>56.182037000000001</v>
      </c>
      <c r="D1304" s="25">
        <v>5.347222222222222E-2</v>
      </c>
      <c r="E1304" s="53">
        <v>-23.471793000000002</v>
      </c>
      <c r="F1304" s="53">
        <v>-46.748151</v>
      </c>
      <c r="G1304" s="53">
        <v>-23.275991000000001</v>
      </c>
      <c r="H1304" s="53">
        <v>-46.850140000000003</v>
      </c>
      <c r="I1304" s="53">
        <v>-23.038608</v>
      </c>
      <c r="J1304" s="53">
        <v>-47.068247</v>
      </c>
      <c r="L1304" s="61" t="str">
        <f t="shared" si="21"/>
        <v>Cliente22-Cliente3</v>
      </c>
      <c r="M1304">
        <v>56.182037000000001</v>
      </c>
    </row>
    <row r="1305" spans="1:13" x14ac:dyDescent="0.25">
      <c r="A1305" s="15" t="s">
        <v>4292</v>
      </c>
      <c r="B1305" s="15" t="s">
        <v>4274</v>
      </c>
      <c r="C1305" s="54">
        <v>66.338995999999995</v>
      </c>
      <c r="D1305" s="26">
        <v>6.0416666666666667E-2</v>
      </c>
      <c r="E1305" s="55">
        <v>-23.421851</v>
      </c>
      <c r="F1305" s="55">
        <v>-46.761364999999998</v>
      </c>
      <c r="G1305" s="55">
        <v>-23.234124000000001</v>
      </c>
      <c r="H1305" s="55">
        <v>-46.892462000000002</v>
      </c>
      <c r="I1305" s="55">
        <v>-22.987570999999999</v>
      </c>
      <c r="J1305" s="55">
        <v>-47.055723999999998</v>
      </c>
      <c r="L1305" s="61" t="str">
        <f t="shared" si="21"/>
        <v>Cliente22-Cliente4</v>
      </c>
      <c r="M1305">
        <v>66.338995999999995</v>
      </c>
    </row>
    <row r="1306" spans="1:13" x14ac:dyDescent="0.25">
      <c r="A1306" s="15" t="s">
        <v>4292</v>
      </c>
      <c r="B1306" s="15" t="s">
        <v>4275</v>
      </c>
      <c r="C1306" s="52">
        <v>66.432202000000004</v>
      </c>
      <c r="D1306" s="25">
        <v>6.0416666666666667E-2</v>
      </c>
      <c r="E1306" s="53">
        <v>-23.423022</v>
      </c>
      <c r="F1306" s="53">
        <v>-46.760891000000001</v>
      </c>
      <c r="G1306" s="53">
        <v>-23.243005</v>
      </c>
      <c r="H1306" s="53">
        <v>-46.882348</v>
      </c>
      <c r="I1306" s="53">
        <v>-22.989887</v>
      </c>
      <c r="J1306" s="53">
        <v>-47.064033999999999</v>
      </c>
      <c r="L1306" s="61" t="str">
        <f t="shared" si="21"/>
        <v>Cliente22-Cliente5</v>
      </c>
      <c r="M1306">
        <v>66.432202000000004</v>
      </c>
    </row>
    <row r="1307" spans="1:13" x14ac:dyDescent="0.25">
      <c r="A1307" s="15" t="s">
        <v>4292</v>
      </c>
      <c r="B1307" s="15" t="s">
        <v>4276</v>
      </c>
      <c r="C1307" s="54">
        <v>47.755602000000003</v>
      </c>
      <c r="D1307" s="26">
        <v>4.8611111111111112E-2</v>
      </c>
      <c r="E1307" s="55">
        <v>-23.494568999999998</v>
      </c>
      <c r="F1307" s="55">
        <v>-46.731493999999998</v>
      </c>
      <c r="G1307" s="55">
        <v>-23.294875000000001</v>
      </c>
      <c r="H1307" s="55">
        <v>-46.841742000000004</v>
      </c>
      <c r="I1307" s="55">
        <v>-23.087416000000001</v>
      </c>
      <c r="J1307" s="55">
        <v>-46.974594000000003</v>
      </c>
      <c r="L1307" s="61" t="str">
        <f t="shared" si="21"/>
        <v>Cliente22-Cliente6</v>
      </c>
      <c r="M1307">
        <v>47.755602000000003</v>
      </c>
    </row>
    <row r="1308" spans="1:13" x14ac:dyDescent="0.25">
      <c r="A1308" s="15" t="s">
        <v>4292</v>
      </c>
      <c r="B1308" s="15" t="s">
        <v>4277</v>
      </c>
      <c r="C1308" s="52">
        <v>52.473685000000003</v>
      </c>
      <c r="D1308" s="25">
        <v>4.9305555555555554E-2</v>
      </c>
      <c r="E1308" s="53">
        <v>-23.506688</v>
      </c>
      <c r="F1308" s="53">
        <v>-46.721615999999997</v>
      </c>
      <c r="G1308" s="53">
        <v>-23.314771</v>
      </c>
      <c r="H1308" s="53">
        <v>-46.823996999999999</v>
      </c>
      <c r="I1308" s="53">
        <v>-23.117785000000001</v>
      </c>
      <c r="J1308" s="53">
        <v>-46.993464000000003</v>
      </c>
      <c r="L1308" s="61" t="str">
        <f t="shared" si="21"/>
        <v>Cliente22-Cliente7</v>
      </c>
      <c r="M1308">
        <v>52.473685000000003</v>
      </c>
    </row>
    <row r="1309" spans="1:13" x14ac:dyDescent="0.25">
      <c r="A1309" s="15" t="s">
        <v>4292</v>
      </c>
      <c r="B1309" s="15" t="s">
        <v>4278</v>
      </c>
      <c r="C1309" s="54">
        <v>61.503473</v>
      </c>
      <c r="D1309" s="26">
        <v>5.6250000000000001E-2</v>
      </c>
      <c r="E1309" s="55">
        <v>-23.474118000000001</v>
      </c>
      <c r="F1309" s="55">
        <v>-46.746462000000001</v>
      </c>
      <c r="G1309" s="55">
        <v>-23.253972999999998</v>
      </c>
      <c r="H1309" s="55">
        <v>-46.870784999999998</v>
      </c>
      <c r="I1309" s="55">
        <v>-22.988129000000001</v>
      </c>
      <c r="J1309" s="55">
        <v>-47.056995999999998</v>
      </c>
      <c r="L1309" s="61" t="str">
        <f t="shared" si="21"/>
        <v>Cliente22-Cliente8</v>
      </c>
      <c r="M1309">
        <v>61.503473</v>
      </c>
    </row>
    <row r="1310" spans="1:13" x14ac:dyDescent="0.25">
      <c r="A1310" s="15" t="s">
        <v>4292</v>
      </c>
      <c r="B1310" s="15" t="s">
        <v>4279</v>
      </c>
      <c r="C1310" s="52">
        <v>74.567835000000002</v>
      </c>
      <c r="D1310" s="25">
        <v>6.8749999999999992E-2</v>
      </c>
      <c r="E1310" s="53">
        <v>-23.414356000000002</v>
      </c>
      <c r="F1310" s="53">
        <v>-46.765689000000002</v>
      </c>
      <c r="G1310" s="53">
        <v>-23.234124000000001</v>
      </c>
      <c r="H1310" s="53">
        <v>-46.892462000000002</v>
      </c>
      <c r="I1310" s="53">
        <v>-22.941772</v>
      </c>
      <c r="J1310" s="53">
        <v>-47.125838000000002</v>
      </c>
      <c r="L1310" s="61" t="str">
        <f t="shared" si="21"/>
        <v>Cliente22-Cliente9</v>
      </c>
      <c r="M1310">
        <v>74.567835000000002</v>
      </c>
    </row>
    <row r="1311" spans="1:13" x14ac:dyDescent="0.25">
      <c r="A1311" s="15" t="s">
        <v>4292</v>
      </c>
      <c r="B1311" s="15" t="s">
        <v>4280</v>
      </c>
      <c r="C1311" s="54">
        <v>7.291188</v>
      </c>
      <c r="D1311" s="26">
        <v>1.7361111111111112E-2</v>
      </c>
      <c r="E1311" s="55">
        <v>-23.523571</v>
      </c>
      <c r="F1311" s="55">
        <v>-46.701867999999997</v>
      </c>
      <c r="G1311" s="55">
        <v>-23.514567</v>
      </c>
      <c r="H1311" s="55">
        <v>-46.690553000000001</v>
      </c>
      <c r="I1311" s="55">
        <v>-23.480342</v>
      </c>
      <c r="J1311" s="55">
        <v>-46.673169999999999</v>
      </c>
      <c r="L1311" s="61" t="str">
        <f t="shared" si="21"/>
        <v>Cliente22-Cliente10</v>
      </c>
      <c r="M1311">
        <v>7.291188</v>
      </c>
    </row>
    <row r="1312" spans="1:13" x14ac:dyDescent="0.25">
      <c r="A1312" s="15" t="s">
        <v>4292</v>
      </c>
      <c r="B1312" s="15" t="s">
        <v>4281</v>
      </c>
      <c r="C1312" s="52">
        <v>91.789180999999999</v>
      </c>
      <c r="D1312" s="25">
        <v>7.7083333333333337E-2</v>
      </c>
      <c r="E1312" s="53">
        <v>-23.374157</v>
      </c>
      <c r="F1312" s="53">
        <v>-46.777113</v>
      </c>
      <c r="G1312" s="53">
        <v>-23.135629999999999</v>
      </c>
      <c r="H1312" s="53">
        <v>-46.978529000000002</v>
      </c>
      <c r="I1312" s="53">
        <v>-22.894165999999998</v>
      </c>
      <c r="J1312" s="53">
        <v>-47.226849000000001</v>
      </c>
      <c r="L1312" s="61" t="str">
        <f t="shared" si="21"/>
        <v>Cliente22-Cliente11</v>
      </c>
      <c r="M1312">
        <v>91.789180999999999</v>
      </c>
    </row>
    <row r="1313" spans="1:13" x14ac:dyDescent="0.25">
      <c r="A1313" s="15" t="s">
        <v>4292</v>
      </c>
      <c r="B1313" s="15" t="s">
        <v>4282</v>
      </c>
      <c r="C1313" s="54">
        <v>52.661338999999998</v>
      </c>
      <c r="D1313" s="26">
        <v>5.347222222222222E-2</v>
      </c>
      <c r="E1313" s="55">
        <v>-23.514948</v>
      </c>
      <c r="F1313" s="55">
        <v>-46.674788999999997</v>
      </c>
      <c r="G1313" s="55">
        <v>-23.409972</v>
      </c>
      <c r="H1313" s="55">
        <v>-46.344794</v>
      </c>
      <c r="I1313" s="55">
        <v>-23.346274000000001</v>
      </c>
      <c r="J1313" s="55">
        <v>-46.16413</v>
      </c>
      <c r="L1313" s="61" t="str">
        <f t="shared" si="21"/>
        <v>Cliente22-Cliente12</v>
      </c>
      <c r="M1313">
        <v>52.661338999999998</v>
      </c>
    </row>
    <row r="1314" spans="1:13" x14ac:dyDescent="0.25">
      <c r="A1314" s="15" t="s">
        <v>4292</v>
      </c>
      <c r="B1314" s="15" t="s">
        <v>4283</v>
      </c>
      <c r="C1314" s="52">
        <v>60.545316999999997</v>
      </c>
      <c r="D1314" s="25">
        <v>5.9027777777777783E-2</v>
      </c>
      <c r="E1314" s="53">
        <v>-23.516957999999999</v>
      </c>
      <c r="F1314" s="53">
        <v>-46.657367999999998</v>
      </c>
      <c r="G1314" s="53">
        <v>-23.400144999999998</v>
      </c>
      <c r="H1314" s="53">
        <v>-46.302852000000001</v>
      </c>
      <c r="I1314" s="53">
        <v>-23.31625</v>
      </c>
      <c r="J1314" s="53">
        <v>-46.079396000000003</v>
      </c>
      <c r="L1314" s="61" t="str">
        <f t="shared" si="21"/>
        <v>Cliente22-Cliente13</v>
      </c>
      <c r="M1314">
        <v>60.545316999999997</v>
      </c>
    </row>
    <row r="1315" spans="1:13" x14ac:dyDescent="0.25">
      <c r="A1315" s="15" t="s">
        <v>4292</v>
      </c>
      <c r="B1315" s="15" t="s">
        <v>4284</v>
      </c>
      <c r="C1315" s="54">
        <v>58.607877000000002</v>
      </c>
      <c r="D1315" s="26">
        <v>5.6250000000000001E-2</v>
      </c>
      <c r="E1315" s="55">
        <v>-23.513911</v>
      </c>
      <c r="F1315" s="55">
        <v>-46.679315000000003</v>
      </c>
      <c r="G1315" s="55">
        <v>-23.413879000000001</v>
      </c>
      <c r="H1315" s="55">
        <v>-46.362974999999999</v>
      </c>
      <c r="I1315" s="55">
        <v>-23.352436000000001</v>
      </c>
      <c r="J1315" s="55">
        <v>-46.184086999999998</v>
      </c>
      <c r="L1315" s="61" t="str">
        <f t="shared" si="21"/>
        <v>Cliente22-Cliente14</v>
      </c>
      <c r="M1315">
        <v>58.607877000000002</v>
      </c>
    </row>
    <row r="1316" spans="1:13" x14ac:dyDescent="0.25">
      <c r="A1316" s="15" t="s">
        <v>4292</v>
      </c>
      <c r="B1316" s="15" t="s">
        <v>4285</v>
      </c>
      <c r="C1316" s="52">
        <v>60.986491000000001</v>
      </c>
      <c r="D1316" s="25">
        <v>6.25E-2</v>
      </c>
      <c r="E1316" s="53">
        <v>-23.517282999999999</v>
      </c>
      <c r="F1316" s="53">
        <v>-46.654156999999998</v>
      </c>
      <c r="G1316" s="53">
        <v>-23.398219000000001</v>
      </c>
      <c r="H1316" s="53">
        <v>-46.297646999999998</v>
      </c>
      <c r="I1316" s="53">
        <v>-23.31466</v>
      </c>
      <c r="J1316" s="53">
        <v>-46.068956</v>
      </c>
      <c r="L1316" s="61" t="str">
        <f t="shared" si="21"/>
        <v>Cliente22-Cliente15</v>
      </c>
      <c r="M1316">
        <v>60.986491000000001</v>
      </c>
    </row>
    <row r="1317" spans="1:13" x14ac:dyDescent="0.25">
      <c r="A1317" s="15" t="s">
        <v>4292</v>
      </c>
      <c r="B1317" s="15" t="s">
        <v>4286</v>
      </c>
      <c r="C1317" s="54">
        <v>59.917109000000004</v>
      </c>
      <c r="D1317" s="26">
        <v>6.0416666666666667E-2</v>
      </c>
      <c r="E1317" s="55">
        <v>-23.517282999999999</v>
      </c>
      <c r="F1317" s="55">
        <v>-46.654156999999998</v>
      </c>
      <c r="G1317" s="55">
        <v>-23.400144999999998</v>
      </c>
      <c r="H1317" s="55">
        <v>-46.302852000000001</v>
      </c>
      <c r="I1317" s="55">
        <v>-23.315826999999999</v>
      </c>
      <c r="J1317" s="55">
        <v>-46.077250999999997</v>
      </c>
      <c r="L1317" s="61" t="str">
        <f t="shared" si="21"/>
        <v>Cliente22-Cliente16</v>
      </c>
      <c r="M1317">
        <v>59.917109000000004</v>
      </c>
    </row>
    <row r="1318" spans="1:13" x14ac:dyDescent="0.25">
      <c r="A1318" s="15" t="s">
        <v>4292</v>
      </c>
      <c r="B1318" s="15" t="s">
        <v>4287</v>
      </c>
      <c r="C1318" s="52">
        <v>60.972821000000003</v>
      </c>
      <c r="D1318" s="25">
        <v>5.9027777777777783E-2</v>
      </c>
      <c r="E1318" s="53">
        <v>-23.516957999999999</v>
      </c>
      <c r="F1318" s="53">
        <v>-46.657367999999998</v>
      </c>
      <c r="G1318" s="53">
        <v>-23.400144999999998</v>
      </c>
      <c r="H1318" s="53">
        <v>-46.302852000000001</v>
      </c>
      <c r="I1318" s="53">
        <v>-23.31625</v>
      </c>
      <c r="J1318" s="53">
        <v>-46.079396000000003</v>
      </c>
      <c r="L1318" s="61" t="str">
        <f t="shared" si="21"/>
        <v>Cliente22-Cliente17</v>
      </c>
      <c r="M1318">
        <v>60.972821000000003</v>
      </c>
    </row>
    <row r="1319" spans="1:13" x14ac:dyDescent="0.25">
      <c r="A1319" s="15" t="s">
        <v>4292</v>
      </c>
      <c r="B1319" s="15" t="s">
        <v>4288</v>
      </c>
      <c r="C1319" s="54">
        <v>65.800887000000003</v>
      </c>
      <c r="D1319" s="26">
        <v>6.3888888888888884E-2</v>
      </c>
      <c r="E1319" s="55">
        <v>-23.515464000000001</v>
      </c>
      <c r="F1319" s="55">
        <v>-46.670445999999998</v>
      </c>
      <c r="G1319" s="55">
        <v>-23.404121</v>
      </c>
      <c r="H1319" s="55">
        <v>-46.332166000000001</v>
      </c>
      <c r="I1319" s="55">
        <v>-23.322575000000001</v>
      </c>
      <c r="J1319" s="55">
        <v>-46.117641999999996</v>
      </c>
      <c r="L1319" s="61" t="str">
        <f t="shared" si="21"/>
        <v>Cliente22-Cliente18</v>
      </c>
      <c r="M1319">
        <v>65.800887000000003</v>
      </c>
    </row>
    <row r="1320" spans="1:13" x14ac:dyDescent="0.25">
      <c r="A1320" s="15" t="s">
        <v>4292</v>
      </c>
      <c r="B1320" s="15" t="s">
        <v>4289</v>
      </c>
      <c r="C1320" s="52">
        <v>4.1750030000000002</v>
      </c>
      <c r="D1320" s="25">
        <v>9.7222222222222224E-3</v>
      </c>
      <c r="E1320" s="53">
        <v>-23.527048000000001</v>
      </c>
      <c r="F1320" s="53">
        <v>-46.702247</v>
      </c>
      <c r="G1320" s="53">
        <v>-23.515561999999999</v>
      </c>
      <c r="H1320" s="53">
        <v>-46.697736999999996</v>
      </c>
      <c r="I1320" s="53">
        <v>-23.51172</v>
      </c>
      <c r="J1320" s="53">
        <v>-46.690117000000001</v>
      </c>
      <c r="L1320" s="61" t="str">
        <f t="shared" si="21"/>
        <v>Cliente22-Cliente19</v>
      </c>
      <c r="M1320">
        <v>4.1750030000000002</v>
      </c>
    </row>
    <row r="1321" spans="1:13" x14ac:dyDescent="0.25">
      <c r="A1321" s="15" t="s">
        <v>4292</v>
      </c>
      <c r="B1321" s="15" t="s">
        <v>4290</v>
      </c>
      <c r="C1321" s="54">
        <v>2.9024320000000001</v>
      </c>
      <c r="D1321" s="26">
        <v>7.6388888888888886E-3</v>
      </c>
      <c r="E1321" s="55">
        <v>-23.535264000000002</v>
      </c>
      <c r="F1321" s="55">
        <v>-46.714292</v>
      </c>
      <c r="G1321" s="55">
        <v>-23.537278000000001</v>
      </c>
      <c r="H1321" s="55">
        <v>-46.720844</v>
      </c>
      <c r="I1321" s="55">
        <v>-23.541471999999999</v>
      </c>
      <c r="J1321" s="55">
        <v>-46.730147000000002</v>
      </c>
      <c r="L1321" s="61" t="str">
        <f t="shared" si="21"/>
        <v>Cliente22-Cliente20</v>
      </c>
      <c r="M1321">
        <v>2.9024320000000001</v>
      </c>
    </row>
    <row r="1322" spans="1:13" x14ac:dyDescent="0.25">
      <c r="A1322" s="15" t="s">
        <v>4292</v>
      </c>
      <c r="B1322" s="15" t="s">
        <v>4291</v>
      </c>
      <c r="C1322" s="52">
        <v>2.6035520000000001</v>
      </c>
      <c r="D1322" s="25">
        <v>6.9444444444444441E-3</v>
      </c>
      <c r="E1322" s="53">
        <v>-23.535264000000002</v>
      </c>
      <c r="F1322" s="53">
        <v>-46.714292</v>
      </c>
      <c r="G1322" s="53">
        <v>-23.537275999999999</v>
      </c>
      <c r="H1322" s="53">
        <v>-46.720799999999997</v>
      </c>
      <c r="I1322" s="53">
        <v>-23.543586999999999</v>
      </c>
      <c r="J1322" s="53">
        <v>-46.732410999999999</v>
      </c>
      <c r="L1322" s="61" t="str">
        <f t="shared" si="21"/>
        <v>Cliente22-Cliente21</v>
      </c>
      <c r="M1322">
        <v>2.6035520000000001</v>
      </c>
    </row>
    <row r="1323" spans="1:13" x14ac:dyDescent="0.25">
      <c r="A1323" s="15" t="s">
        <v>4292</v>
      </c>
      <c r="B1323" s="15" t="s">
        <v>4292</v>
      </c>
      <c r="C1323" s="54">
        <v>0</v>
      </c>
      <c r="D1323" s="26">
        <v>0</v>
      </c>
      <c r="E1323" s="55">
        <f>'1. Locais'!D26</f>
        <v>-23.534659999999999</v>
      </c>
      <c r="F1323" s="55">
        <f>'1. Locais'!E26</f>
        <v>-46.712949999999999</v>
      </c>
      <c r="G1323" s="55">
        <f>'1. Locais'!D26</f>
        <v>-23.534659999999999</v>
      </c>
      <c r="H1323" s="55">
        <f>'1. Locais'!E26</f>
        <v>-46.712949999999999</v>
      </c>
      <c r="I1323" s="55">
        <f>'1. Locais'!D26</f>
        <v>-23.534659999999999</v>
      </c>
      <c r="J1323" s="55">
        <f>'1. Locais'!E26</f>
        <v>-46.712949999999999</v>
      </c>
      <c r="L1323" s="61" t="str">
        <f t="shared" si="21"/>
        <v>Cliente22-Cliente22</v>
      </c>
      <c r="M1323">
        <v>0</v>
      </c>
    </row>
    <row r="1324" spans="1:13" x14ac:dyDescent="0.25">
      <c r="A1324" s="15" t="s">
        <v>4292</v>
      </c>
      <c r="B1324" s="15" t="s">
        <v>4293</v>
      </c>
      <c r="C1324" s="52">
        <v>8.2089549999999996</v>
      </c>
      <c r="D1324" s="25">
        <v>1.7361111111111112E-2</v>
      </c>
      <c r="E1324" s="53">
        <v>-23.544817999999999</v>
      </c>
      <c r="F1324" s="53">
        <v>-46.733794000000003</v>
      </c>
      <c r="G1324" s="53">
        <v>-23.56052</v>
      </c>
      <c r="H1324" s="53">
        <v>-46.712001999999998</v>
      </c>
      <c r="I1324" s="53">
        <v>-23.584365999999999</v>
      </c>
      <c r="J1324" s="53">
        <v>-46.737867999999999</v>
      </c>
      <c r="L1324" s="61" t="str">
        <f t="shared" si="21"/>
        <v>Cliente22-Cliente23</v>
      </c>
      <c r="M1324">
        <v>8.2089549999999996</v>
      </c>
    </row>
    <row r="1325" spans="1:13" x14ac:dyDescent="0.25">
      <c r="A1325" s="15" t="s">
        <v>4292</v>
      </c>
      <c r="B1325" s="15" t="s">
        <v>4294</v>
      </c>
      <c r="C1325" s="54">
        <v>7.7945000000000002</v>
      </c>
      <c r="D1325" s="26">
        <v>1.9444444444444445E-2</v>
      </c>
      <c r="E1325" s="55">
        <v>-23.553362</v>
      </c>
      <c r="F1325" s="55">
        <v>-46.709530000000001</v>
      </c>
      <c r="G1325" s="55">
        <v>-23.571013000000001</v>
      </c>
      <c r="H1325" s="55">
        <v>-46.691319</v>
      </c>
      <c r="I1325" s="55">
        <v>-23.587137999999999</v>
      </c>
      <c r="J1325" s="55">
        <v>-46.725867000000001</v>
      </c>
      <c r="L1325" s="61" t="str">
        <f t="shared" si="21"/>
        <v>Cliente22-Cliente24</v>
      </c>
      <c r="M1325">
        <v>7.7945000000000002</v>
      </c>
    </row>
    <row r="1326" spans="1:13" x14ac:dyDescent="0.25">
      <c r="A1326" s="15" t="s">
        <v>4292</v>
      </c>
      <c r="B1326" s="15" t="s">
        <v>4295</v>
      </c>
      <c r="C1326" s="52">
        <v>10.584463</v>
      </c>
      <c r="D1326" s="25">
        <v>2.361111111111111E-2</v>
      </c>
      <c r="E1326" s="53">
        <v>-23.544723999999999</v>
      </c>
      <c r="F1326" s="53">
        <v>-46.737105</v>
      </c>
      <c r="G1326" s="53">
        <v>-23.578990999999998</v>
      </c>
      <c r="H1326" s="53">
        <v>-46.728216000000003</v>
      </c>
      <c r="I1326" s="53">
        <v>-23.604406999999998</v>
      </c>
      <c r="J1326" s="53">
        <v>-46.749290999999999</v>
      </c>
      <c r="L1326" s="61" t="str">
        <f t="shared" si="21"/>
        <v>Cliente22-Cliente25</v>
      </c>
      <c r="M1326">
        <v>10.584463</v>
      </c>
    </row>
    <row r="1327" spans="1:13" x14ac:dyDescent="0.25">
      <c r="A1327" s="15" t="s">
        <v>4292</v>
      </c>
      <c r="B1327" s="15" t="s">
        <v>4296</v>
      </c>
      <c r="C1327" s="54">
        <v>9.7611439999999998</v>
      </c>
      <c r="D1327" s="26">
        <v>1.8055555555555557E-2</v>
      </c>
      <c r="E1327" s="55">
        <v>-23.553756</v>
      </c>
      <c r="F1327" s="55">
        <v>-46.743080999999997</v>
      </c>
      <c r="G1327" s="55">
        <v>-23.577850999999999</v>
      </c>
      <c r="H1327" s="55">
        <v>-46.767246999999998</v>
      </c>
      <c r="I1327" s="55">
        <v>-23.590748999999999</v>
      </c>
      <c r="J1327" s="55">
        <v>-46.819042000000003</v>
      </c>
      <c r="L1327" s="61" t="str">
        <f t="shared" si="21"/>
        <v>Cliente22-Cliente26</v>
      </c>
      <c r="M1327">
        <v>9.7611439999999998</v>
      </c>
    </row>
    <row r="1328" spans="1:13" x14ac:dyDescent="0.25">
      <c r="A1328" s="15" t="s">
        <v>4292</v>
      </c>
      <c r="B1328" s="15" t="s">
        <v>4297</v>
      </c>
      <c r="C1328" s="52">
        <v>9.9879449999999999</v>
      </c>
      <c r="D1328" s="25">
        <v>2.013888888888889E-2</v>
      </c>
      <c r="E1328" s="53">
        <v>-23.547048</v>
      </c>
      <c r="F1328" s="53">
        <v>-46.736204999999998</v>
      </c>
      <c r="G1328" s="53">
        <v>-23.572989</v>
      </c>
      <c r="H1328" s="53">
        <v>-46.711342999999999</v>
      </c>
      <c r="I1328" s="53">
        <v>-23.585065</v>
      </c>
      <c r="J1328" s="53">
        <v>-46.738157999999999</v>
      </c>
      <c r="L1328" s="61" t="str">
        <f t="shared" si="21"/>
        <v>Cliente22-Cliente27</v>
      </c>
      <c r="M1328">
        <v>9.9879449999999999</v>
      </c>
    </row>
    <row r="1329" spans="1:13" x14ac:dyDescent="0.25">
      <c r="A1329" s="15" t="s">
        <v>4292</v>
      </c>
      <c r="B1329" s="15" t="s">
        <v>4298</v>
      </c>
      <c r="C1329" s="54">
        <v>12.473436</v>
      </c>
      <c r="D1329" s="26">
        <v>2.361111111111111E-2</v>
      </c>
      <c r="E1329" s="55">
        <v>-23.560027999999999</v>
      </c>
      <c r="F1329" s="55">
        <v>-46.712279000000002</v>
      </c>
      <c r="G1329" s="55">
        <v>-23.593959999999999</v>
      </c>
      <c r="H1329" s="55">
        <v>-46.694555000000001</v>
      </c>
      <c r="I1329" s="55">
        <v>-23.625793000000002</v>
      </c>
      <c r="J1329" s="55">
        <v>-46.688800999999998</v>
      </c>
      <c r="L1329" s="61" t="str">
        <f t="shared" si="21"/>
        <v>Cliente22-Cliente28</v>
      </c>
      <c r="M1329">
        <v>12.473436</v>
      </c>
    </row>
    <row r="1330" spans="1:13" x14ac:dyDescent="0.25">
      <c r="A1330" s="15" t="s">
        <v>4292</v>
      </c>
      <c r="B1330" s="15" t="s">
        <v>4299</v>
      </c>
      <c r="C1330" s="52">
        <v>17.116955000000001</v>
      </c>
      <c r="D1330" s="25">
        <v>3.0555555555555555E-2</v>
      </c>
      <c r="E1330" s="53">
        <v>-23.559984</v>
      </c>
      <c r="F1330" s="53">
        <v>-46.710385000000002</v>
      </c>
      <c r="G1330" s="53">
        <v>-23.615514999999998</v>
      </c>
      <c r="H1330" s="53">
        <v>-46.667319999999997</v>
      </c>
      <c r="I1330" s="53">
        <v>-23.621095</v>
      </c>
      <c r="J1330" s="53">
        <v>-46.608170999999999</v>
      </c>
      <c r="L1330" s="61" t="str">
        <f t="shared" si="21"/>
        <v>Cliente22-Cliente29</v>
      </c>
      <c r="M1330">
        <v>17.116955000000001</v>
      </c>
    </row>
    <row r="1331" spans="1:13" x14ac:dyDescent="0.25">
      <c r="A1331" s="15" t="s">
        <v>4292</v>
      </c>
      <c r="B1331" s="15" t="s">
        <v>4300</v>
      </c>
      <c r="C1331" s="54">
        <v>23.046714999999999</v>
      </c>
      <c r="D1331" s="26">
        <v>4.2361111111111106E-2</v>
      </c>
      <c r="E1331" s="55">
        <v>-23.511752999999999</v>
      </c>
      <c r="F1331" s="55">
        <v>-46.682614999999998</v>
      </c>
      <c r="G1331" s="55">
        <v>-23.570692000000001</v>
      </c>
      <c r="H1331" s="55">
        <v>-46.605029999999999</v>
      </c>
      <c r="I1331" s="55">
        <v>-23.610721000000002</v>
      </c>
      <c r="J1331" s="55">
        <v>-46.545031999999999</v>
      </c>
      <c r="L1331" s="61" t="str">
        <f t="shared" si="21"/>
        <v>Cliente22-Cliente30</v>
      </c>
      <c r="M1331">
        <v>23.046714999999999</v>
      </c>
    </row>
    <row r="1332" spans="1:13" x14ac:dyDescent="0.25">
      <c r="A1332" s="15" t="s">
        <v>4292</v>
      </c>
      <c r="B1332" s="15" t="s">
        <v>4301</v>
      </c>
      <c r="C1332" s="52">
        <v>9.5933740000000007</v>
      </c>
      <c r="D1332" s="25">
        <v>2.013888888888889E-2</v>
      </c>
      <c r="E1332" s="53">
        <v>-23.525604000000001</v>
      </c>
      <c r="F1332" s="53">
        <v>-46.741022000000001</v>
      </c>
      <c r="G1332" s="53">
        <v>-23.524501000000001</v>
      </c>
      <c r="H1332" s="53">
        <v>-46.751562999999997</v>
      </c>
      <c r="I1332" s="53">
        <v>-23.519950999999999</v>
      </c>
      <c r="J1332" s="53">
        <v>-46.788606000000001</v>
      </c>
      <c r="L1332" s="61" t="str">
        <f t="shared" si="21"/>
        <v>Cliente22-Cliente31</v>
      </c>
      <c r="M1332">
        <v>9.5933740000000007</v>
      </c>
    </row>
    <row r="1333" spans="1:13" x14ac:dyDescent="0.25">
      <c r="A1333" s="15" t="s">
        <v>4292</v>
      </c>
      <c r="B1333" s="15" t="s">
        <v>4302</v>
      </c>
      <c r="C1333" s="54">
        <v>4.6795580000000001</v>
      </c>
      <c r="D1333" s="26">
        <v>1.2499999999999999E-2</v>
      </c>
      <c r="E1333" s="55">
        <v>-23.528949999999998</v>
      </c>
      <c r="F1333" s="55">
        <v>-46.720094000000003</v>
      </c>
      <c r="G1333" s="55">
        <v>-23.523021</v>
      </c>
      <c r="H1333" s="55">
        <v>-46.718209999999999</v>
      </c>
      <c r="I1333" s="55">
        <v>-23.508389999999999</v>
      </c>
      <c r="J1333" s="55">
        <v>-46.732171000000001</v>
      </c>
      <c r="L1333" s="61" t="str">
        <f t="shared" si="21"/>
        <v>Cliente22-Cliente32</v>
      </c>
      <c r="M1333">
        <v>4.6795580000000001</v>
      </c>
    </row>
    <row r="1334" spans="1:13" x14ac:dyDescent="0.25">
      <c r="A1334" s="15" t="s">
        <v>4292</v>
      </c>
      <c r="B1334" s="15" t="s">
        <v>4303</v>
      </c>
      <c r="C1334" s="52">
        <v>12.029154999999999</v>
      </c>
      <c r="D1334" s="25">
        <v>2.6388888888888889E-2</v>
      </c>
      <c r="E1334" s="53">
        <v>-23.515592000000002</v>
      </c>
      <c r="F1334" s="53">
        <v>-46.690764999999999</v>
      </c>
      <c r="G1334" s="53">
        <v>-23.519870999999998</v>
      </c>
      <c r="H1334" s="53">
        <v>-46.630701000000002</v>
      </c>
      <c r="I1334" s="53">
        <v>-23.495958000000002</v>
      </c>
      <c r="J1334" s="53">
        <v>-46.610474000000004</v>
      </c>
      <c r="L1334" s="61" t="str">
        <f t="shared" si="21"/>
        <v>Cliente22-Cliente33</v>
      </c>
      <c r="M1334">
        <v>12.029154999999999</v>
      </c>
    </row>
    <row r="1335" spans="1:13" x14ac:dyDescent="0.25">
      <c r="A1335" s="15" t="s">
        <v>4292</v>
      </c>
      <c r="B1335" s="15" t="s">
        <v>4304</v>
      </c>
      <c r="C1335" s="54">
        <v>14.300894</v>
      </c>
      <c r="D1335" s="26">
        <v>2.4999999999999998E-2</v>
      </c>
      <c r="E1335" s="55">
        <v>-23.52028</v>
      </c>
      <c r="F1335" s="55">
        <v>-46.743837999999997</v>
      </c>
      <c r="G1335" s="55">
        <v>-23.510334</v>
      </c>
      <c r="H1335" s="55">
        <v>-46.808275999999999</v>
      </c>
      <c r="I1335" s="55">
        <v>-23.485762000000001</v>
      </c>
      <c r="J1335" s="55">
        <v>-46.836922999999999</v>
      </c>
      <c r="L1335" s="61" t="str">
        <f t="shared" si="21"/>
        <v>Cliente22-Cliente34</v>
      </c>
      <c r="M1335">
        <v>14.300894</v>
      </c>
    </row>
    <row r="1336" spans="1:13" x14ac:dyDescent="0.25">
      <c r="A1336" s="15" t="s">
        <v>4292</v>
      </c>
      <c r="B1336" s="15" t="s">
        <v>4305</v>
      </c>
      <c r="C1336" s="52">
        <v>14.896789999999999</v>
      </c>
      <c r="D1336" s="25">
        <v>2.4305555555555556E-2</v>
      </c>
      <c r="E1336" s="53">
        <v>-23.521656</v>
      </c>
      <c r="F1336" s="53">
        <v>-46.740806999999997</v>
      </c>
      <c r="G1336" s="53">
        <v>-23.515865000000002</v>
      </c>
      <c r="H1336" s="53">
        <v>-46.791767999999998</v>
      </c>
      <c r="I1336" s="53">
        <v>-23.486124</v>
      </c>
      <c r="J1336" s="53">
        <v>-46.856656999999998</v>
      </c>
      <c r="L1336" s="61" t="str">
        <f t="shared" si="21"/>
        <v>Cliente22-Cliente35</v>
      </c>
      <c r="M1336">
        <v>14.896789999999999</v>
      </c>
    </row>
    <row r="1337" spans="1:13" x14ac:dyDescent="0.25">
      <c r="A1337" s="15" t="s">
        <v>4292</v>
      </c>
      <c r="B1337" s="15" t="s">
        <v>4306</v>
      </c>
      <c r="C1337" s="54">
        <v>141.285247</v>
      </c>
      <c r="D1337" s="26">
        <v>0.12083333333333333</v>
      </c>
      <c r="E1337" s="55">
        <v>-23.309108999999999</v>
      </c>
      <c r="F1337" s="55">
        <v>-46.833942</v>
      </c>
      <c r="G1337" s="55">
        <v>-22.921012000000001</v>
      </c>
      <c r="H1337" s="55">
        <v>-47.132838</v>
      </c>
      <c r="I1337" s="55">
        <v>-22.461528999999999</v>
      </c>
      <c r="J1337" s="55">
        <v>-47.535850000000003</v>
      </c>
      <c r="L1337" s="61" t="str">
        <f t="shared" si="21"/>
        <v>Cliente22-Cliente36</v>
      </c>
      <c r="M1337">
        <v>141.285247</v>
      </c>
    </row>
    <row r="1338" spans="1:13" x14ac:dyDescent="0.25">
      <c r="A1338" s="15" t="s">
        <v>4292</v>
      </c>
      <c r="B1338" s="15" t="s">
        <v>4307</v>
      </c>
      <c r="C1338" s="52">
        <v>140.188524</v>
      </c>
      <c r="D1338" s="25">
        <v>0.11944444444444445</v>
      </c>
      <c r="E1338" s="53">
        <v>-23.304127999999999</v>
      </c>
      <c r="F1338" s="53">
        <v>-46.839002999999998</v>
      </c>
      <c r="G1338" s="53">
        <v>-22.910419999999998</v>
      </c>
      <c r="H1338" s="53">
        <v>-47.136571000000004</v>
      </c>
      <c r="I1338" s="53">
        <v>-22.454598000000001</v>
      </c>
      <c r="J1338" s="53">
        <v>-47.551988999999999</v>
      </c>
      <c r="L1338" s="61" t="str">
        <f t="shared" si="21"/>
        <v>Cliente22-Cliente37</v>
      </c>
      <c r="M1338">
        <v>140.188524</v>
      </c>
    </row>
    <row r="1339" spans="1:13" x14ac:dyDescent="0.25">
      <c r="A1339" s="15" t="s">
        <v>4292</v>
      </c>
      <c r="B1339" s="15" t="s">
        <v>4308</v>
      </c>
      <c r="C1339" s="54">
        <v>138.41202000000001</v>
      </c>
      <c r="D1339" s="26">
        <v>0.1173611111111111</v>
      </c>
      <c r="E1339" s="55">
        <v>-23.311568999999999</v>
      </c>
      <c r="F1339" s="55">
        <v>-46.827970999999998</v>
      </c>
      <c r="G1339" s="55">
        <v>-22.925778999999999</v>
      </c>
      <c r="H1339" s="55">
        <v>-47.129742999999998</v>
      </c>
      <c r="I1339" s="55">
        <v>-22.501542000000001</v>
      </c>
      <c r="J1339" s="55">
        <v>-47.402144999999997</v>
      </c>
      <c r="L1339" s="61" t="str">
        <f t="shared" si="21"/>
        <v>Cliente22-Cliente38</v>
      </c>
      <c r="M1339">
        <v>138.41202000000001</v>
      </c>
    </row>
    <row r="1340" spans="1:13" x14ac:dyDescent="0.25">
      <c r="A1340" s="15" t="s">
        <v>4292</v>
      </c>
      <c r="B1340" s="15" t="s">
        <v>4309</v>
      </c>
      <c r="C1340" s="52">
        <v>86.807013999999995</v>
      </c>
      <c r="D1340" s="25">
        <v>8.3333333333333329E-2</v>
      </c>
      <c r="E1340" s="53">
        <v>-23.519262999999999</v>
      </c>
      <c r="F1340" s="53">
        <v>-46.620029000000002</v>
      </c>
      <c r="G1340" s="53">
        <v>-23.376688999999999</v>
      </c>
      <c r="H1340" s="53">
        <v>-46.248811000000003</v>
      </c>
      <c r="I1340" s="53">
        <v>-23.294968999999998</v>
      </c>
      <c r="J1340" s="53">
        <v>-46.005122</v>
      </c>
      <c r="L1340" s="61" t="str">
        <f t="shared" si="21"/>
        <v>Cliente22-Cliente39</v>
      </c>
      <c r="M1340">
        <v>86.807013999999995</v>
      </c>
    </row>
    <row r="1341" spans="1:13" x14ac:dyDescent="0.25">
      <c r="A1341" s="15" t="s">
        <v>4292</v>
      </c>
      <c r="B1341" s="15" t="s">
        <v>4310</v>
      </c>
      <c r="C1341" s="54">
        <v>91.662420999999995</v>
      </c>
      <c r="D1341" s="26">
        <v>9.1666666666666674E-2</v>
      </c>
      <c r="E1341" s="55">
        <v>-23.523781</v>
      </c>
      <c r="F1341" s="55">
        <v>-46.608165</v>
      </c>
      <c r="G1341" s="55">
        <v>-23.356808999999998</v>
      </c>
      <c r="H1341" s="55">
        <v>-46.206643</v>
      </c>
      <c r="I1341" s="55">
        <v>-23.037507999999999</v>
      </c>
      <c r="J1341" s="55">
        <v>-45.557738999999998</v>
      </c>
      <c r="L1341" s="61" t="str">
        <f t="shared" si="21"/>
        <v>Cliente22-Cliente40</v>
      </c>
      <c r="M1341">
        <v>91.662420999999995</v>
      </c>
    </row>
    <row r="1342" spans="1:13" x14ac:dyDescent="0.25">
      <c r="A1342" s="15" t="s">
        <v>4292</v>
      </c>
      <c r="B1342" s="15" t="s">
        <v>4311</v>
      </c>
      <c r="C1342" s="52">
        <v>77.845575999999994</v>
      </c>
      <c r="D1342" s="25">
        <v>7.7777777777777779E-2</v>
      </c>
      <c r="E1342" s="53">
        <v>-23.520129000000001</v>
      </c>
      <c r="F1342" s="53">
        <v>-46.616250999999998</v>
      </c>
      <c r="G1342" s="53">
        <v>-23.369465000000002</v>
      </c>
      <c r="H1342" s="53">
        <v>-46.239342999999998</v>
      </c>
      <c r="I1342" s="53">
        <v>-23.196698999999999</v>
      </c>
      <c r="J1342" s="53">
        <v>-45.874232999999997</v>
      </c>
      <c r="L1342" s="61" t="str">
        <f t="shared" si="21"/>
        <v>Cliente22-Cliente41</v>
      </c>
      <c r="M1342">
        <v>77.845575999999994</v>
      </c>
    </row>
    <row r="1343" spans="1:13" x14ac:dyDescent="0.25">
      <c r="A1343" s="15" t="s">
        <v>4292</v>
      </c>
      <c r="B1343" s="15" t="s">
        <v>4312</v>
      </c>
      <c r="C1343" s="54">
        <v>74.374588000000003</v>
      </c>
      <c r="D1343" s="26">
        <v>7.013888888888889E-2</v>
      </c>
      <c r="E1343" s="55">
        <v>-23.515696999999999</v>
      </c>
      <c r="F1343" s="55">
        <v>-46.667583</v>
      </c>
      <c r="G1343" s="55">
        <v>-23.403324000000001</v>
      </c>
      <c r="H1343" s="55">
        <v>-46.32985</v>
      </c>
      <c r="I1343" s="55">
        <v>-23.321628</v>
      </c>
      <c r="J1343" s="55">
        <v>-46.097070000000002</v>
      </c>
      <c r="L1343" s="61" t="str">
        <f t="shared" si="21"/>
        <v>Cliente22-Cliente42</v>
      </c>
      <c r="M1343">
        <v>74.374588000000003</v>
      </c>
    </row>
    <row r="1344" spans="1:13" x14ac:dyDescent="0.25">
      <c r="A1344" s="15" t="s">
        <v>4292</v>
      </c>
      <c r="B1344" s="15" t="s">
        <v>4313</v>
      </c>
      <c r="C1344" s="52">
        <v>97.027353000000005</v>
      </c>
      <c r="D1344" s="25">
        <v>9.0972222222222218E-2</v>
      </c>
      <c r="E1344" s="53">
        <v>-23.523713999999998</v>
      </c>
      <c r="F1344" s="53">
        <v>-46.610359000000003</v>
      </c>
      <c r="G1344" s="53">
        <v>-23.359524</v>
      </c>
      <c r="H1344" s="53">
        <v>-46.217002999999998</v>
      </c>
      <c r="I1344" s="53">
        <v>-23.048404999999999</v>
      </c>
      <c r="J1344" s="53">
        <v>-45.596626999999998</v>
      </c>
      <c r="L1344" s="61" t="str">
        <f t="shared" si="21"/>
        <v>Cliente22-Cliente43</v>
      </c>
      <c r="M1344">
        <v>97.027353000000005</v>
      </c>
    </row>
    <row r="1345" spans="1:13" x14ac:dyDescent="0.25">
      <c r="A1345" s="15" t="s">
        <v>4292</v>
      </c>
      <c r="B1345" s="15" t="s">
        <v>4314</v>
      </c>
      <c r="C1345" s="54">
        <v>60.367604</v>
      </c>
      <c r="D1345" s="26">
        <v>6.3888888888888884E-2</v>
      </c>
      <c r="E1345" s="55">
        <v>-23.517052</v>
      </c>
      <c r="F1345" s="55">
        <v>-46.743102</v>
      </c>
      <c r="G1345" s="55">
        <v>-23.462869999999999</v>
      </c>
      <c r="H1345" s="55">
        <v>-47.033450000000002</v>
      </c>
      <c r="I1345" s="55">
        <v>-23.401465000000002</v>
      </c>
      <c r="J1345" s="55">
        <v>-47.329757000000001</v>
      </c>
      <c r="L1345" s="61" t="str">
        <f t="shared" si="21"/>
        <v>Cliente22-Cliente44</v>
      </c>
      <c r="M1345">
        <v>60.367604</v>
      </c>
    </row>
    <row r="1346" spans="1:13" x14ac:dyDescent="0.25">
      <c r="A1346" s="15" t="s">
        <v>4292</v>
      </c>
      <c r="B1346" s="15" t="s">
        <v>4315</v>
      </c>
      <c r="C1346" s="52">
        <v>65.659214000000006</v>
      </c>
      <c r="D1346" s="25">
        <v>6.5972222222222224E-2</v>
      </c>
      <c r="E1346" s="53">
        <v>-23.517662999999999</v>
      </c>
      <c r="F1346" s="53">
        <v>-46.941007999999997</v>
      </c>
      <c r="G1346" s="53">
        <v>-23.421302000000001</v>
      </c>
      <c r="H1346" s="53">
        <v>-47.247945999999999</v>
      </c>
      <c r="I1346" s="53">
        <v>-23.494965000000001</v>
      </c>
      <c r="J1346" s="53">
        <v>-47.395333999999998</v>
      </c>
      <c r="L1346" s="61" t="str">
        <f t="shared" si="21"/>
        <v>Cliente22-Cliente45</v>
      </c>
      <c r="M1346">
        <v>65.659214000000006</v>
      </c>
    </row>
    <row r="1347" spans="1:13" x14ac:dyDescent="0.25">
      <c r="A1347" s="15" t="s">
        <v>4292</v>
      </c>
      <c r="B1347" s="15" t="s">
        <v>4316</v>
      </c>
      <c r="C1347" s="54">
        <v>57.211652000000001</v>
      </c>
      <c r="D1347" s="26">
        <v>5.8333333333333327E-2</v>
      </c>
      <c r="E1347" s="55">
        <v>-23.518613999999999</v>
      </c>
      <c r="F1347" s="55">
        <v>-46.785643</v>
      </c>
      <c r="G1347" s="55">
        <v>-23.436174999999999</v>
      </c>
      <c r="H1347" s="55">
        <v>-47.077751999999997</v>
      </c>
      <c r="I1347" s="55">
        <v>-23.402753000000001</v>
      </c>
      <c r="J1347" s="55">
        <v>-47.338209999999997</v>
      </c>
      <c r="L1347" s="61" t="str">
        <f t="shared" si="21"/>
        <v>Cliente22-Cliente46</v>
      </c>
      <c r="M1347">
        <v>57.211652000000001</v>
      </c>
    </row>
    <row r="1348" spans="1:13" x14ac:dyDescent="0.25">
      <c r="A1348" s="15" t="s">
        <v>4292</v>
      </c>
      <c r="B1348" s="15" t="s">
        <v>4317</v>
      </c>
      <c r="C1348" s="52">
        <v>187.741559</v>
      </c>
      <c r="D1348" s="25">
        <v>0.15555555555555556</v>
      </c>
      <c r="E1348" s="53">
        <v>-23.293343</v>
      </c>
      <c r="F1348" s="53">
        <v>-46.842875999999997</v>
      </c>
      <c r="G1348" s="53">
        <v>-22.867118999999999</v>
      </c>
      <c r="H1348" s="53">
        <v>-47.132691000000001</v>
      </c>
      <c r="I1348" s="53">
        <v>-22.249669000000001</v>
      </c>
      <c r="J1348" s="53">
        <v>-47.389769000000001</v>
      </c>
      <c r="L1348" s="61" t="str">
        <f t="shared" si="21"/>
        <v>Cliente22-Cliente47</v>
      </c>
      <c r="M1348">
        <v>187.741559</v>
      </c>
    </row>
    <row r="1349" spans="1:13" x14ac:dyDescent="0.25">
      <c r="A1349" s="15" t="s">
        <v>4292</v>
      </c>
      <c r="B1349" s="15" t="s">
        <v>4318</v>
      </c>
      <c r="C1349" s="54">
        <v>196.85274699999999</v>
      </c>
      <c r="D1349" s="26">
        <v>0.16388888888888889</v>
      </c>
      <c r="E1349" s="55">
        <v>-23.267243000000001</v>
      </c>
      <c r="F1349" s="55">
        <v>-46.858772999999999</v>
      </c>
      <c r="G1349" s="55">
        <v>-22.773023999999999</v>
      </c>
      <c r="H1349" s="55">
        <v>-47.236238</v>
      </c>
      <c r="I1349" s="55">
        <v>-21.812799999999999</v>
      </c>
      <c r="J1349" s="55">
        <v>-47.498469999999998</v>
      </c>
      <c r="L1349" s="61" t="str">
        <f t="shared" si="21"/>
        <v>Cliente22-Cliente48</v>
      </c>
      <c r="M1349">
        <v>196.85274699999999</v>
      </c>
    </row>
    <row r="1350" spans="1:13" x14ac:dyDescent="0.25">
      <c r="A1350" s="15" t="s">
        <v>4292</v>
      </c>
      <c r="B1350" s="15" t="s">
        <v>4319</v>
      </c>
      <c r="C1350" s="52">
        <v>190.490512</v>
      </c>
      <c r="D1350" s="25">
        <v>0.15972222222222224</v>
      </c>
      <c r="E1350" s="53">
        <v>-23.276551000000001</v>
      </c>
      <c r="F1350" s="53">
        <v>-46.849595999999998</v>
      </c>
      <c r="G1350" s="53">
        <v>-22.827233</v>
      </c>
      <c r="H1350" s="53">
        <v>-47.184015000000002</v>
      </c>
      <c r="I1350" s="53">
        <v>-22.084499999999998</v>
      </c>
      <c r="J1350" s="53">
        <v>-47.420546999999999</v>
      </c>
      <c r="L1350" s="61" t="str">
        <f t="shared" si="21"/>
        <v>Cliente22-Cliente49</v>
      </c>
      <c r="M1350">
        <v>190.490512</v>
      </c>
    </row>
    <row r="1351" spans="1:13" x14ac:dyDescent="0.25">
      <c r="A1351" s="15" t="s">
        <v>4292</v>
      </c>
      <c r="B1351" s="15" t="s">
        <v>4320</v>
      </c>
      <c r="C1351" s="54">
        <v>203.827035</v>
      </c>
      <c r="D1351" s="26">
        <v>0.17083333333333331</v>
      </c>
      <c r="E1351" s="55">
        <v>-23.473671</v>
      </c>
      <c r="F1351" s="55">
        <v>-47.004843000000001</v>
      </c>
      <c r="G1351" s="55">
        <v>-23.264168000000002</v>
      </c>
      <c r="H1351" s="55">
        <v>-47.841428000000001</v>
      </c>
      <c r="I1351" s="55">
        <v>-22.884874</v>
      </c>
      <c r="J1351" s="55">
        <v>-48.461320000000001</v>
      </c>
      <c r="L1351" s="61" t="str">
        <f t="shared" si="21"/>
        <v>Cliente22-Cliente50</v>
      </c>
      <c r="M1351">
        <v>203.827035</v>
      </c>
    </row>
    <row r="1352" spans="1:13" x14ac:dyDescent="0.25">
      <c r="A1352" s="15" t="s">
        <v>4292</v>
      </c>
      <c r="B1352" s="15" t="s">
        <v>4321</v>
      </c>
      <c r="C1352" s="52">
        <v>200.35915299999999</v>
      </c>
      <c r="D1352" s="25">
        <v>0.1673611111111111</v>
      </c>
      <c r="E1352" s="53">
        <v>-23.494774</v>
      </c>
      <c r="F1352" s="53">
        <v>-46.985321999999996</v>
      </c>
      <c r="G1352" s="53">
        <v>-23.283007000000001</v>
      </c>
      <c r="H1352" s="53">
        <v>-47.803460999999999</v>
      </c>
      <c r="I1352" s="53">
        <v>-22.90521</v>
      </c>
      <c r="J1352" s="53">
        <v>-48.452035000000002</v>
      </c>
      <c r="L1352" s="61" t="str">
        <f t="shared" si="21"/>
        <v>Cliente22-Cliente51</v>
      </c>
      <c r="M1352">
        <v>200.35915299999999</v>
      </c>
    </row>
    <row r="1353" spans="1:13" x14ac:dyDescent="0.25">
      <c r="A1353" s="15" t="s">
        <v>4293</v>
      </c>
      <c r="B1353" s="15" t="s">
        <v>4268</v>
      </c>
      <c r="C1353" s="54">
        <v>60.422905999999998</v>
      </c>
      <c r="D1353" s="26">
        <v>5.4166666666666669E-2</v>
      </c>
      <c r="E1353" s="55">
        <v>-23.569026999999998</v>
      </c>
      <c r="F1353" s="55">
        <v>-46.813884000000002</v>
      </c>
      <c r="G1353" s="55">
        <v>-23.501550999999999</v>
      </c>
      <c r="H1353" s="55">
        <v>-46.981884999999998</v>
      </c>
      <c r="I1353" s="55">
        <v>-23.422104000000001</v>
      </c>
      <c r="J1353" s="55">
        <v>-47.246191000000003</v>
      </c>
      <c r="L1353" s="61" t="str">
        <f t="shared" si="21"/>
        <v>Cliente23-depósito A</v>
      </c>
      <c r="M1353">
        <v>60.422905999999998</v>
      </c>
    </row>
    <row r="1354" spans="1:13" x14ac:dyDescent="0.25">
      <c r="A1354" s="15" t="s">
        <v>4293</v>
      </c>
      <c r="B1354" s="15" t="s">
        <v>4269</v>
      </c>
      <c r="C1354" s="52">
        <v>173.18030999999999</v>
      </c>
      <c r="D1354" s="25">
        <v>0.14375000000000002</v>
      </c>
      <c r="E1354" s="53">
        <v>-23.379971999999999</v>
      </c>
      <c r="F1354" s="53">
        <v>-46.770502999999998</v>
      </c>
      <c r="G1354" s="53">
        <v>-22.989820000000002</v>
      </c>
      <c r="H1354" s="53">
        <v>-47.111134</v>
      </c>
      <c r="I1354" s="53">
        <v>-22.472346000000002</v>
      </c>
      <c r="J1354" s="53">
        <v>-47.500408</v>
      </c>
      <c r="L1354" s="61" t="str">
        <f t="shared" si="21"/>
        <v>Cliente23-depósito B</v>
      </c>
      <c r="M1354">
        <v>173.18030999999999</v>
      </c>
    </row>
    <row r="1355" spans="1:13" x14ac:dyDescent="0.25">
      <c r="A1355" s="15" t="s">
        <v>4293</v>
      </c>
      <c r="B1355" s="15" t="s">
        <v>4270</v>
      </c>
      <c r="C1355" s="54">
        <v>58.300297</v>
      </c>
      <c r="D1355" s="26">
        <v>6.5972222222222224E-2</v>
      </c>
      <c r="E1355" s="55">
        <v>-23.553730000000002</v>
      </c>
      <c r="F1355" s="55">
        <v>-46.679439000000002</v>
      </c>
      <c r="G1355" s="55">
        <v>-23.523364999999998</v>
      </c>
      <c r="H1355" s="55">
        <v>-46.606293999999998</v>
      </c>
      <c r="I1355" s="55">
        <v>-23.363858</v>
      </c>
      <c r="J1355" s="55">
        <v>-46.223891000000002</v>
      </c>
      <c r="L1355" s="61" t="str">
        <f t="shared" si="21"/>
        <v>Cliente23-depósito C</v>
      </c>
      <c r="M1355">
        <v>58.300297</v>
      </c>
    </row>
    <row r="1356" spans="1:13" x14ac:dyDescent="0.25">
      <c r="A1356" s="15" t="s">
        <v>4293</v>
      </c>
      <c r="B1356" s="15" t="s">
        <v>4271</v>
      </c>
      <c r="C1356" s="52">
        <v>63.265687</v>
      </c>
      <c r="D1356" s="25">
        <v>5.8333333333333327E-2</v>
      </c>
      <c r="E1356" s="53">
        <v>-23.517254000000001</v>
      </c>
      <c r="F1356" s="53">
        <v>-46.815348999999998</v>
      </c>
      <c r="G1356" s="53">
        <v>-23.340357000000001</v>
      </c>
      <c r="H1356" s="53">
        <v>-46.819705999999996</v>
      </c>
      <c r="I1356" s="53">
        <v>-23.110254000000001</v>
      </c>
      <c r="J1356" s="53">
        <v>-47.004246000000002</v>
      </c>
      <c r="L1356" s="61" t="str">
        <f t="shared" si="21"/>
        <v>Cliente23-Cliente1</v>
      </c>
      <c r="M1356">
        <v>63.265687</v>
      </c>
    </row>
    <row r="1357" spans="1:13" x14ac:dyDescent="0.25">
      <c r="A1357" s="15" t="s">
        <v>4293</v>
      </c>
      <c r="B1357" s="15" t="s">
        <v>4272</v>
      </c>
      <c r="C1357" s="54">
        <v>67.033691000000005</v>
      </c>
      <c r="D1357" s="26">
        <v>6.3888888888888884E-2</v>
      </c>
      <c r="E1357" s="55">
        <v>-23.507086000000001</v>
      </c>
      <c r="F1357" s="55">
        <v>-46.821618999999998</v>
      </c>
      <c r="G1357" s="55">
        <v>-23.309108999999999</v>
      </c>
      <c r="H1357" s="55">
        <v>-46.833942</v>
      </c>
      <c r="I1357" s="55">
        <v>-23.037751</v>
      </c>
      <c r="J1357" s="55">
        <v>-47.068987999999997</v>
      </c>
      <c r="L1357" s="61" t="str">
        <f t="shared" si="21"/>
        <v>Cliente23-Cliente2</v>
      </c>
      <c r="M1357">
        <v>67.033691000000005</v>
      </c>
    </row>
    <row r="1358" spans="1:13" x14ac:dyDescent="0.25">
      <c r="A1358" s="15" t="s">
        <v>4293</v>
      </c>
      <c r="B1358" s="15" t="s">
        <v>4273</v>
      </c>
      <c r="C1358" s="52">
        <v>65.012986999999995</v>
      </c>
      <c r="D1358" s="25">
        <v>6.1111111111111116E-2</v>
      </c>
      <c r="E1358" s="53">
        <v>-23.514849999999999</v>
      </c>
      <c r="F1358" s="53">
        <v>-46.816324999999999</v>
      </c>
      <c r="G1358" s="53">
        <v>-23.330997</v>
      </c>
      <c r="H1358" s="53">
        <v>-46.823045999999998</v>
      </c>
      <c r="I1358" s="53">
        <v>-23.079034</v>
      </c>
      <c r="J1358" s="53">
        <v>-47.025618999999999</v>
      </c>
      <c r="L1358" s="61" t="str">
        <f t="shared" si="21"/>
        <v>Cliente23-Cliente3</v>
      </c>
      <c r="M1358">
        <v>65.012986999999995</v>
      </c>
    </row>
    <row r="1359" spans="1:13" x14ac:dyDescent="0.25">
      <c r="A1359" s="15" t="s">
        <v>4293</v>
      </c>
      <c r="B1359" s="15" t="s">
        <v>4274</v>
      </c>
      <c r="C1359" s="54">
        <v>75.169944999999998</v>
      </c>
      <c r="D1359" s="26">
        <v>6.805555555555555E-2</v>
      </c>
      <c r="E1359" s="55">
        <v>-23.499414999999999</v>
      </c>
      <c r="F1359" s="55">
        <v>-46.819510000000001</v>
      </c>
      <c r="G1359" s="55">
        <v>-23.290818999999999</v>
      </c>
      <c r="H1359" s="55">
        <v>-46.845869</v>
      </c>
      <c r="I1359" s="55">
        <v>-23.011240000000001</v>
      </c>
      <c r="J1359" s="55">
        <v>-47.084476000000002</v>
      </c>
      <c r="L1359" s="61" t="str">
        <f t="shared" si="21"/>
        <v>Cliente23-Cliente4</v>
      </c>
      <c r="M1359">
        <v>75.169944999999998</v>
      </c>
    </row>
    <row r="1360" spans="1:13" x14ac:dyDescent="0.25">
      <c r="A1360" s="15" t="s">
        <v>4293</v>
      </c>
      <c r="B1360" s="15" t="s">
        <v>4275</v>
      </c>
      <c r="C1360" s="52">
        <v>75.263150999999993</v>
      </c>
      <c r="D1360" s="25">
        <v>6.805555555555555E-2</v>
      </c>
      <c r="E1360" s="53">
        <v>-23.500478999999999</v>
      </c>
      <c r="F1360" s="53">
        <v>-46.820402000000001</v>
      </c>
      <c r="G1360" s="53">
        <v>-23.294104999999998</v>
      </c>
      <c r="H1360" s="53">
        <v>-46.842212000000004</v>
      </c>
      <c r="I1360" s="53">
        <v>-23.013033</v>
      </c>
      <c r="J1360" s="53">
        <v>-47.083888999999999</v>
      </c>
      <c r="L1360" s="61" t="str">
        <f t="shared" si="21"/>
        <v>Cliente23-Cliente5</v>
      </c>
      <c r="M1360">
        <v>75.263150999999993</v>
      </c>
    </row>
    <row r="1361" spans="1:13" x14ac:dyDescent="0.25">
      <c r="A1361" s="15" t="s">
        <v>4293</v>
      </c>
      <c r="B1361" s="15" t="s">
        <v>4276</v>
      </c>
      <c r="C1361" s="54">
        <v>57.638534999999997</v>
      </c>
      <c r="D1361" s="26">
        <v>5.6944444444444443E-2</v>
      </c>
      <c r="E1361" s="55">
        <v>-23.515611</v>
      </c>
      <c r="F1361" s="55">
        <v>-46.815797000000003</v>
      </c>
      <c r="G1361" s="55">
        <v>-23.338350999999999</v>
      </c>
      <c r="H1361" s="55">
        <v>-46.821219999999997</v>
      </c>
      <c r="I1361" s="55">
        <v>-23.114813999999999</v>
      </c>
      <c r="J1361" s="55">
        <v>-46.956834999999998</v>
      </c>
      <c r="L1361" s="61" t="str">
        <f t="shared" si="21"/>
        <v>Cliente23-Cliente6</v>
      </c>
      <c r="M1361">
        <v>57.638534999999997</v>
      </c>
    </row>
    <row r="1362" spans="1:13" x14ac:dyDescent="0.25">
      <c r="A1362" s="15" t="s">
        <v>4293</v>
      </c>
      <c r="B1362" s="15" t="s">
        <v>4277</v>
      </c>
      <c r="C1362" s="52">
        <v>62.356617999999997</v>
      </c>
      <c r="D1362" s="25">
        <v>5.7638888888888885E-2</v>
      </c>
      <c r="E1362" s="53">
        <v>-23.538547999999999</v>
      </c>
      <c r="F1362" s="53">
        <v>-46.817613999999999</v>
      </c>
      <c r="G1362" s="53">
        <v>-23.355286</v>
      </c>
      <c r="H1362" s="53">
        <v>-46.792445000000001</v>
      </c>
      <c r="I1362" s="53">
        <v>-23.140592999999999</v>
      </c>
      <c r="J1362" s="53">
        <v>-46.974525999999997</v>
      </c>
      <c r="L1362" s="61" t="str">
        <f t="shared" ref="L1362:L1425" si="22">_xlfn.CONCAT(A1362,"-",B1362)</f>
        <v>Cliente23-Cliente7</v>
      </c>
      <c r="M1362">
        <v>62.356617999999997</v>
      </c>
    </row>
    <row r="1363" spans="1:13" x14ac:dyDescent="0.25">
      <c r="A1363" s="15" t="s">
        <v>4293</v>
      </c>
      <c r="B1363" s="15" t="s">
        <v>4278</v>
      </c>
      <c r="C1363" s="54">
        <v>71.386407000000005</v>
      </c>
      <c r="D1363" s="26">
        <v>6.5277777777777782E-2</v>
      </c>
      <c r="E1363" s="55">
        <v>-23.495297999999998</v>
      </c>
      <c r="F1363" s="55">
        <v>-46.814467</v>
      </c>
      <c r="G1363" s="55">
        <v>-23.288824000000002</v>
      </c>
      <c r="H1363" s="55">
        <v>-46.847138000000001</v>
      </c>
      <c r="I1363" s="55">
        <v>-23.006415000000001</v>
      </c>
      <c r="J1363" s="55">
        <v>-47.083630999999997</v>
      </c>
      <c r="L1363" s="61" t="str">
        <f t="shared" si="22"/>
        <v>Cliente23-Cliente8</v>
      </c>
      <c r="M1363">
        <v>71.386407000000005</v>
      </c>
    </row>
    <row r="1364" spans="1:13" x14ac:dyDescent="0.25">
      <c r="A1364" s="15" t="s">
        <v>4293</v>
      </c>
      <c r="B1364" s="15" t="s">
        <v>4279</v>
      </c>
      <c r="C1364" s="52">
        <v>83.398785000000004</v>
      </c>
      <c r="D1364" s="25">
        <v>7.6388888888888895E-2</v>
      </c>
      <c r="E1364" s="53">
        <v>-23.495297999999998</v>
      </c>
      <c r="F1364" s="53">
        <v>-46.814467</v>
      </c>
      <c r="G1364" s="53">
        <v>-23.288824000000002</v>
      </c>
      <c r="H1364" s="53">
        <v>-46.847138000000001</v>
      </c>
      <c r="I1364" s="53">
        <v>-22.991033999999999</v>
      </c>
      <c r="J1364" s="53">
        <v>-47.110770000000002</v>
      </c>
      <c r="L1364" s="61" t="str">
        <f t="shared" si="22"/>
        <v>Cliente23-Cliente9</v>
      </c>
      <c r="M1364">
        <v>83.398785000000004</v>
      </c>
    </row>
    <row r="1365" spans="1:13" x14ac:dyDescent="0.25">
      <c r="A1365" s="15" t="s">
        <v>4293</v>
      </c>
      <c r="B1365" s="15" t="s">
        <v>4280</v>
      </c>
      <c r="C1365" s="54">
        <v>16.601837</v>
      </c>
      <c r="D1365" s="26">
        <v>3.125E-2</v>
      </c>
      <c r="E1365" s="55">
        <v>-23.573777</v>
      </c>
      <c r="F1365" s="55">
        <v>-46.710191000000002</v>
      </c>
      <c r="G1365" s="55">
        <v>-23.534153</v>
      </c>
      <c r="H1365" s="55">
        <v>-46.746634</v>
      </c>
      <c r="I1365" s="55">
        <v>-23.510494999999999</v>
      </c>
      <c r="J1365" s="55">
        <v>-46.689154000000002</v>
      </c>
      <c r="L1365" s="61" t="str">
        <f t="shared" si="22"/>
        <v>Cliente23-Cliente10</v>
      </c>
      <c r="M1365">
        <v>16.601837</v>
      </c>
    </row>
    <row r="1366" spans="1:13" x14ac:dyDescent="0.25">
      <c r="A1366" s="15" t="s">
        <v>4293</v>
      </c>
      <c r="B1366" s="15" t="s">
        <v>4281</v>
      </c>
      <c r="C1366" s="52">
        <v>100.62013</v>
      </c>
      <c r="D1366" s="25">
        <v>8.4722222222222213E-2</v>
      </c>
      <c r="E1366" s="53">
        <v>-23.469173000000001</v>
      </c>
      <c r="F1366" s="53">
        <v>-46.800089</v>
      </c>
      <c r="G1366" s="53">
        <v>-23.243005</v>
      </c>
      <c r="H1366" s="53">
        <v>-46.882348</v>
      </c>
      <c r="I1366" s="53">
        <v>-22.912613</v>
      </c>
      <c r="J1366" s="53">
        <v>-47.185364</v>
      </c>
      <c r="L1366" s="61" t="str">
        <f t="shared" si="22"/>
        <v>Cliente23-Cliente11</v>
      </c>
      <c r="M1366">
        <v>100.62013</v>
      </c>
    </row>
    <row r="1367" spans="1:13" x14ac:dyDescent="0.25">
      <c r="A1367" s="15" t="s">
        <v>4293</v>
      </c>
      <c r="B1367" s="15" t="s">
        <v>4282</v>
      </c>
      <c r="C1367" s="54">
        <v>57.341518999999998</v>
      </c>
      <c r="D1367" s="26">
        <v>6.5972222222222224E-2</v>
      </c>
      <c r="E1367" s="55">
        <v>-23.550878999999998</v>
      </c>
      <c r="F1367" s="55">
        <v>-46.677331000000002</v>
      </c>
      <c r="G1367" s="55">
        <v>-23.524187000000001</v>
      </c>
      <c r="H1367" s="55">
        <v>-46.60219</v>
      </c>
      <c r="I1367" s="55">
        <v>-23.357372999999999</v>
      </c>
      <c r="J1367" s="55">
        <v>-46.208469999999998</v>
      </c>
      <c r="L1367" s="61" t="str">
        <f t="shared" si="22"/>
        <v>Cliente23-Cliente12</v>
      </c>
      <c r="M1367">
        <v>57.341518999999998</v>
      </c>
    </row>
    <row r="1368" spans="1:13" x14ac:dyDescent="0.25">
      <c r="A1368" s="15" t="s">
        <v>4293</v>
      </c>
      <c r="B1368" s="15" t="s">
        <v>4283</v>
      </c>
      <c r="C1368" s="52">
        <v>65.225496000000007</v>
      </c>
      <c r="D1368" s="25">
        <v>7.1527777777777787E-2</v>
      </c>
      <c r="E1368" s="53">
        <v>-23.542487000000001</v>
      </c>
      <c r="F1368" s="53">
        <v>-46.676347999999997</v>
      </c>
      <c r="G1368" s="53">
        <v>-23.505759999999999</v>
      </c>
      <c r="H1368" s="53">
        <v>-46.569533</v>
      </c>
      <c r="I1368" s="53">
        <v>-23.345296999999999</v>
      </c>
      <c r="J1368" s="53">
        <v>-46.162643000000003</v>
      </c>
      <c r="L1368" s="61" t="str">
        <f t="shared" si="22"/>
        <v>Cliente23-Cliente13</v>
      </c>
      <c r="M1368">
        <v>65.225496000000007</v>
      </c>
    </row>
    <row r="1369" spans="1:13" x14ac:dyDescent="0.25">
      <c r="A1369" s="15" t="s">
        <v>4293</v>
      </c>
      <c r="B1369" s="15" t="s">
        <v>4284</v>
      </c>
      <c r="C1369" s="54">
        <v>63.288055999999997</v>
      </c>
      <c r="D1369" s="26">
        <v>6.8749999999999992E-2</v>
      </c>
      <c r="E1369" s="55">
        <v>-23.554887000000001</v>
      </c>
      <c r="F1369" s="55">
        <v>-46.680599999999998</v>
      </c>
      <c r="G1369" s="55">
        <v>-23.523809</v>
      </c>
      <c r="H1369" s="55">
        <v>-46.608463</v>
      </c>
      <c r="I1369" s="55">
        <v>-23.369050000000001</v>
      </c>
      <c r="J1369" s="55">
        <v>-46.235802999999997</v>
      </c>
      <c r="L1369" s="61" t="str">
        <f t="shared" si="22"/>
        <v>Cliente23-Cliente14</v>
      </c>
      <c r="M1369">
        <v>63.288055999999997</v>
      </c>
    </row>
    <row r="1370" spans="1:13" x14ac:dyDescent="0.25">
      <c r="A1370" s="15" t="s">
        <v>4293</v>
      </c>
      <c r="B1370" s="15" t="s">
        <v>4285</v>
      </c>
      <c r="C1370" s="52">
        <v>65.666670999999994</v>
      </c>
      <c r="D1370" s="25">
        <v>7.4999999999999997E-2</v>
      </c>
      <c r="E1370" s="53">
        <v>-23.542487000000001</v>
      </c>
      <c r="F1370" s="53">
        <v>-46.676347999999997</v>
      </c>
      <c r="G1370" s="53">
        <v>-23.505759999999999</v>
      </c>
      <c r="H1370" s="53">
        <v>-46.569533</v>
      </c>
      <c r="I1370" s="53">
        <v>-23.345296999999999</v>
      </c>
      <c r="J1370" s="53">
        <v>-46.162643000000003</v>
      </c>
      <c r="L1370" s="61" t="str">
        <f t="shared" si="22"/>
        <v>Cliente23-Cliente15</v>
      </c>
      <c r="M1370">
        <v>65.666670999999994</v>
      </c>
    </row>
    <row r="1371" spans="1:13" x14ac:dyDescent="0.25">
      <c r="A1371" s="15" t="s">
        <v>4293</v>
      </c>
      <c r="B1371" s="15" t="s">
        <v>4286</v>
      </c>
      <c r="C1371" s="54">
        <v>64.597288000000006</v>
      </c>
      <c r="D1371" s="26">
        <v>7.2916666666666671E-2</v>
      </c>
      <c r="E1371" s="55">
        <v>-23.541630999999999</v>
      </c>
      <c r="F1371" s="55">
        <v>-46.676141999999999</v>
      </c>
      <c r="G1371" s="55">
        <v>-23.503447999999999</v>
      </c>
      <c r="H1371" s="55">
        <v>-46.566851</v>
      </c>
      <c r="I1371" s="55">
        <v>-23.340577</v>
      </c>
      <c r="J1371" s="55">
        <v>-46.153419</v>
      </c>
      <c r="L1371" s="61" t="str">
        <f t="shared" si="22"/>
        <v>Cliente23-Cliente16</v>
      </c>
      <c r="M1371">
        <v>64.597288000000006</v>
      </c>
    </row>
    <row r="1372" spans="1:13" x14ac:dyDescent="0.25">
      <c r="A1372" s="15" t="s">
        <v>4293</v>
      </c>
      <c r="B1372" s="15" t="s">
        <v>4287</v>
      </c>
      <c r="C1372" s="52">
        <v>65.653001000000003</v>
      </c>
      <c r="D1372" s="25">
        <v>7.1527777777777787E-2</v>
      </c>
      <c r="E1372" s="53">
        <v>-23.542487000000001</v>
      </c>
      <c r="F1372" s="53">
        <v>-46.676347999999997</v>
      </c>
      <c r="G1372" s="53">
        <v>-23.505759999999999</v>
      </c>
      <c r="H1372" s="53">
        <v>-46.569533</v>
      </c>
      <c r="I1372" s="53">
        <v>-23.345296999999999</v>
      </c>
      <c r="J1372" s="53">
        <v>-46.162643000000003</v>
      </c>
      <c r="L1372" s="61" t="str">
        <f t="shared" si="22"/>
        <v>Cliente23-Cliente17</v>
      </c>
      <c r="M1372">
        <v>65.653001000000003</v>
      </c>
    </row>
    <row r="1373" spans="1:13" x14ac:dyDescent="0.25">
      <c r="A1373" s="15" t="s">
        <v>4293</v>
      </c>
      <c r="B1373" s="15" t="s">
        <v>4288</v>
      </c>
      <c r="C1373" s="54">
        <v>70.481066999999996</v>
      </c>
      <c r="D1373" s="26">
        <v>7.6388888888888895E-2</v>
      </c>
      <c r="E1373" s="55">
        <v>-23.550115000000002</v>
      </c>
      <c r="F1373" s="55">
        <v>-46.677078000000002</v>
      </c>
      <c r="G1373" s="55">
        <v>-23.529858999999998</v>
      </c>
      <c r="H1373" s="55">
        <v>-46.594628</v>
      </c>
      <c r="I1373" s="55">
        <v>-23.352412000000001</v>
      </c>
      <c r="J1373" s="55">
        <v>-46.200080999999997</v>
      </c>
      <c r="L1373" s="61" t="str">
        <f t="shared" si="22"/>
        <v>Cliente23-Cliente18</v>
      </c>
      <c r="M1373">
        <v>70.481066999999996</v>
      </c>
    </row>
    <row r="1374" spans="1:13" x14ac:dyDescent="0.25">
      <c r="A1374" s="15" t="s">
        <v>4293</v>
      </c>
      <c r="B1374" s="15" t="s">
        <v>4289</v>
      </c>
      <c r="C1374" s="52">
        <v>8.8526969999999992</v>
      </c>
      <c r="D1374" s="25">
        <v>2.2222222222222223E-2</v>
      </c>
      <c r="E1374" s="53">
        <v>-23.578984999999999</v>
      </c>
      <c r="F1374" s="53">
        <v>-46.728051000000001</v>
      </c>
      <c r="G1374" s="53">
        <v>-23.568194999999999</v>
      </c>
      <c r="H1374" s="53">
        <v>-46.696854000000002</v>
      </c>
      <c r="I1374" s="53">
        <v>-23.531606</v>
      </c>
      <c r="J1374" s="53">
        <v>-46.676729000000002</v>
      </c>
      <c r="L1374" s="61" t="str">
        <f t="shared" si="22"/>
        <v>Cliente23-Cliente19</v>
      </c>
      <c r="M1374">
        <v>8.8526969999999992</v>
      </c>
    </row>
    <row r="1375" spans="1:13" x14ac:dyDescent="0.25">
      <c r="A1375" s="15" t="s">
        <v>4293</v>
      </c>
      <c r="B1375" s="15" t="s">
        <v>4290</v>
      </c>
      <c r="C1375" s="54">
        <v>6.2317470000000004</v>
      </c>
      <c r="D1375" s="26">
        <v>1.3888888888888888E-2</v>
      </c>
      <c r="E1375" s="55">
        <v>-23.584980000000002</v>
      </c>
      <c r="F1375" s="55">
        <v>-46.739600000000003</v>
      </c>
      <c r="G1375" s="55">
        <v>-23.581251999999999</v>
      </c>
      <c r="H1375" s="55">
        <v>-46.771053999999999</v>
      </c>
      <c r="I1375" s="55">
        <v>-23.558539</v>
      </c>
      <c r="J1375" s="55">
        <v>-46.746692000000003</v>
      </c>
      <c r="L1375" s="61" t="str">
        <f t="shared" si="22"/>
        <v>Cliente23-Cliente20</v>
      </c>
      <c r="M1375">
        <v>6.2317470000000004</v>
      </c>
    </row>
    <row r="1376" spans="1:13" x14ac:dyDescent="0.25">
      <c r="A1376" s="15" t="s">
        <v>4293</v>
      </c>
      <c r="B1376" s="15" t="s">
        <v>4291</v>
      </c>
      <c r="C1376" s="52">
        <v>6.6499309999999996</v>
      </c>
      <c r="D1376" s="25">
        <v>1.3888888888888888E-2</v>
      </c>
      <c r="E1376" s="53">
        <v>-23.584273</v>
      </c>
      <c r="F1376" s="53">
        <v>-46.736407999999997</v>
      </c>
      <c r="G1376" s="53">
        <v>-23.573506999999999</v>
      </c>
      <c r="H1376" s="53">
        <v>-46.710847000000001</v>
      </c>
      <c r="I1376" s="53">
        <v>-23.559612999999999</v>
      </c>
      <c r="J1376" s="53">
        <v>-46.711967999999999</v>
      </c>
      <c r="L1376" s="61" t="str">
        <f t="shared" si="22"/>
        <v>Cliente23-Cliente21</v>
      </c>
      <c r="M1376">
        <v>6.6499309999999996</v>
      </c>
    </row>
    <row r="1377" spans="1:13" x14ac:dyDescent="0.25">
      <c r="A1377" s="15" t="s">
        <v>4293</v>
      </c>
      <c r="B1377" s="15" t="s">
        <v>4292</v>
      </c>
      <c r="C1377" s="54">
        <v>6.4088380000000003</v>
      </c>
      <c r="D1377" s="26">
        <v>1.4583333333333332E-2</v>
      </c>
      <c r="E1377" s="55">
        <v>-23.584273</v>
      </c>
      <c r="F1377" s="55">
        <v>-46.736407999999997</v>
      </c>
      <c r="G1377" s="55">
        <v>-23.573506999999999</v>
      </c>
      <c r="H1377" s="55">
        <v>-46.710847000000001</v>
      </c>
      <c r="I1377" s="55">
        <v>-23.562743000000001</v>
      </c>
      <c r="J1377" s="55">
        <v>-46.704098000000002</v>
      </c>
      <c r="L1377" s="61" t="str">
        <f t="shared" si="22"/>
        <v>Cliente23-Cliente22</v>
      </c>
      <c r="M1377">
        <v>6.4088380000000003</v>
      </c>
    </row>
    <row r="1378" spans="1:13" x14ac:dyDescent="0.25">
      <c r="A1378" s="15" t="s">
        <v>4293</v>
      </c>
      <c r="B1378" s="15" t="s">
        <v>4293</v>
      </c>
      <c r="C1378" s="52">
        <v>0</v>
      </c>
      <c r="D1378" s="25">
        <v>0</v>
      </c>
      <c r="E1378" s="53">
        <f>'1. Locais'!D27</f>
        <v>-23.590319999999998</v>
      </c>
      <c r="F1378" s="53">
        <f>'1. Locais'!E27</f>
        <v>-46.739510000000003</v>
      </c>
      <c r="G1378" s="53">
        <f>'1. Locais'!D27</f>
        <v>-23.590319999999998</v>
      </c>
      <c r="H1378" s="53">
        <f>'1. Locais'!E27</f>
        <v>-46.739510000000003</v>
      </c>
      <c r="I1378" s="53">
        <f>'1. Locais'!D27</f>
        <v>-23.590319999999998</v>
      </c>
      <c r="J1378" s="53">
        <f>'1. Locais'!E27</f>
        <v>-46.739510000000003</v>
      </c>
      <c r="L1378" s="61" t="str">
        <f t="shared" si="22"/>
        <v>Cliente23-Cliente23</v>
      </c>
      <c r="M1378">
        <v>0</v>
      </c>
    </row>
    <row r="1379" spans="1:13" x14ac:dyDescent="0.25">
      <c r="A1379" s="15" t="s">
        <v>4293</v>
      </c>
      <c r="B1379" s="15" t="s">
        <v>4294</v>
      </c>
      <c r="C1379" s="54">
        <v>1.63856</v>
      </c>
      <c r="D1379" s="26">
        <v>5.5555555555555558E-3</v>
      </c>
      <c r="E1379" s="55">
        <v>-23.591180000000001</v>
      </c>
      <c r="F1379" s="55">
        <v>-46.740582000000003</v>
      </c>
      <c r="G1379" s="55">
        <v>-23.593377</v>
      </c>
      <c r="H1379" s="55">
        <v>-46.741701999999997</v>
      </c>
      <c r="I1379" s="55">
        <v>-23.595714000000001</v>
      </c>
      <c r="J1379" s="55">
        <v>-46.741114000000003</v>
      </c>
      <c r="L1379" s="61" t="str">
        <f t="shared" si="22"/>
        <v>Cliente23-Cliente24</v>
      </c>
      <c r="M1379">
        <v>1.63856</v>
      </c>
    </row>
    <row r="1380" spans="1:13" x14ac:dyDescent="0.25">
      <c r="A1380" s="15" t="s">
        <v>4293</v>
      </c>
      <c r="B1380" s="15" t="s">
        <v>4295</v>
      </c>
      <c r="C1380" s="52">
        <v>3.0347840000000001</v>
      </c>
      <c r="D1380" s="25">
        <v>9.7222222222222224E-3</v>
      </c>
      <c r="E1380" s="53">
        <v>-23.592454</v>
      </c>
      <c r="F1380" s="53">
        <v>-46.740713</v>
      </c>
      <c r="G1380" s="53">
        <v>-23.606278</v>
      </c>
      <c r="H1380" s="53">
        <v>-46.750487999999997</v>
      </c>
      <c r="I1380" s="53">
        <v>-23.608953</v>
      </c>
      <c r="J1380" s="53">
        <v>-46.757277000000002</v>
      </c>
      <c r="L1380" s="61" t="str">
        <f t="shared" si="22"/>
        <v>Cliente23-Cliente25</v>
      </c>
      <c r="M1380">
        <v>3.0347840000000001</v>
      </c>
    </row>
    <row r="1381" spans="1:13" x14ac:dyDescent="0.25">
      <c r="A1381" s="15" t="s">
        <v>4293</v>
      </c>
      <c r="B1381" s="15" t="s">
        <v>4296</v>
      </c>
      <c r="C1381" s="54">
        <v>6.9892010000000004</v>
      </c>
      <c r="D1381" s="26">
        <v>1.1805555555555555E-2</v>
      </c>
      <c r="E1381" s="55">
        <v>-23.584980000000002</v>
      </c>
      <c r="F1381" s="55">
        <v>-46.739600000000003</v>
      </c>
      <c r="G1381" s="55">
        <v>-23.591104000000001</v>
      </c>
      <c r="H1381" s="55">
        <v>-46.798428000000001</v>
      </c>
      <c r="I1381" s="55">
        <v>-23.587513999999999</v>
      </c>
      <c r="J1381" s="55">
        <v>-46.816871999999996</v>
      </c>
      <c r="L1381" s="61" t="str">
        <f t="shared" si="22"/>
        <v>Cliente23-Cliente26</v>
      </c>
      <c r="M1381">
        <v>6.9892010000000004</v>
      </c>
    </row>
    <row r="1382" spans="1:13" x14ac:dyDescent="0.25">
      <c r="A1382" s="15" t="s">
        <v>4293</v>
      </c>
      <c r="B1382" s="15" t="s">
        <v>4297</v>
      </c>
      <c r="C1382" s="52">
        <v>2.4382670000000002</v>
      </c>
      <c r="D1382" s="25">
        <v>6.2499999999999995E-3</v>
      </c>
      <c r="E1382" s="53">
        <v>-23.591460000000001</v>
      </c>
      <c r="F1382" s="53">
        <v>-46.740316999999997</v>
      </c>
      <c r="G1382" s="53">
        <v>-23.595417000000001</v>
      </c>
      <c r="H1382" s="53">
        <v>-46.745649999999998</v>
      </c>
      <c r="I1382" s="53">
        <v>-23.604409</v>
      </c>
      <c r="J1382" s="53">
        <v>-46.749111999999997</v>
      </c>
      <c r="L1382" s="61" t="str">
        <f t="shared" si="22"/>
        <v>Cliente23-Cliente27</v>
      </c>
      <c r="M1382">
        <v>2.4382670000000002</v>
      </c>
    </row>
    <row r="1383" spans="1:13" x14ac:dyDescent="0.25">
      <c r="A1383" s="15" t="s">
        <v>4293</v>
      </c>
      <c r="B1383" s="15" t="s">
        <v>4298</v>
      </c>
      <c r="C1383" s="54">
        <v>12.209974000000001</v>
      </c>
      <c r="D1383" s="26">
        <v>2.4305555555555556E-2</v>
      </c>
      <c r="E1383" s="55">
        <v>-23.577041000000001</v>
      </c>
      <c r="F1383" s="55">
        <v>-46.722346000000002</v>
      </c>
      <c r="G1383" s="55">
        <v>-23.586010000000002</v>
      </c>
      <c r="H1383" s="55">
        <v>-46.692144999999996</v>
      </c>
      <c r="I1383" s="55">
        <v>-23.625782000000001</v>
      </c>
      <c r="J1383" s="55">
        <v>-46.691795999999997</v>
      </c>
      <c r="L1383" s="61" t="str">
        <f t="shared" si="22"/>
        <v>Cliente23-Cliente28</v>
      </c>
      <c r="M1383">
        <v>12.209974000000001</v>
      </c>
    </row>
    <row r="1384" spans="1:13" x14ac:dyDescent="0.25">
      <c r="A1384" s="15" t="s">
        <v>4293</v>
      </c>
      <c r="B1384" s="15" t="s">
        <v>4299</v>
      </c>
      <c r="C1384" s="52">
        <v>16.853493</v>
      </c>
      <c r="D1384" s="25">
        <v>3.0555555555555555E-2</v>
      </c>
      <c r="E1384" s="53">
        <v>-23.573443000000001</v>
      </c>
      <c r="F1384" s="53">
        <v>-46.711208999999997</v>
      </c>
      <c r="G1384" s="53">
        <v>-23.610938000000001</v>
      </c>
      <c r="H1384" s="53">
        <v>-46.674754999999998</v>
      </c>
      <c r="I1384" s="53">
        <v>-23.620277000000002</v>
      </c>
      <c r="J1384" s="53">
        <v>-46.608823999999998</v>
      </c>
      <c r="L1384" s="61" t="str">
        <f t="shared" si="22"/>
        <v>Cliente23-Cliente29</v>
      </c>
      <c r="M1384">
        <v>16.853493</v>
      </c>
    </row>
    <row r="1385" spans="1:13" x14ac:dyDescent="0.25">
      <c r="A1385" s="15" t="s">
        <v>4293</v>
      </c>
      <c r="B1385" s="15" t="s">
        <v>4300</v>
      </c>
      <c r="C1385" s="54">
        <v>25.133906</v>
      </c>
      <c r="D1385" s="26">
        <v>4.4444444444444446E-2</v>
      </c>
      <c r="E1385" s="55">
        <v>-23.574069999999999</v>
      </c>
      <c r="F1385" s="55">
        <v>-46.699976999999997</v>
      </c>
      <c r="G1385" s="55">
        <v>-23.606494999999999</v>
      </c>
      <c r="H1385" s="55">
        <v>-46.605322999999999</v>
      </c>
      <c r="I1385" s="55">
        <v>-23.657385999999999</v>
      </c>
      <c r="J1385" s="55">
        <v>-46.550204999999998</v>
      </c>
      <c r="L1385" s="61" t="str">
        <f t="shared" si="22"/>
        <v>Cliente23-Cliente30</v>
      </c>
      <c r="M1385">
        <v>25.133906</v>
      </c>
    </row>
    <row r="1386" spans="1:13" x14ac:dyDescent="0.25">
      <c r="A1386" s="15" t="s">
        <v>4293</v>
      </c>
      <c r="B1386" s="15" t="s">
        <v>4301</v>
      </c>
      <c r="C1386" s="52">
        <v>6.5685310000000001</v>
      </c>
      <c r="D1386" s="25">
        <v>1.8055555555555557E-2</v>
      </c>
      <c r="E1386" s="53">
        <v>-23.585142000000001</v>
      </c>
      <c r="F1386" s="53">
        <v>-46.746389999999998</v>
      </c>
      <c r="G1386" s="53">
        <v>-23.578613000000001</v>
      </c>
      <c r="H1386" s="53">
        <v>-46.778435999999999</v>
      </c>
      <c r="I1386" s="53">
        <v>-23.557765</v>
      </c>
      <c r="J1386" s="53">
        <v>-46.781939999999999</v>
      </c>
      <c r="L1386" s="61" t="str">
        <f t="shared" si="22"/>
        <v>Cliente23-Cliente31</v>
      </c>
      <c r="M1386">
        <v>6.5685310000000001</v>
      </c>
    </row>
    <row r="1387" spans="1:13" x14ac:dyDescent="0.25">
      <c r="A1387" s="15" t="s">
        <v>4293</v>
      </c>
      <c r="B1387" s="15" t="s">
        <v>4302</v>
      </c>
      <c r="C1387" s="54">
        <v>12.29386</v>
      </c>
      <c r="D1387" s="26">
        <v>2.361111111111111E-2</v>
      </c>
      <c r="E1387" s="55">
        <v>-23.573443000000001</v>
      </c>
      <c r="F1387" s="55">
        <v>-46.711208999999997</v>
      </c>
      <c r="G1387" s="55">
        <v>-23.548456999999999</v>
      </c>
      <c r="H1387" s="55">
        <v>-46.729503000000001</v>
      </c>
      <c r="I1387" s="55">
        <v>-23.509888</v>
      </c>
      <c r="J1387" s="55">
        <v>-46.729267</v>
      </c>
      <c r="L1387" s="61" t="str">
        <f t="shared" si="22"/>
        <v>Cliente23-Cliente32</v>
      </c>
      <c r="M1387">
        <v>12.29386</v>
      </c>
    </row>
    <row r="1388" spans="1:13" x14ac:dyDescent="0.25">
      <c r="A1388" s="15" t="s">
        <v>4293</v>
      </c>
      <c r="B1388" s="15" t="s">
        <v>4303</v>
      </c>
      <c r="C1388" s="52">
        <v>15.714517000000001</v>
      </c>
      <c r="D1388" s="25">
        <v>3.6805555555555557E-2</v>
      </c>
      <c r="E1388" s="53">
        <v>-23.574113000000001</v>
      </c>
      <c r="F1388" s="53">
        <v>-46.709476000000002</v>
      </c>
      <c r="G1388" s="53">
        <v>-23.549254999999999</v>
      </c>
      <c r="H1388" s="53">
        <v>-46.640996000000001</v>
      </c>
      <c r="I1388" s="53">
        <v>-23.501169000000001</v>
      </c>
      <c r="J1388" s="53">
        <v>-46.614409999999999</v>
      </c>
      <c r="L1388" s="61" t="str">
        <f t="shared" si="22"/>
        <v>Cliente23-Cliente33</v>
      </c>
      <c r="M1388">
        <v>15.714517000000001</v>
      </c>
    </row>
    <row r="1389" spans="1:13" x14ac:dyDescent="0.25">
      <c r="A1389" s="15" t="s">
        <v>4293</v>
      </c>
      <c r="B1389" s="15" t="s">
        <v>4304</v>
      </c>
      <c r="C1389" s="54">
        <v>18.137249000000001</v>
      </c>
      <c r="D1389" s="26">
        <v>2.6388888888888889E-2</v>
      </c>
      <c r="E1389" s="55">
        <v>-23.592904000000001</v>
      </c>
      <c r="F1389" s="55">
        <v>-46.803100000000001</v>
      </c>
      <c r="G1389" s="55">
        <v>-23.512913000000001</v>
      </c>
      <c r="H1389" s="55">
        <v>-46.809966000000003</v>
      </c>
      <c r="I1389" s="55">
        <v>-23.487698000000002</v>
      </c>
      <c r="J1389" s="55">
        <v>-46.834220000000002</v>
      </c>
      <c r="L1389" s="61" t="str">
        <f t="shared" si="22"/>
        <v>Cliente23-Cliente34</v>
      </c>
      <c r="M1389">
        <v>18.137249000000001</v>
      </c>
    </row>
    <row r="1390" spans="1:13" x14ac:dyDescent="0.25">
      <c r="A1390" s="15" t="s">
        <v>4293</v>
      </c>
      <c r="B1390" s="15" t="s">
        <v>4305</v>
      </c>
      <c r="C1390" s="52">
        <v>18.733145</v>
      </c>
      <c r="D1390" s="25">
        <v>2.5694444444444447E-2</v>
      </c>
      <c r="E1390" s="53">
        <v>-23.584889</v>
      </c>
      <c r="F1390" s="53">
        <v>-46.787658</v>
      </c>
      <c r="G1390" s="53">
        <v>-23.52223</v>
      </c>
      <c r="H1390" s="53">
        <v>-46.816177000000003</v>
      </c>
      <c r="I1390" s="53">
        <v>-23.491039000000001</v>
      </c>
      <c r="J1390" s="53">
        <v>-46.853521999999998</v>
      </c>
      <c r="L1390" s="61" t="str">
        <f t="shared" si="22"/>
        <v>Cliente23-Cliente35</v>
      </c>
      <c r="M1390">
        <v>18.733145</v>
      </c>
    </row>
    <row r="1391" spans="1:13" x14ac:dyDescent="0.25">
      <c r="A1391" s="15" t="s">
        <v>4293</v>
      </c>
      <c r="B1391" s="15" t="s">
        <v>4306</v>
      </c>
      <c r="C1391" s="54">
        <v>150.116197</v>
      </c>
      <c r="D1391" s="26">
        <v>0.12847222222222224</v>
      </c>
      <c r="E1391" s="55">
        <v>-23.381526999999998</v>
      </c>
      <c r="F1391" s="55">
        <v>-46.769672999999997</v>
      </c>
      <c r="G1391" s="55">
        <v>-22.996547</v>
      </c>
      <c r="H1391" s="55">
        <v>-47.104295</v>
      </c>
      <c r="I1391" s="55">
        <v>-22.501826000000001</v>
      </c>
      <c r="J1391" s="55">
        <v>-47.397340999999997</v>
      </c>
      <c r="L1391" s="61" t="str">
        <f t="shared" si="22"/>
        <v>Cliente23-Cliente36</v>
      </c>
      <c r="M1391">
        <v>150.116197</v>
      </c>
    </row>
    <row r="1392" spans="1:13" x14ac:dyDescent="0.25">
      <c r="A1392" s="15" t="s">
        <v>4293</v>
      </c>
      <c r="B1392" s="15" t="s">
        <v>4307</v>
      </c>
      <c r="C1392" s="52">
        <v>149.019474</v>
      </c>
      <c r="D1392" s="25">
        <v>0.12708333333333333</v>
      </c>
      <c r="E1392" s="53">
        <v>-23.379971999999999</v>
      </c>
      <c r="F1392" s="53">
        <v>-46.770502999999998</v>
      </c>
      <c r="G1392" s="53">
        <v>-22.989820000000002</v>
      </c>
      <c r="H1392" s="53">
        <v>-47.111134</v>
      </c>
      <c r="I1392" s="53">
        <v>-22.472346000000002</v>
      </c>
      <c r="J1392" s="53">
        <v>-47.500408</v>
      </c>
      <c r="L1392" s="61" t="str">
        <f t="shared" si="22"/>
        <v>Cliente23-Cliente37</v>
      </c>
      <c r="M1392">
        <v>149.019474</v>
      </c>
    </row>
    <row r="1393" spans="1:13" x14ac:dyDescent="0.25">
      <c r="A1393" s="15" t="s">
        <v>4293</v>
      </c>
      <c r="B1393" s="15" t="s">
        <v>4308</v>
      </c>
      <c r="C1393" s="54">
        <v>147.24296899999999</v>
      </c>
      <c r="D1393" s="26">
        <v>0.125</v>
      </c>
      <c r="E1393" s="55">
        <v>-23.390514</v>
      </c>
      <c r="F1393" s="55">
        <v>-46.768864000000001</v>
      </c>
      <c r="G1393" s="55">
        <v>-23.013676</v>
      </c>
      <c r="H1393" s="55">
        <v>-47.085577000000001</v>
      </c>
      <c r="I1393" s="55">
        <v>-22.503412999999998</v>
      </c>
      <c r="J1393" s="55">
        <v>-47.399394999999998</v>
      </c>
      <c r="L1393" s="61" t="str">
        <f t="shared" si="22"/>
        <v>Cliente23-Cliente38</v>
      </c>
      <c r="M1393">
        <v>147.24296899999999</v>
      </c>
    </row>
    <row r="1394" spans="1:13" x14ac:dyDescent="0.25">
      <c r="A1394" s="15" t="s">
        <v>4293</v>
      </c>
      <c r="B1394" s="15" t="s">
        <v>4309</v>
      </c>
      <c r="C1394" s="52">
        <v>91.487194000000002</v>
      </c>
      <c r="D1394" s="25">
        <v>9.5833333333333326E-2</v>
      </c>
      <c r="E1394" s="53">
        <v>-23.532239000000001</v>
      </c>
      <c r="F1394" s="53">
        <v>-46.675649999999997</v>
      </c>
      <c r="G1394" s="53">
        <v>-23.422720999999999</v>
      </c>
      <c r="H1394" s="53">
        <v>-46.395299000000001</v>
      </c>
      <c r="I1394" s="53">
        <v>-23.308755000000001</v>
      </c>
      <c r="J1394" s="53">
        <v>-46.057721999999998</v>
      </c>
      <c r="L1394" s="61" t="str">
        <f t="shared" si="22"/>
        <v>Cliente23-Cliente39</v>
      </c>
      <c r="M1394">
        <v>91.487194000000002</v>
      </c>
    </row>
    <row r="1395" spans="1:13" x14ac:dyDescent="0.25">
      <c r="A1395" s="15" t="s">
        <v>4293</v>
      </c>
      <c r="B1395" s="15" t="s">
        <v>4310</v>
      </c>
      <c r="C1395" s="54">
        <v>96.342600000000004</v>
      </c>
      <c r="D1395" s="26">
        <v>0.10416666666666667</v>
      </c>
      <c r="E1395" s="55">
        <v>-23.527716000000002</v>
      </c>
      <c r="F1395" s="55">
        <v>-46.674148000000002</v>
      </c>
      <c r="G1395" s="55">
        <v>-23.398219000000001</v>
      </c>
      <c r="H1395" s="55">
        <v>-46.297646999999998</v>
      </c>
      <c r="I1395" s="55">
        <v>-23.162039</v>
      </c>
      <c r="J1395" s="55">
        <v>-45.804966</v>
      </c>
      <c r="L1395" s="61" t="str">
        <f t="shared" si="22"/>
        <v>Cliente23-Cliente40</v>
      </c>
      <c r="M1395">
        <v>96.342600000000004</v>
      </c>
    </row>
    <row r="1396" spans="1:13" x14ac:dyDescent="0.25">
      <c r="A1396" s="15" t="s">
        <v>4293</v>
      </c>
      <c r="B1396" s="15" t="s">
        <v>4311</v>
      </c>
      <c r="C1396" s="52">
        <v>82.525756000000001</v>
      </c>
      <c r="D1396" s="25">
        <v>9.0277777777777776E-2</v>
      </c>
      <c r="E1396" s="53">
        <v>-23.530366000000001</v>
      </c>
      <c r="F1396" s="53">
        <v>-46.677281999999998</v>
      </c>
      <c r="G1396" s="53">
        <v>-23.409972</v>
      </c>
      <c r="H1396" s="53">
        <v>-46.344794</v>
      </c>
      <c r="I1396" s="53">
        <v>-23.301521999999999</v>
      </c>
      <c r="J1396" s="53">
        <v>-46.022441000000001</v>
      </c>
      <c r="L1396" s="61" t="str">
        <f t="shared" si="22"/>
        <v>Cliente23-Cliente41</v>
      </c>
      <c r="M1396">
        <v>82.525756000000001</v>
      </c>
    </row>
    <row r="1397" spans="1:13" x14ac:dyDescent="0.25">
      <c r="A1397" s="15" t="s">
        <v>4293</v>
      </c>
      <c r="B1397" s="15" t="s">
        <v>4312</v>
      </c>
      <c r="C1397" s="54">
        <v>79.054767999999996</v>
      </c>
      <c r="D1397" s="26">
        <v>8.2638888888888887E-2</v>
      </c>
      <c r="E1397" s="55">
        <v>-23.549109000000001</v>
      </c>
      <c r="F1397" s="55">
        <v>-46.676938999999997</v>
      </c>
      <c r="G1397" s="55">
        <v>-23.530163000000002</v>
      </c>
      <c r="H1397" s="55">
        <v>-46.593187999999998</v>
      </c>
      <c r="I1397" s="55">
        <v>-23.351735999999999</v>
      </c>
      <c r="J1397" s="55">
        <v>-46.189802999999998</v>
      </c>
      <c r="L1397" s="61" t="str">
        <f t="shared" si="22"/>
        <v>Cliente23-Cliente42</v>
      </c>
      <c r="M1397">
        <v>79.054767999999996</v>
      </c>
    </row>
    <row r="1398" spans="1:13" x14ac:dyDescent="0.25">
      <c r="A1398" s="15" t="s">
        <v>4293</v>
      </c>
      <c r="B1398" s="15" t="s">
        <v>4313</v>
      </c>
      <c r="C1398" s="52">
        <v>101.803845</v>
      </c>
      <c r="D1398" s="25">
        <v>0.10416666666666667</v>
      </c>
      <c r="E1398" s="53">
        <v>-23.524903999999999</v>
      </c>
      <c r="F1398" s="53">
        <v>-46.670867000000001</v>
      </c>
      <c r="G1398" s="53">
        <v>-23.407972999999998</v>
      </c>
      <c r="H1398" s="53">
        <v>-46.338434999999997</v>
      </c>
      <c r="I1398" s="53">
        <v>-23.247330000000002</v>
      </c>
      <c r="J1398" s="53">
        <v>-45.930877000000002</v>
      </c>
      <c r="L1398" s="61" t="str">
        <f t="shared" si="22"/>
        <v>Cliente23-Cliente43</v>
      </c>
      <c r="M1398">
        <v>101.803845</v>
      </c>
    </row>
    <row r="1399" spans="1:13" x14ac:dyDescent="0.25">
      <c r="A1399" s="15" t="s">
        <v>4293</v>
      </c>
      <c r="B1399" s="15" t="s">
        <v>4314</v>
      </c>
      <c r="C1399" s="54">
        <v>62.102477</v>
      </c>
      <c r="D1399" s="26">
        <v>6.3194444444444442E-2</v>
      </c>
      <c r="E1399" s="55">
        <v>-23.564408</v>
      </c>
      <c r="F1399" s="55">
        <v>-46.819912000000002</v>
      </c>
      <c r="G1399" s="55">
        <v>-23.468105999999999</v>
      </c>
      <c r="H1399" s="55">
        <v>-47.021596000000002</v>
      </c>
      <c r="I1399" s="55">
        <v>-23.401776000000002</v>
      </c>
      <c r="J1399" s="55">
        <v>-47.328935999999999</v>
      </c>
      <c r="L1399" s="61" t="str">
        <f t="shared" si="22"/>
        <v>Cliente23-Cliente44</v>
      </c>
      <c r="M1399">
        <v>62.102477</v>
      </c>
    </row>
    <row r="1400" spans="1:13" x14ac:dyDescent="0.25">
      <c r="A1400" s="15" t="s">
        <v>4293</v>
      </c>
      <c r="B1400" s="15" t="s">
        <v>4315</v>
      </c>
      <c r="C1400" s="52">
        <v>62.880434999999999</v>
      </c>
      <c r="D1400" s="25">
        <v>6.5972222222222224E-2</v>
      </c>
      <c r="E1400" s="53">
        <v>-23.538547999999999</v>
      </c>
      <c r="F1400" s="53">
        <v>-46.817613999999999</v>
      </c>
      <c r="G1400" s="53">
        <v>-23.436636</v>
      </c>
      <c r="H1400" s="53">
        <v>-47.096817000000001</v>
      </c>
      <c r="I1400" s="53">
        <v>-23.476517000000001</v>
      </c>
      <c r="J1400" s="53">
        <v>-47.442619000000001</v>
      </c>
      <c r="L1400" s="61" t="str">
        <f t="shared" si="22"/>
        <v>Cliente23-Cliente45</v>
      </c>
      <c r="M1400">
        <v>62.880434999999999</v>
      </c>
    </row>
    <row r="1401" spans="1:13" x14ac:dyDescent="0.25">
      <c r="A1401" s="15" t="s">
        <v>4293</v>
      </c>
      <c r="B1401" s="15" t="s">
        <v>4316</v>
      </c>
      <c r="C1401" s="54">
        <v>60.183678</v>
      </c>
      <c r="D1401" s="26">
        <v>6.0416666666666667E-2</v>
      </c>
      <c r="E1401" s="55">
        <v>-23.565560000000001</v>
      </c>
      <c r="F1401" s="55">
        <v>-46.819361999999998</v>
      </c>
      <c r="G1401" s="55">
        <v>-23.472822000000001</v>
      </c>
      <c r="H1401" s="55">
        <v>-47.006312000000001</v>
      </c>
      <c r="I1401" s="55">
        <v>-23.41029</v>
      </c>
      <c r="J1401" s="55">
        <v>-47.277223999999997</v>
      </c>
      <c r="L1401" s="61" t="str">
        <f t="shared" si="22"/>
        <v>Cliente23-Cliente46</v>
      </c>
      <c r="M1401">
        <v>60.183678</v>
      </c>
    </row>
    <row r="1402" spans="1:13" x14ac:dyDescent="0.25">
      <c r="A1402" s="15" t="s">
        <v>4293</v>
      </c>
      <c r="B1402" s="15" t="s">
        <v>4317</v>
      </c>
      <c r="C1402" s="52">
        <v>196.572508</v>
      </c>
      <c r="D1402" s="25">
        <v>0.16250000000000001</v>
      </c>
      <c r="E1402" s="53">
        <v>-23.360415</v>
      </c>
      <c r="F1402" s="53">
        <v>-46.784390999999999</v>
      </c>
      <c r="G1402" s="53">
        <v>-22.939596999999999</v>
      </c>
      <c r="H1402" s="53">
        <v>-47.126145999999999</v>
      </c>
      <c r="I1402" s="53">
        <v>-22.335405000000002</v>
      </c>
      <c r="J1402" s="53">
        <v>-47.389561</v>
      </c>
      <c r="L1402" s="61" t="str">
        <f t="shared" si="22"/>
        <v>Cliente23-Cliente47</v>
      </c>
      <c r="M1402">
        <v>196.572508</v>
      </c>
    </row>
    <row r="1403" spans="1:13" x14ac:dyDescent="0.25">
      <c r="A1403" s="15" t="s">
        <v>4293</v>
      </c>
      <c r="B1403" s="15" t="s">
        <v>4318</v>
      </c>
      <c r="C1403" s="54">
        <v>205.683696</v>
      </c>
      <c r="D1403" s="26">
        <v>0.17083333333333331</v>
      </c>
      <c r="E1403" s="55">
        <v>-23.348537</v>
      </c>
      <c r="F1403" s="55">
        <v>-46.811100000000003</v>
      </c>
      <c r="G1403" s="55">
        <v>-22.865646000000002</v>
      </c>
      <c r="H1403" s="55">
        <v>-47.133854999999997</v>
      </c>
      <c r="I1403" s="55">
        <v>-21.964701000000002</v>
      </c>
      <c r="J1403" s="55">
        <v>-47.457093999999998</v>
      </c>
      <c r="L1403" s="61" t="str">
        <f t="shared" si="22"/>
        <v>Cliente23-Cliente48</v>
      </c>
      <c r="M1403">
        <v>205.683696</v>
      </c>
    </row>
    <row r="1404" spans="1:13" x14ac:dyDescent="0.25">
      <c r="A1404" s="15" t="s">
        <v>4293</v>
      </c>
      <c r="B1404" s="15" t="s">
        <v>4319</v>
      </c>
      <c r="C1404" s="52">
        <v>199.321461</v>
      </c>
      <c r="D1404" s="25">
        <v>0.16666666666666666</v>
      </c>
      <c r="E1404" s="53">
        <v>-23.352052</v>
      </c>
      <c r="F1404" s="53">
        <v>-46.796871000000003</v>
      </c>
      <c r="G1404" s="53">
        <v>-22.896754000000001</v>
      </c>
      <c r="H1404" s="53">
        <v>-47.135921000000003</v>
      </c>
      <c r="I1404" s="53">
        <v>-22.221243000000001</v>
      </c>
      <c r="J1404" s="53">
        <v>-47.391905000000001</v>
      </c>
      <c r="L1404" s="61" t="str">
        <f t="shared" si="22"/>
        <v>Cliente23-Cliente49</v>
      </c>
      <c r="M1404">
        <v>199.321461</v>
      </c>
    </row>
    <row r="1405" spans="1:13" x14ac:dyDescent="0.25">
      <c r="A1405" s="15" t="s">
        <v>4293</v>
      </c>
      <c r="B1405" s="15" t="s">
        <v>4320</v>
      </c>
      <c r="C1405" s="54">
        <v>205.56190699999999</v>
      </c>
      <c r="D1405" s="26">
        <v>0.17013888888888887</v>
      </c>
      <c r="E1405" s="55">
        <v>-23.501550999999999</v>
      </c>
      <c r="F1405" s="55">
        <v>-46.981884999999998</v>
      </c>
      <c r="G1405" s="55">
        <v>-23.275058000000001</v>
      </c>
      <c r="H1405" s="55">
        <v>-47.826397</v>
      </c>
      <c r="I1405" s="55">
        <v>-22.885387999999999</v>
      </c>
      <c r="J1405" s="55">
        <v>-48.460602000000002</v>
      </c>
      <c r="L1405" s="61" t="str">
        <f t="shared" si="22"/>
        <v>Cliente23-Cliente50</v>
      </c>
      <c r="M1405">
        <v>205.56190699999999</v>
      </c>
    </row>
    <row r="1406" spans="1:13" x14ac:dyDescent="0.25">
      <c r="A1406" s="15" t="s">
        <v>4293</v>
      </c>
      <c r="B1406" s="15" t="s">
        <v>4321</v>
      </c>
      <c r="C1406" s="52">
        <v>202.09402600000001</v>
      </c>
      <c r="D1406" s="25">
        <v>0.1673611111111111</v>
      </c>
      <c r="E1406" s="53">
        <v>-23.516086000000001</v>
      </c>
      <c r="F1406" s="53">
        <v>-46.961962</v>
      </c>
      <c r="G1406" s="53">
        <v>-23.295501999999999</v>
      </c>
      <c r="H1406" s="53">
        <v>-47.710048999999998</v>
      </c>
      <c r="I1406" s="53">
        <v>-22.905252999999998</v>
      </c>
      <c r="J1406" s="53">
        <v>-48.453415</v>
      </c>
      <c r="L1406" s="61" t="str">
        <f t="shared" si="22"/>
        <v>Cliente23-Cliente51</v>
      </c>
      <c r="M1406">
        <v>202.09402600000001</v>
      </c>
    </row>
    <row r="1407" spans="1:13" x14ac:dyDescent="0.25">
      <c r="A1407" s="15" t="s">
        <v>4294</v>
      </c>
      <c r="B1407" s="15" t="s">
        <v>4268</v>
      </c>
      <c r="C1407" s="54">
        <v>61.083426000000003</v>
      </c>
      <c r="D1407" s="26">
        <v>5.7638888888888885E-2</v>
      </c>
      <c r="E1407" s="55">
        <v>-23.588709000000001</v>
      </c>
      <c r="F1407" s="55">
        <v>-46.809212000000002</v>
      </c>
      <c r="G1407" s="55">
        <v>-23.516086000000001</v>
      </c>
      <c r="H1407" s="55">
        <v>-46.961962</v>
      </c>
      <c r="I1407" s="55">
        <v>-23.423231000000001</v>
      </c>
      <c r="J1407" s="55">
        <v>-47.239970999999997</v>
      </c>
      <c r="L1407" s="61" t="str">
        <f t="shared" si="22"/>
        <v>Cliente24-depósito A</v>
      </c>
      <c r="M1407">
        <v>61.083426000000003</v>
      </c>
    </row>
    <row r="1408" spans="1:13" x14ac:dyDescent="0.25">
      <c r="A1408" s="15" t="s">
        <v>4294</v>
      </c>
      <c r="B1408" s="15" t="s">
        <v>4269</v>
      </c>
      <c r="C1408" s="52">
        <v>173.20578599999999</v>
      </c>
      <c r="D1408" s="25">
        <v>0.14861111111111111</v>
      </c>
      <c r="E1408" s="53">
        <v>-23.421851</v>
      </c>
      <c r="F1408" s="53">
        <v>-46.761364999999998</v>
      </c>
      <c r="G1408" s="53">
        <v>-23.007109</v>
      </c>
      <c r="H1408" s="53">
        <v>-47.094681000000001</v>
      </c>
      <c r="I1408" s="53">
        <v>-22.502466999999999</v>
      </c>
      <c r="J1408" s="53">
        <v>-47.398080999999998</v>
      </c>
      <c r="L1408" s="61" t="str">
        <f t="shared" si="22"/>
        <v>Cliente24-depósito B</v>
      </c>
      <c r="M1408">
        <v>173.20578599999999</v>
      </c>
    </row>
    <row r="1409" spans="1:13" x14ac:dyDescent="0.25">
      <c r="A1409" s="15" t="s">
        <v>4294</v>
      </c>
      <c r="B1409" s="15" t="s">
        <v>4270</v>
      </c>
      <c r="C1409" s="54">
        <v>57.906346999999997</v>
      </c>
      <c r="D1409" s="26">
        <v>6.5277777777777782E-2</v>
      </c>
      <c r="E1409" s="55">
        <v>-23.52974</v>
      </c>
      <c r="F1409" s="55">
        <v>-46.677010000000003</v>
      </c>
      <c r="G1409" s="55">
        <v>-23.521191000000002</v>
      </c>
      <c r="H1409" s="55">
        <v>-46.584283999999997</v>
      </c>
      <c r="I1409" s="55">
        <v>-23.356808999999998</v>
      </c>
      <c r="J1409" s="55">
        <v>-46.206643</v>
      </c>
      <c r="L1409" s="61" t="str">
        <f t="shared" si="22"/>
        <v>Cliente24-depósito C</v>
      </c>
      <c r="M1409">
        <v>57.906346999999997</v>
      </c>
    </row>
    <row r="1410" spans="1:13" x14ac:dyDescent="0.25">
      <c r="A1410" s="15" t="s">
        <v>4294</v>
      </c>
      <c r="B1410" s="15" t="s">
        <v>4271</v>
      </c>
      <c r="C1410" s="52">
        <v>60.807535999999999</v>
      </c>
      <c r="D1410" s="25">
        <v>5.9027777777777783E-2</v>
      </c>
      <c r="E1410" s="53">
        <v>-23.518014999999998</v>
      </c>
      <c r="F1410" s="53">
        <v>-46.731515999999999</v>
      </c>
      <c r="G1410" s="53">
        <v>-23.333337</v>
      </c>
      <c r="H1410" s="53">
        <v>-46.822927999999997</v>
      </c>
      <c r="I1410" s="53">
        <v>-23.096508</v>
      </c>
      <c r="J1410" s="53">
        <v>-47.015532</v>
      </c>
      <c r="L1410" s="61" t="str">
        <f t="shared" si="22"/>
        <v>Cliente24-Cliente1</v>
      </c>
      <c r="M1410">
        <v>60.807535999999999</v>
      </c>
    </row>
    <row r="1411" spans="1:13" x14ac:dyDescent="0.25">
      <c r="A1411" s="15" t="s">
        <v>4294</v>
      </c>
      <c r="B1411" s="15" t="s">
        <v>4272</v>
      </c>
      <c r="C1411" s="54">
        <v>64.595423999999994</v>
      </c>
      <c r="D1411" s="26">
        <v>6.458333333333334E-2</v>
      </c>
      <c r="E1411" s="55">
        <v>-23.511949999999999</v>
      </c>
      <c r="F1411" s="55">
        <v>-46.721589999999999</v>
      </c>
      <c r="G1411" s="55">
        <v>-23.296227999999999</v>
      </c>
      <c r="H1411" s="55">
        <v>-46.841242000000001</v>
      </c>
      <c r="I1411" s="55">
        <v>-23.022901999999998</v>
      </c>
      <c r="J1411" s="55">
        <v>-47.076611</v>
      </c>
      <c r="L1411" s="61" t="str">
        <f t="shared" si="22"/>
        <v>Cliente24-Cliente2</v>
      </c>
      <c r="M1411">
        <v>64.595423999999994</v>
      </c>
    </row>
    <row r="1412" spans="1:13" x14ac:dyDescent="0.25">
      <c r="A1412" s="15" t="s">
        <v>4294</v>
      </c>
      <c r="B1412" s="15" t="s">
        <v>4273</v>
      </c>
      <c r="C1412" s="52">
        <v>62.574719999999999</v>
      </c>
      <c r="D1412" s="25">
        <v>6.1111111111111116E-2</v>
      </c>
      <c r="E1412" s="53">
        <v>-23.514890999999999</v>
      </c>
      <c r="F1412" s="53">
        <v>-46.725548000000003</v>
      </c>
      <c r="G1412" s="53">
        <v>-23.312151</v>
      </c>
      <c r="H1412" s="53">
        <v>-46.826568000000002</v>
      </c>
      <c r="I1412" s="53">
        <v>-23.070166</v>
      </c>
      <c r="J1412" s="53">
        <v>-47.030828</v>
      </c>
      <c r="L1412" s="61" t="str">
        <f t="shared" si="22"/>
        <v>Cliente24-Cliente3</v>
      </c>
      <c r="M1412">
        <v>62.574719999999999</v>
      </c>
    </row>
    <row r="1413" spans="1:13" x14ac:dyDescent="0.25">
      <c r="A1413" s="15" t="s">
        <v>4294</v>
      </c>
      <c r="B1413" s="15" t="s">
        <v>4274</v>
      </c>
      <c r="C1413" s="54">
        <v>75.830465000000004</v>
      </c>
      <c r="D1413" s="26">
        <v>7.0833333333333331E-2</v>
      </c>
      <c r="E1413" s="55">
        <v>-23.510328000000001</v>
      </c>
      <c r="F1413" s="55">
        <v>-46.820563999999997</v>
      </c>
      <c r="G1413" s="55">
        <v>-23.302479999999999</v>
      </c>
      <c r="H1413" s="55">
        <v>-46.840218</v>
      </c>
      <c r="I1413" s="55">
        <v>-23.013033</v>
      </c>
      <c r="J1413" s="55">
        <v>-47.083888999999999</v>
      </c>
      <c r="L1413" s="61" t="str">
        <f t="shared" si="22"/>
        <v>Cliente24-Cliente4</v>
      </c>
      <c r="M1413">
        <v>75.830465000000004</v>
      </c>
    </row>
    <row r="1414" spans="1:13" x14ac:dyDescent="0.25">
      <c r="A1414" s="15" t="s">
        <v>4294</v>
      </c>
      <c r="B1414" s="15" t="s">
        <v>4275</v>
      </c>
      <c r="C1414" s="52">
        <v>75.923670999999999</v>
      </c>
      <c r="D1414" s="25">
        <v>7.1527777777777787E-2</v>
      </c>
      <c r="E1414" s="53">
        <v>-23.514849999999999</v>
      </c>
      <c r="F1414" s="53">
        <v>-46.816324999999999</v>
      </c>
      <c r="G1414" s="53">
        <v>-23.304127999999999</v>
      </c>
      <c r="H1414" s="53">
        <v>-46.839002999999998</v>
      </c>
      <c r="I1414" s="53">
        <v>-23.014434999999999</v>
      </c>
      <c r="J1414" s="53">
        <v>-47.082946</v>
      </c>
      <c r="L1414" s="61" t="str">
        <f t="shared" si="22"/>
        <v>Cliente24-Cliente5</v>
      </c>
      <c r="M1414">
        <v>75.923670999999999</v>
      </c>
    </row>
    <row r="1415" spans="1:13" x14ac:dyDescent="0.25">
      <c r="A1415" s="15" t="s">
        <v>4294</v>
      </c>
      <c r="B1415" s="15" t="s">
        <v>4276</v>
      </c>
      <c r="C1415" s="54">
        <v>55.200268000000001</v>
      </c>
      <c r="D1415" s="26">
        <v>5.7638888888888885E-2</v>
      </c>
      <c r="E1415" s="55">
        <v>-23.517386999999999</v>
      </c>
      <c r="F1415" s="55">
        <v>-46.729914000000001</v>
      </c>
      <c r="G1415" s="55">
        <v>-23.315545</v>
      </c>
      <c r="H1415" s="55">
        <v>-46.823692000000001</v>
      </c>
      <c r="I1415" s="55">
        <v>-23.114080000000001</v>
      </c>
      <c r="J1415" s="55">
        <v>-46.957217999999997</v>
      </c>
      <c r="L1415" s="61" t="str">
        <f t="shared" si="22"/>
        <v>Cliente24-Cliente6</v>
      </c>
      <c r="M1415">
        <v>55.200268000000001</v>
      </c>
    </row>
    <row r="1416" spans="1:13" x14ac:dyDescent="0.25">
      <c r="A1416" s="15" t="s">
        <v>4294</v>
      </c>
      <c r="B1416" s="15" t="s">
        <v>4277</v>
      </c>
      <c r="C1416" s="52">
        <v>63.017136999999998</v>
      </c>
      <c r="D1416" s="25">
        <v>6.1111111111111116E-2</v>
      </c>
      <c r="E1416" s="53">
        <v>-23.556750000000001</v>
      </c>
      <c r="F1416" s="53">
        <v>-46.819270000000003</v>
      </c>
      <c r="G1416" s="53">
        <v>-23.359653999999999</v>
      </c>
      <c r="H1416" s="53">
        <v>-46.784697999999999</v>
      </c>
      <c r="I1416" s="53">
        <v>-23.148510999999999</v>
      </c>
      <c r="J1416" s="53">
        <v>-46.961489999999998</v>
      </c>
      <c r="L1416" s="61" t="str">
        <f t="shared" si="22"/>
        <v>Cliente24-Cliente7</v>
      </c>
      <c r="M1416">
        <v>63.017136999999998</v>
      </c>
    </row>
    <row r="1417" spans="1:13" x14ac:dyDescent="0.25">
      <c r="A1417" s="15" t="s">
        <v>4294</v>
      </c>
      <c r="B1417" s="15" t="s">
        <v>4278</v>
      </c>
      <c r="C1417" s="54">
        <v>72.046925999999999</v>
      </c>
      <c r="D1417" s="26">
        <v>6.805555555555555E-2</v>
      </c>
      <c r="E1417" s="55">
        <v>-23.509575000000002</v>
      </c>
      <c r="F1417" s="55">
        <v>-46.821092</v>
      </c>
      <c r="G1417" s="55">
        <v>-23.296227999999999</v>
      </c>
      <c r="H1417" s="55">
        <v>-46.841242000000001</v>
      </c>
      <c r="I1417" s="55">
        <v>-23.011240000000001</v>
      </c>
      <c r="J1417" s="55">
        <v>-47.084476000000002</v>
      </c>
      <c r="L1417" s="61" t="str">
        <f t="shared" si="22"/>
        <v>Cliente24-Cliente8</v>
      </c>
      <c r="M1417">
        <v>72.046925999999999</v>
      </c>
    </row>
    <row r="1418" spans="1:13" x14ac:dyDescent="0.25">
      <c r="A1418" s="15" t="s">
        <v>4294</v>
      </c>
      <c r="B1418" s="15" t="s">
        <v>4279</v>
      </c>
      <c r="C1418" s="52">
        <v>83.424261000000001</v>
      </c>
      <c r="D1418" s="25">
        <v>8.0555555555555561E-2</v>
      </c>
      <c r="E1418" s="53">
        <v>-23.518380000000001</v>
      </c>
      <c r="F1418" s="53">
        <v>-46.743850999999999</v>
      </c>
      <c r="G1418" s="53">
        <v>-23.302479999999999</v>
      </c>
      <c r="H1418" s="53">
        <v>-46.840218</v>
      </c>
      <c r="I1418" s="53">
        <v>-22.997769000000002</v>
      </c>
      <c r="J1418" s="53">
        <v>-47.102893000000002</v>
      </c>
      <c r="L1418" s="61" t="str">
        <f t="shared" si="22"/>
        <v>Cliente24-Cliente9</v>
      </c>
      <c r="M1418">
        <v>83.424261000000001</v>
      </c>
    </row>
    <row r="1419" spans="1:13" x14ac:dyDescent="0.25">
      <c r="A1419" s="15" t="s">
        <v>4294</v>
      </c>
      <c r="B1419" s="15" t="s">
        <v>4280</v>
      </c>
      <c r="C1419" s="54">
        <v>16.755936999999999</v>
      </c>
      <c r="D1419" s="26">
        <v>3.0555555555555555E-2</v>
      </c>
      <c r="E1419" s="55">
        <v>-23.57227</v>
      </c>
      <c r="F1419" s="55">
        <v>-46.700128999999997</v>
      </c>
      <c r="G1419" s="55">
        <v>-23.520263</v>
      </c>
      <c r="H1419" s="55">
        <v>-46.746361</v>
      </c>
      <c r="I1419" s="55">
        <v>-23.499908000000001</v>
      </c>
      <c r="J1419" s="55">
        <v>-46.686028999999998</v>
      </c>
      <c r="L1419" s="61" t="str">
        <f t="shared" si="22"/>
        <v>Cliente24-Cliente10</v>
      </c>
      <c r="M1419">
        <v>16.755936999999999</v>
      </c>
    </row>
    <row r="1420" spans="1:13" x14ac:dyDescent="0.25">
      <c r="A1420" s="15" t="s">
        <v>4294</v>
      </c>
      <c r="B1420" s="15" t="s">
        <v>4281</v>
      </c>
      <c r="C1420" s="52">
        <v>100.645606</v>
      </c>
      <c r="D1420" s="25">
        <v>8.9583333333333334E-2</v>
      </c>
      <c r="E1420" s="53">
        <v>-23.513518999999999</v>
      </c>
      <c r="F1420" s="53">
        <v>-46.722904</v>
      </c>
      <c r="G1420" s="53">
        <v>-23.259623999999999</v>
      </c>
      <c r="H1420" s="53">
        <v>-46.867983000000002</v>
      </c>
      <c r="I1420" s="53">
        <v>-22.910708</v>
      </c>
      <c r="J1420" s="53">
        <v>-47.169237000000003</v>
      </c>
      <c r="L1420" s="61" t="str">
        <f t="shared" si="22"/>
        <v>Cliente24-Cliente11</v>
      </c>
      <c r="M1420">
        <v>100.645606</v>
      </c>
    </row>
    <row r="1421" spans="1:13" x14ac:dyDescent="0.25">
      <c r="A1421" s="15" t="s">
        <v>4294</v>
      </c>
      <c r="B1421" s="15" t="s">
        <v>4282</v>
      </c>
      <c r="C1421" s="54">
        <v>56.367828000000003</v>
      </c>
      <c r="D1421" s="26">
        <v>6.458333333333334E-2</v>
      </c>
      <c r="E1421" s="55">
        <v>-23.528457</v>
      </c>
      <c r="F1421" s="55">
        <v>-46.675493000000003</v>
      </c>
      <c r="G1421" s="55">
        <v>-23.495360999999999</v>
      </c>
      <c r="H1421" s="55">
        <v>-46.555112000000001</v>
      </c>
      <c r="I1421" s="55">
        <v>-23.352087999999998</v>
      </c>
      <c r="J1421" s="55">
        <v>-46.199134999999998</v>
      </c>
      <c r="L1421" s="61" t="str">
        <f t="shared" si="22"/>
        <v>Cliente24-Cliente12</v>
      </c>
      <c r="M1421">
        <v>56.367828000000003</v>
      </c>
    </row>
    <row r="1422" spans="1:13" x14ac:dyDescent="0.25">
      <c r="A1422" s="15" t="s">
        <v>4294</v>
      </c>
      <c r="B1422" s="15" t="s">
        <v>4283</v>
      </c>
      <c r="C1422" s="52">
        <v>64.831546000000003</v>
      </c>
      <c r="D1422" s="25">
        <v>7.0833333333333331E-2</v>
      </c>
      <c r="E1422" s="53">
        <v>-23.526686000000002</v>
      </c>
      <c r="F1422" s="53">
        <v>-46.672527000000002</v>
      </c>
      <c r="G1422" s="53">
        <v>-23.459603000000001</v>
      </c>
      <c r="H1422" s="53">
        <v>-46.484631</v>
      </c>
      <c r="I1422" s="53">
        <v>-23.322575000000001</v>
      </c>
      <c r="J1422" s="53">
        <v>-46.117641999999996</v>
      </c>
      <c r="L1422" s="61" t="str">
        <f t="shared" si="22"/>
        <v>Cliente24-Cliente13</v>
      </c>
      <c r="M1422">
        <v>64.831546000000003</v>
      </c>
    </row>
    <row r="1423" spans="1:13" x14ac:dyDescent="0.25">
      <c r="A1423" s="15" t="s">
        <v>4294</v>
      </c>
      <c r="B1423" s="15" t="s">
        <v>4284</v>
      </c>
      <c r="C1423" s="54">
        <v>62.894106000000001</v>
      </c>
      <c r="D1423" s="26">
        <v>6.7361111111111108E-2</v>
      </c>
      <c r="E1423" s="55">
        <v>-23.530366000000001</v>
      </c>
      <c r="F1423" s="55">
        <v>-46.677281999999998</v>
      </c>
      <c r="G1423" s="55">
        <v>-23.529776999999999</v>
      </c>
      <c r="H1423" s="55">
        <v>-46.591180000000001</v>
      </c>
      <c r="I1423" s="55">
        <v>-23.359110999999999</v>
      </c>
      <c r="J1423" s="55">
        <v>-46.216082</v>
      </c>
      <c r="L1423" s="61" t="str">
        <f t="shared" si="22"/>
        <v>Cliente24-Cliente14</v>
      </c>
      <c r="M1423">
        <v>62.894106000000001</v>
      </c>
    </row>
    <row r="1424" spans="1:13" x14ac:dyDescent="0.25">
      <c r="A1424" s="15" t="s">
        <v>4294</v>
      </c>
      <c r="B1424" s="15" t="s">
        <v>4285</v>
      </c>
      <c r="C1424" s="52">
        <v>65.272720000000007</v>
      </c>
      <c r="D1424" s="25">
        <v>7.3611111111111113E-2</v>
      </c>
      <c r="E1424" s="53">
        <v>-23.526686000000002</v>
      </c>
      <c r="F1424" s="53">
        <v>-46.672527000000002</v>
      </c>
      <c r="G1424" s="53">
        <v>-23.459603000000001</v>
      </c>
      <c r="H1424" s="53">
        <v>-46.484631</v>
      </c>
      <c r="I1424" s="53">
        <v>-23.322575000000001</v>
      </c>
      <c r="J1424" s="53">
        <v>-46.117641999999996</v>
      </c>
      <c r="L1424" s="61" t="str">
        <f t="shared" si="22"/>
        <v>Cliente24-Cliente15</v>
      </c>
      <c r="M1424">
        <v>65.272720000000007</v>
      </c>
    </row>
    <row r="1425" spans="1:13" x14ac:dyDescent="0.25">
      <c r="A1425" s="15" t="s">
        <v>4294</v>
      </c>
      <c r="B1425" s="15" t="s">
        <v>4286</v>
      </c>
      <c r="C1425" s="54">
        <v>64.203338000000002</v>
      </c>
      <c r="D1425" s="26">
        <v>7.2222222222222229E-2</v>
      </c>
      <c r="E1425" s="55">
        <v>-23.524903999999999</v>
      </c>
      <c r="F1425" s="55">
        <v>-46.670867000000001</v>
      </c>
      <c r="G1425" s="55">
        <v>-23.425788000000001</v>
      </c>
      <c r="H1425" s="55">
        <v>-46.404009000000002</v>
      </c>
      <c r="I1425" s="55">
        <v>-23.322267</v>
      </c>
      <c r="J1425" s="55">
        <v>-46.116416999999998</v>
      </c>
      <c r="L1425" s="61" t="str">
        <f t="shared" si="22"/>
        <v>Cliente24-Cliente16</v>
      </c>
      <c r="M1425">
        <v>64.203338000000002</v>
      </c>
    </row>
    <row r="1426" spans="1:13" x14ac:dyDescent="0.25">
      <c r="A1426" s="15" t="s">
        <v>4294</v>
      </c>
      <c r="B1426" s="15" t="s">
        <v>4287</v>
      </c>
      <c r="C1426" s="52">
        <v>64.679310000000001</v>
      </c>
      <c r="D1426" s="25">
        <v>6.9444444444444434E-2</v>
      </c>
      <c r="E1426" s="53">
        <v>-23.524903999999999</v>
      </c>
      <c r="F1426" s="53">
        <v>-46.670867000000001</v>
      </c>
      <c r="G1426" s="53">
        <v>-23.459603000000001</v>
      </c>
      <c r="H1426" s="53">
        <v>-46.484631</v>
      </c>
      <c r="I1426" s="53">
        <v>-23.323340999999999</v>
      </c>
      <c r="J1426" s="53">
        <v>-46.119652000000002</v>
      </c>
      <c r="L1426" s="61" t="str">
        <f t="shared" ref="L1426:L1489" si="23">_xlfn.CONCAT(A1426,"-",B1426)</f>
        <v>Cliente24-Cliente17</v>
      </c>
      <c r="M1426">
        <v>64.679310000000001</v>
      </c>
    </row>
    <row r="1427" spans="1:13" x14ac:dyDescent="0.25">
      <c r="A1427" s="15" t="s">
        <v>4294</v>
      </c>
      <c r="B1427" s="15" t="s">
        <v>4288</v>
      </c>
      <c r="C1427" s="54">
        <v>70.087115999999995</v>
      </c>
      <c r="D1427" s="26">
        <v>7.4999999999999997E-2</v>
      </c>
      <c r="E1427" s="55">
        <v>-23.528457</v>
      </c>
      <c r="F1427" s="55">
        <v>-46.675493000000003</v>
      </c>
      <c r="G1427" s="55">
        <v>-23.481570000000001</v>
      </c>
      <c r="H1427" s="55">
        <v>-46.534331999999999</v>
      </c>
      <c r="I1427" s="55">
        <v>-23.352357999999999</v>
      </c>
      <c r="J1427" s="55">
        <v>-46.181800000000003</v>
      </c>
      <c r="L1427" s="61" t="str">
        <f t="shared" si="23"/>
        <v>Cliente24-Cliente18</v>
      </c>
      <c r="M1427">
        <v>70.087115999999995</v>
      </c>
    </row>
    <row r="1428" spans="1:13" x14ac:dyDescent="0.25">
      <c r="A1428" s="15" t="s">
        <v>4294</v>
      </c>
      <c r="B1428" s="15" t="s">
        <v>4289</v>
      </c>
      <c r="C1428" s="52">
        <v>8.4587470000000007</v>
      </c>
      <c r="D1428" s="25">
        <v>2.0833333333333332E-2</v>
      </c>
      <c r="E1428" s="53">
        <v>-23.577877999999998</v>
      </c>
      <c r="F1428" s="53">
        <v>-46.708199</v>
      </c>
      <c r="G1428" s="53">
        <v>-23.555368999999999</v>
      </c>
      <c r="H1428" s="53">
        <v>-46.681229999999999</v>
      </c>
      <c r="I1428" s="53">
        <v>-23.527978000000001</v>
      </c>
      <c r="J1428" s="53">
        <v>-46.674748000000001</v>
      </c>
      <c r="L1428" s="61" t="str">
        <f t="shared" si="23"/>
        <v>Cliente24-Cliente19</v>
      </c>
      <c r="M1428">
        <v>8.4587470000000007</v>
      </c>
    </row>
    <row r="1429" spans="1:13" x14ac:dyDescent="0.25">
      <c r="A1429" s="15" t="s">
        <v>4294</v>
      </c>
      <c r="B1429" s="15" t="s">
        <v>4290</v>
      </c>
      <c r="C1429" s="54">
        <v>7.9517069999999999</v>
      </c>
      <c r="D1429" s="26">
        <v>1.5972222222222224E-2</v>
      </c>
      <c r="E1429" s="55">
        <v>-23.583169999999999</v>
      </c>
      <c r="F1429" s="55">
        <v>-46.714595000000003</v>
      </c>
      <c r="G1429" s="55">
        <v>-23.572583000000002</v>
      </c>
      <c r="H1429" s="55">
        <v>-46.699534999999997</v>
      </c>
      <c r="I1429" s="55">
        <v>-23.545888000000001</v>
      </c>
      <c r="J1429" s="55">
        <v>-46.732706999999998</v>
      </c>
      <c r="L1429" s="61" t="str">
        <f t="shared" si="23"/>
        <v>Cliente24-Cliente20</v>
      </c>
      <c r="M1429">
        <v>7.9517069999999999</v>
      </c>
    </row>
    <row r="1430" spans="1:13" x14ac:dyDescent="0.25">
      <c r="A1430" s="15" t="s">
        <v>4294</v>
      </c>
      <c r="B1430" s="15" t="s">
        <v>4291</v>
      </c>
      <c r="C1430" s="52">
        <v>6.8040310000000002</v>
      </c>
      <c r="D1430" s="25">
        <v>1.3194444444444444E-2</v>
      </c>
      <c r="E1430" s="53">
        <v>-23.584802</v>
      </c>
      <c r="F1430" s="53">
        <v>-46.718300999999997</v>
      </c>
      <c r="G1430" s="53">
        <v>-23.572105000000001</v>
      </c>
      <c r="H1430" s="53">
        <v>-46.699550000000002</v>
      </c>
      <c r="I1430" s="53">
        <v>-23.55949</v>
      </c>
      <c r="J1430" s="53">
        <v>-46.707253999999999</v>
      </c>
      <c r="L1430" s="61" t="str">
        <f t="shared" si="23"/>
        <v>Cliente24-Cliente21</v>
      </c>
      <c r="M1430">
        <v>6.8040310000000002</v>
      </c>
    </row>
    <row r="1431" spans="1:13" x14ac:dyDescent="0.25">
      <c r="A1431" s="15" t="s">
        <v>4294</v>
      </c>
      <c r="B1431" s="15" t="s">
        <v>4292</v>
      </c>
      <c r="C1431" s="54">
        <v>6.014888</v>
      </c>
      <c r="D1431" s="26">
        <v>1.3194444444444444E-2</v>
      </c>
      <c r="E1431" s="55">
        <v>-23.584619</v>
      </c>
      <c r="F1431" s="55">
        <v>-46.717767000000002</v>
      </c>
      <c r="G1431" s="55">
        <v>-23.572247000000001</v>
      </c>
      <c r="H1431" s="55">
        <v>-46.699160999999997</v>
      </c>
      <c r="I1431" s="55">
        <v>-23.558759999999999</v>
      </c>
      <c r="J1431" s="55">
        <v>-46.706482999999999</v>
      </c>
      <c r="L1431" s="61" t="str">
        <f t="shared" si="23"/>
        <v>Cliente24-Cliente22</v>
      </c>
      <c r="M1431">
        <v>6.014888</v>
      </c>
    </row>
    <row r="1432" spans="1:13" x14ac:dyDescent="0.25">
      <c r="A1432" s="15" t="s">
        <v>4294</v>
      </c>
      <c r="B1432" s="15" t="s">
        <v>4293</v>
      </c>
      <c r="C1432" s="52">
        <v>1.293077</v>
      </c>
      <c r="D1432" s="25">
        <v>6.9444444444444441E-3</v>
      </c>
      <c r="E1432" s="53">
        <v>-23.594923000000001</v>
      </c>
      <c r="F1432" s="53">
        <v>-46.737786</v>
      </c>
      <c r="G1432" s="53">
        <v>-23.593637999999999</v>
      </c>
      <c r="H1432" s="53">
        <v>-46.73518</v>
      </c>
      <c r="I1432" s="53">
        <v>-23.590883999999999</v>
      </c>
      <c r="J1432" s="53">
        <v>-46.738315</v>
      </c>
      <c r="L1432" s="61" t="str">
        <f t="shared" si="23"/>
        <v>Cliente24-Cliente23</v>
      </c>
      <c r="M1432">
        <v>1.293077</v>
      </c>
    </row>
    <row r="1433" spans="1:13" x14ac:dyDescent="0.25">
      <c r="A1433" s="15" t="s">
        <v>4294</v>
      </c>
      <c r="B1433" s="15" t="s">
        <v>4294</v>
      </c>
      <c r="C1433" s="54">
        <v>0</v>
      </c>
      <c r="D1433" s="26">
        <v>0</v>
      </c>
      <c r="E1433" s="55">
        <f>'1. Locais'!D28</f>
        <v>-23.595510000000001</v>
      </c>
      <c r="F1433" s="55">
        <f>'1. Locais'!E28</f>
        <v>-46.737650000000002</v>
      </c>
      <c r="G1433" s="55">
        <f>'1. Locais'!D28</f>
        <v>-23.595510000000001</v>
      </c>
      <c r="H1433" s="55">
        <f>'1. Locais'!E28</f>
        <v>-46.737650000000002</v>
      </c>
      <c r="I1433" s="55">
        <f>'1. Locais'!D28</f>
        <v>-23.595510000000001</v>
      </c>
      <c r="J1433" s="55">
        <f>'1. Locais'!E28</f>
        <v>-46.737650000000002</v>
      </c>
      <c r="L1433" s="61" t="str">
        <f t="shared" si="23"/>
        <v>Cliente24-Cliente24</v>
      </c>
      <c r="M1433">
        <v>0</v>
      </c>
    </row>
    <row r="1434" spans="1:13" x14ac:dyDescent="0.25">
      <c r="A1434" s="15" t="s">
        <v>4294</v>
      </c>
      <c r="B1434" s="15" t="s">
        <v>4295</v>
      </c>
      <c r="C1434" s="52">
        <v>3.6685850000000002</v>
      </c>
      <c r="D1434" s="25">
        <v>1.3194444444444444E-2</v>
      </c>
      <c r="E1434" s="53">
        <v>-23.593541999999999</v>
      </c>
      <c r="F1434" s="53">
        <v>-46.735188000000001</v>
      </c>
      <c r="G1434" s="53">
        <v>-23.604662999999999</v>
      </c>
      <c r="H1434" s="53">
        <v>-46.749583000000001</v>
      </c>
      <c r="I1434" s="53">
        <v>-23.608917999999999</v>
      </c>
      <c r="J1434" s="53">
        <v>-46.757491999999999</v>
      </c>
      <c r="L1434" s="61" t="str">
        <f t="shared" si="23"/>
        <v>Cliente24-Cliente25</v>
      </c>
      <c r="M1434">
        <v>3.6685850000000002</v>
      </c>
    </row>
    <row r="1435" spans="1:13" x14ac:dyDescent="0.25">
      <c r="A1435" s="15" t="s">
        <v>4294</v>
      </c>
      <c r="B1435" s="15" t="s">
        <v>4296</v>
      </c>
      <c r="C1435" s="54">
        <v>7.6497200000000003</v>
      </c>
      <c r="D1435" s="26">
        <v>1.5277777777777777E-2</v>
      </c>
      <c r="E1435" s="55">
        <v>-23.588529000000001</v>
      </c>
      <c r="F1435" s="55">
        <v>-46.736162</v>
      </c>
      <c r="G1435" s="55">
        <v>-23.582937999999999</v>
      </c>
      <c r="H1435" s="55">
        <v>-46.772551</v>
      </c>
      <c r="I1435" s="55">
        <v>-23.589075000000001</v>
      </c>
      <c r="J1435" s="55">
        <v>-46.818317</v>
      </c>
      <c r="L1435" s="61" t="str">
        <f t="shared" si="23"/>
        <v>Cliente24-Cliente26</v>
      </c>
      <c r="M1435">
        <v>7.6497200000000003</v>
      </c>
    </row>
    <row r="1436" spans="1:13" x14ac:dyDescent="0.25">
      <c r="A1436" s="15" t="s">
        <v>4294</v>
      </c>
      <c r="B1436" s="15" t="s">
        <v>4297</v>
      </c>
      <c r="C1436" s="52">
        <v>3.0720670000000001</v>
      </c>
      <c r="D1436" s="25">
        <v>9.7222222222222224E-3</v>
      </c>
      <c r="E1436" s="53">
        <v>-23.594577000000001</v>
      </c>
      <c r="F1436" s="53">
        <v>-46.737291999999997</v>
      </c>
      <c r="G1436" s="53">
        <v>-23.590451999999999</v>
      </c>
      <c r="H1436" s="53">
        <v>-46.736750000000001</v>
      </c>
      <c r="I1436" s="53">
        <v>-23.599271000000002</v>
      </c>
      <c r="J1436" s="53">
        <v>-46.747380999999997</v>
      </c>
      <c r="L1436" s="61" t="str">
        <f t="shared" si="23"/>
        <v>Cliente24-Cliente27</v>
      </c>
      <c r="M1436">
        <v>3.0720670000000001</v>
      </c>
    </row>
    <row r="1437" spans="1:13" x14ac:dyDescent="0.25">
      <c r="A1437" s="15" t="s">
        <v>4294</v>
      </c>
      <c r="B1437" s="15" t="s">
        <v>4298</v>
      </c>
      <c r="C1437" s="54">
        <v>11.816024000000001</v>
      </c>
      <c r="D1437" s="26">
        <v>2.361111111111111E-2</v>
      </c>
      <c r="E1437" s="55">
        <v>-23.572638999999999</v>
      </c>
      <c r="F1437" s="55">
        <v>-46.704194999999999</v>
      </c>
      <c r="G1437" s="55">
        <v>-23.600607</v>
      </c>
      <c r="H1437" s="55">
        <v>-46.697035999999997</v>
      </c>
      <c r="I1437" s="55">
        <v>-23.627437</v>
      </c>
      <c r="J1437" s="55">
        <v>-46.685893999999998</v>
      </c>
      <c r="L1437" s="61" t="str">
        <f t="shared" si="23"/>
        <v>Cliente24-Cliente28</v>
      </c>
      <c r="M1437">
        <v>11.816024000000001</v>
      </c>
    </row>
    <row r="1438" spans="1:13" x14ac:dyDescent="0.25">
      <c r="A1438" s="15" t="s">
        <v>4294</v>
      </c>
      <c r="B1438" s="15" t="s">
        <v>4299</v>
      </c>
      <c r="C1438" s="52">
        <v>16.459541999999999</v>
      </c>
      <c r="D1438" s="25">
        <v>2.9861111111111113E-2</v>
      </c>
      <c r="E1438" s="53">
        <v>-23.574069999999999</v>
      </c>
      <c r="F1438" s="53">
        <v>-46.699976999999997</v>
      </c>
      <c r="G1438" s="53">
        <v>-23.629656000000001</v>
      </c>
      <c r="H1438" s="53">
        <v>-46.647556000000002</v>
      </c>
      <c r="I1438" s="53">
        <v>-23.62096</v>
      </c>
      <c r="J1438" s="53">
        <v>-46.606470000000002</v>
      </c>
      <c r="L1438" s="61" t="str">
        <f t="shared" si="23"/>
        <v>Cliente24-Cliente29</v>
      </c>
      <c r="M1438">
        <v>16.459541999999999</v>
      </c>
    </row>
    <row r="1439" spans="1:13" x14ac:dyDescent="0.25">
      <c r="A1439" s="15" t="s">
        <v>4294</v>
      </c>
      <c r="B1439" s="15" t="s">
        <v>4300</v>
      </c>
      <c r="C1439" s="54">
        <v>24.739955999999999</v>
      </c>
      <c r="D1439" s="26">
        <v>4.3055555555555562E-2</v>
      </c>
      <c r="E1439" s="55">
        <v>-23.601085000000001</v>
      </c>
      <c r="F1439" s="55">
        <v>-46.683309000000001</v>
      </c>
      <c r="G1439" s="55">
        <v>-23.606953000000001</v>
      </c>
      <c r="H1439" s="55">
        <v>-46.599265000000003</v>
      </c>
      <c r="I1439" s="55">
        <v>-23.656464</v>
      </c>
      <c r="J1439" s="55">
        <v>-46.547283</v>
      </c>
      <c r="L1439" s="61" t="str">
        <f t="shared" si="23"/>
        <v>Cliente24-Cliente30</v>
      </c>
      <c r="M1439">
        <v>24.739955999999999</v>
      </c>
    </row>
    <row r="1440" spans="1:13" x14ac:dyDescent="0.25">
      <c r="A1440" s="15" t="s">
        <v>4294</v>
      </c>
      <c r="B1440" s="15" t="s">
        <v>4301</v>
      </c>
      <c r="C1440" s="52">
        <v>7.22905</v>
      </c>
      <c r="D1440" s="25">
        <v>2.1527777777777781E-2</v>
      </c>
      <c r="E1440" s="53">
        <v>-23.584872000000001</v>
      </c>
      <c r="F1440" s="53">
        <v>-46.737704000000001</v>
      </c>
      <c r="G1440" s="53" t="s">
        <v>7295</v>
      </c>
      <c r="H1440" s="53">
        <v>-46.775942999999998</v>
      </c>
      <c r="I1440" s="53">
        <v>-23.559602000000002</v>
      </c>
      <c r="J1440" s="53">
        <v>-46.781959000000001</v>
      </c>
      <c r="L1440" s="61" t="str">
        <f t="shared" si="23"/>
        <v>Cliente24-Cliente31</v>
      </c>
      <c r="M1440">
        <v>7.22905</v>
      </c>
    </row>
    <row r="1441" spans="1:13" x14ac:dyDescent="0.25">
      <c r="A1441" s="15" t="s">
        <v>4294</v>
      </c>
      <c r="B1441" s="15" t="s">
        <v>4302</v>
      </c>
      <c r="C1441" s="54">
        <v>12.44796</v>
      </c>
      <c r="D1441" s="26">
        <v>2.2916666666666669E-2</v>
      </c>
      <c r="E1441" s="55">
        <v>-23.572479000000001</v>
      </c>
      <c r="F1441" s="55">
        <v>-46.699117000000001</v>
      </c>
      <c r="G1441" s="55">
        <v>-23.529364999999999</v>
      </c>
      <c r="H1441" s="55">
        <v>-46.747951</v>
      </c>
      <c r="I1441" s="55">
        <v>-23.508012000000001</v>
      </c>
      <c r="J1441" s="55">
        <v>-46.736162999999998</v>
      </c>
      <c r="L1441" s="61" t="str">
        <f t="shared" si="23"/>
        <v>Cliente24-Cliente32</v>
      </c>
      <c r="M1441">
        <v>12.44796</v>
      </c>
    </row>
    <row r="1442" spans="1:13" x14ac:dyDescent="0.25">
      <c r="A1442" s="15" t="s">
        <v>4294</v>
      </c>
      <c r="B1442" s="15" t="s">
        <v>4303</v>
      </c>
      <c r="C1442" s="52">
        <v>15.320565999999999</v>
      </c>
      <c r="D1442" s="25">
        <v>3.6111111111111115E-2</v>
      </c>
      <c r="E1442" s="53">
        <v>-23.565351</v>
      </c>
      <c r="F1442" s="53">
        <v>-46.676915000000001</v>
      </c>
      <c r="G1442" s="53">
        <v>-23.535793999999999</v>
      </c>
      <c r="H1442" s="53">
        <v>-46.633516</v>
      </c>
      <c r="I1442" s="53">
        <v>-23.496490000000001</v>
      </c>
      <c r="J1442" s="53">
        <v>-46.610506999999998</v>
      </c>
      <c r="L1442" s="61" t="str">
        <f t="shared" si="23"/>
        <v>Cliente24-Cliente33</v>
      </c>
      <c r="M1442">
        <v>15.320565999999999</v>
      </c>
    </row>
    <row r="1443" spans="1:13" x14ac:dyDescent="0.25">
      <c r="A1443" s="15" t="s">
        <v>4294</v>
      </c>
      <c r="B1443" s="15" t="s">
        <v>4304</v>
      </c>
      <c r="C1443" s="54">
        <v>18.068276000000001</v>
      </c>
      <c r="D1443" s="26">
        <v>2.9166666666666664E-2</v>
      </c>
      <c r="E1443" s="55">
        <v>-23.561612</v>
      </c>
      <c r="F1443" s="55">
        <v>-46.704855999999999</v>
      </c>
      <c r="G1443" s="55">
        <v>-23.512758999999999</v>
      </c>
      <c r="H1443" s="55">
        <v>-46.798164999999997</v>
      </c>
      <c r="I1443" s="55">
        <v>-23.486516000000002</v>
      </c>
      <c r="J1443" s="55">
        <v>-46.837004</v>
      </c>
      <c r="L1443" s="61" t="str">
        <f t="shared" si="23"/>
        <v>Cliente24-Cliente34</v>
      </c>
      <c r="M1443">
        <v>18.068276000000001</v>
      </c>
    </row>
    <row r="1444" spans="1:13" x14ac:dyDescent="0.25">
      <c r="A1444" s="15" t="s">
        <v>4294</v>
      </c>
      <c r="B1444" s="15" t="s">
        <v>4305</v>
      </c>
      <c r="C1444" s="52">
        <v>18.664173000000002</v>
      </c>
      <c r="D1444" s="25">
        <v>2.8472222222222222E-2</v>
      </c>
      <c r="E1444" s="53">
        <v>-23.564316000000002</v>
      </c>
      <c r="F1444" s="53">
        <v>-46.703400000000002</v>
      </c>
      <c r="G1444" s="53">
        <v>-23.519904</v>
      </c>
      <c r="H1444" s="53">
        <v>-46.778849000000001</v>
      </c>
      <c r="I1444" s="53">
        <v>-23.487165999999998</v>
      </c>
      <c r="J1444" s="53">
        <v>-46.855775999999999</v>
      </c>
      <c r="L1444" s="61" t="str">
        <f t="shared" si="23"/>
        <v>Cliente24-Cliente35</v>
      </c>
      <c r="M1444">
        <v>18.664173000000002</v>
      </c>
    </row>
    <row r="1445" spans="1:13" x14ac:dyDescent="0.25">
      <c r="A1445" s="15" t="s">
        <v>4294</v>
      </c>
      <c r="B1445" s="15" t="s">
        <v>4306</v>
      </c>
      <c r="C1445" s="54">
        <v>150.141673</v>
      </c>
      <c r="D1445" s="26">
        <v>0.13333333333333333</v>
      </c>
      <c r="E1445" s="55">
        <v>-23.424655000000001</v>
      </c>
      <c r="F1445" s="55">
        <v>-46.760683</v>
      </c>
      <c r="G1445" s="55">
        <v>-23.016698000000002</v>
      </c>
      <c r="H1445" s="55">
        <v>-47.082101000000002</v>
      </c>
      <c r="I1445" s="55">
        <v>-22.500194</v>
      </c>
      <c r="J1445" s="55">
        <v>-47.398474999999998</v>
      </c>
      <c r="L1445" s="61" t="str">
        <f t="shared" si="23"/>
        <v>Cliente24-Cliente36</v>
      </c>
      <c r="M1445">
        <v>150.141673</v>
      </c>
    </row>
    <row r="1446" spans="1:13" x14ac:dyDescent="0.25">
      <c r="A1446" s="15" t="s">
        <v>4294</v>
      </c>
      <c r="B1446" s="15" t="s">
        <v>4307</v>
      </c>
      <c r="C1446" s="52">
        <v>149.04495</v>
      </c>
      <c r="D1446" s="25">
        <v>0.13194444444444445</v>
      </c>
      <c r="E1446" s="53">
        <v>-23.421851</v>
      </c>
      <c r="F1446" s="53">
        <v>-46.761364999999998</v>
      </c>
      <c r="G1446" s="53">
        <v>-23.007109</v>
      </c>
      <c r="H1446" s="53">
        <v>-47.094681000000001</v>
      </c>
      <c r="I1446" s="53">
        <v>-22.502466999999999</v>
      </c>
      <c r="J1446" s="53">
        <v>-47.398080999999998</v>
      </c>
      <c r="L1446" s="61" t="str">
        <f t="shared" si="23"/>
        <v>Cliente24-Cliente37</v>
      </c>
      <c r="M1446">
        <v>149.04495</v>
      </c>
    </row>
    <row r="1447" spans="1:13" x14ac:dyDescent="0.25">
      <c r="A1447" s="15" t="s">
        <v>4294</v>
      </c>
      <c r="B1447" s="15" t="s">
        <v>4308</v>
      </c>
      <c r="C1447" s="54">
        <v>147.26844500000001</v>
      </c>
      <c r="D1447" s="26">
        <v>0.12986111111111112</v>
      </c>
      <c r="E1447" s="55">
        <v>-23.44144</v>
      </c>
      <c r="F1447" s="55">
        <v>-46.756554000000001</v>
      </c>
      <c r="G1447" s="55">
        <v>-23.038608</v>
      </c>
      <c r="H1447" s="55">
        <v>-47.068247</v>
      </c>
      <c r="I1447" s="55">
        <v>-22.515336000000001</v>
      </c>
      <c r="J1447" s="55">
        <v>-47.394720999999997</v>
      </c>
      <c r="L1447" s="61" t="str">
        <f t="shared" si="23"/>
        <v>Cliente24-Cliente38</v>
      </c>
      <c r="M1447">
        <v>147.26844500000001</v>
      </c>
    </row>
    <row r="1448" spans="1:13" x14ac:dyDescent="0.25">
      <c r="A1448" s="15" t="s">
        <v>4294</v>
      </c>
      <c r="B1448" s="15" t="s">
        <v>4309</v>
      </c>
      <c r="C1448" s="52">
        <v>91.093243000000001</v>
      </c>
      <c r="D1448" s="25">
        <v>9.4444444444444442E-2</v>
      </c>
      <c r="E1448" s="53">
        <v>-23.521003</v>
      </c>
      <c r="F1448" s="53">
        <v>-46.667301000000002</v>
      </c>
      <c r="G1448" s="53">
        <v>-23.403594999999999</v>
      </c>
      <c r="H1448" s="53">
        <v>-46.330831000000003</v>
      </c>
      <c r="I1448" s="53">
        <v>-23.306694</v>
      </c>
      <c r="J1448" s="53">
        <v>-46.039658000000003</v>
      </c>
      <c r="L1448" s="61" t="str">
        <f t="shared" si="23"/>
        <v>Cliente24-Cliente39</v>
      </c>
      <c r="M1448">
        <v>91.093243000000001</v>
      </c>
    </row>
    <row r="1449" spans="1:13" x14ac:dyDescent="0.25">
      <c r="A1449" s="15" t="s">
        <v>4294</v>
      </c>
      <c r="B1449" s="15" t="s">
        <v>4310</v>
      </c>
      <c r="C1449" s="54">
        <v>95.948650000000001</v>
      </c>
      <c r="D1449" s="26">
        <v>0.10277777777777779</v>
      </c>
      <c r="E1449" s="55">
        <v>-23.517541999999999</v>
      </c>
      <c r="F1449" s="55">
        <v>-46.654997999999999</v>
      </c>
      <c r="G1449" s="55">
        <v>-23.377472000000001</v>
      </c>
      <c r="H1449" s="55">
        <v>-46.253006999999997</v>
      </c>
      <c r="I1449" s="55">
        <v>-23.052363</v>
      </c>
      <c r="J1449" s="55">
        <v>-45.606071999999998</v>
      </c>
      <c r="L1449" s="61" t="str">
        <f t="shared" si="23"/>
        <v>Cliente24-Cliente40</v>
      </c>
      <c r="M1449">
        <v>95.948650000000001</v>
      </c>
    </row>
    <row r="1450" spans="1:13" x14ac:dyDescent="0.25">
      <c r="A1450" s="15" t="s">
        <v>4294</v>
      </c>
      <c r="B1450" s="15" t="s">
        <v>4311</v>
      </c>
      <c r="C1450" s="52">
        <v>82.131805999999997</v>
      </c>
      <c r="D1450" s="25">
        <v>8.9583333333333334E-2</v>
      </c>
      <c r="E1450" s="53">
        <v>-23.517944</v>
      </c>
      <c r="F1450" s="53">
        <v>-46.666905</v>
      </c>
      <c r="G1450" s="53">
        <v>-23.399701</v>
      </c>
      <c r="H1450" s="53">
        <v>-46.301403999999998</v>
      </c>
      <c r="I1450" s="53">
        <v>-23.294968999999998</v>
      </c>
      <c r="J1450" s="53">
        <v>-46.005122</v>
      </c>
      <c r="L1450" s="61" t="str">
        <f t="shared" si="23"/>
        <v>Cliente24-Cliente41</v>
      </c>
      <c r="M1450">
        <v>82.131805999999997</v>
      </c>
    </row>
    <row r="1451" spans="1:13" x14ac:dyDescent="0.25">
      <c r="A1451" s="15" t="s">
        <v>4294</v>
      </c>
      <c r="B1451" s="15" t="s">
        <v>4312</v>
      </c>
      <c r="C1451" s="54">
        <v>78.660816999999994</v>
      </c>
      <c r="D1451" s="26">
        <v>8.1250000000000003E-2</v>
      </c>
      <c r="E1451" s="55">
        <v>-23.527978000000001</v>
      </c>
      <c r="F1451" s="55">
        <v>-46.674748000000001</v>
      </c>
      <c r="G1451" s="55">
        <v>-23.475352999999998</v>
      </c>
      <c r="H1451" s="55">
        <v>-46.524647000000002</v>
      </c>
      <c r="I1451" s="55">
        <v>-23.347275</v>
      </c>
      <c r="J1451" s="55">
        <v>-46.166322999999998</v>
      </c>
      <c r="L1451" s="61" t="str">
        <f t="shared" si="23"/>
        <v>Cliente24-Cliente42</v>
      </c>
      <c r="M1451">
        <v>78.660816999999994</v>
      </c>
    </row>
    <row r="1452" spans="1:13" x14ac:dyDescent="0.25">
      <c r="A1452" s="15" t="s">
        <v>4294</v>
      </c>
      <c r="B1452" s="15" t="s">
        <v>4313</v>
      </c>
      <c r="C1452" s="52">
        <v>101.313582</v>
      </c>
      <c r="D1452" s="25">
        <v>0.10208333333333335</v>
      </c>
      <c r="E1452" s="53">
        <v>-23.516276999999999</v>
      </c>
      <c r="F1452" s="53">
        <v>-46.665120999999999</v>
      </c>
      <c r="G1452" s="53">
        <v>-23.382543999999999</v>
      </c>
      <c r="H1452" s="53">
        <v>-46.261823</v>
      </c>
      <c r="I1452" s="53">
        <v>-23.161244</v>
      </c>
      <c r="J1452" s="53">
        <v>-45.803519000000001</v>
      </c>
      <c r="L1452" s="61" t="str">
        <f t="shared" si="23"/>
        <v>Cliente24-Cliente43</v>
      </c>
      <c r="M1452">
        <v>101.313582</v>
      </c>
    </row>
    <row r="1453" spans="1:13" x14ac:dyDescent="0.25">
      <c r="A1453" s="15" t="s">
        <v>4294</v>
      </c>
      <c r="B1453" s="15" t="s">
        <v>4314</v>
      </c>
      <c r="C1453" s="54">
        <v>62.762996000000001</v>
      </c>
      <c r="D1453" s="26">
        <v>6.6666666666666666E-2</v>
      </c>
      <c r="E1453" s="55">
        <v>-23.578192999999999</v>
      </c>
      <c r="F1453" s="55">
        <v>-46.809171999999997</v>
      </c>
      <c r="G1453" s="55">
        <v>-23.477884</v>
      </c>
      <c r="H1453" s="55">
        <v>-46.998716000000002</v>
      </c>
      <c r="I1453" s="55">
        <v>-23.407094000000001</v>
      </c>
      <c r="J1453" s="55">
        <v>-47.292929999999998</v>
      </c>
      <c r="L1453" s="61" t="str">
        <f t="shared" si="23"/>
        <v>Cliente24-Cliente44</v>
      </c>
      <c r="M1453">
        <v>62.762996000000001</v>
      </c>
    </row>
    <row r="1454" spans="1:13" x14ac:dyDescent="0.25">
      <c r="A1454" s="15" t="s">
        <v>4294</v>
      </c>
      <c r="B1454" s="15" t="s">
        <v>4315</v>
      </c>
      <c r="C1454" s="52">
        <v>69.283060000000006</v>
      </c>
      <c r="D1454" s="25">
        <v>7.1527777777777787E-2</v>
      </c>
      <c r="E1454" s="53">
        <v>-23.541488999999999</v>
      </c>
      <c r="F1454" s="53">
        <v>-46.818145999999999</v>
      </c>
      <c r="G1454" s="53">
        <v>-23.43844</v>
      </c>
      <c r="H1454" s="53">
        <v>-47.114626999999999</v>
      </c>
      <c r="I1454" s="53">
        <v>-23.478576</v>
      </c>
      <c r="J1454" s="53">
        <v>-47.382755000000003</v>
      </c>
      <c r="L1454" s="61" t="str">
        <f t="shared" si="23"/>
        <v>Cliente24-Cliente45</v>
      </c>
      <c r="M1454">
        <v>69.283060000000006</v>
      </c>
    </row>
    <row r="1455" spans="1:13" x14ac:dyDescent="0.25">
      <c r="A1455" s="15" t="s">
        <v>4294</v>
      </c>
      <c r="B1455" s="15" t="s">
        <v>4316</v>
      </c>
      <c r="C1455" s="54">
        <v>60.844197000000001</v>
      </c>
      <c r="D1455" s="26">
        <v>6.3194444444444442E-2</v>
      </c>
      <c r="E1455" s="55">
        <v>-23.580748</v>
      </c>
      <c r="F1455" s="55">
        <v>-46.808425999999997</v>
      </c>
      <c r="G1455" s="55">
        <v>-23.494774</v>
      </c>
      <c r="H1455" s="55">
        <v>-46.985321999999996</v>
      </c>
      <c r="I1455" s="55">
        <v>-23.414155000000001</v>
      </c>
      <c r="J1455" s="55">
        <v>-47.269866</v>
      </c>
      <c r="L1455" s="61" t="str">
        <f t="shared" si="23"/>
        <v>Cliente24-Cliente46</v>
      </c>
      <c r="M1455">
        <v>60.844197000000001</v>
      </c>
    </row>
    <row r="1456" spans="1:13" x14ac:dyDescent="0.25">
      <c r="A1456" s="15" t="s">
        <v>4294</v>
      </c>
      <c r="B1456" s="15" t="s">
        <v>4317</v>
      </c>
      <c r="C1456" s="52">
        <v>196.597984</v>
      </c>
      <c r="D1456" s="25">
        <v>0.1673611111111111</v>
      </c>
      <c r="E1456" s="53">
        <v>-23.390514</v>
      </c>
      <c r="F1456" s="53">
        <v>-46.768864000000001</v>
      </c>
      <c r="G1456" s="53">
        <v>-22.967222</v>
      </c>
      <c r="H1456" s="53">
        <v>-47.118684999999999</v>
      </c>
      <c r="I1456" s="53">
        <v>-22.349298999999998</v>
      </c>
      <c r="J1456" s="53">
        <v>-47.394371</v>
      </c>
      <c r="L1456" s="61" t="str">
        <f t="shared" si="23"/>
        <v>Cliente24-Cliente47</v>
      </c>
      <c r="M1456">
        <v>196.597984</v>
      </c>
    </row>
    <row r="1457" spans="1:13" x14ac:dyDescent="0.25">
      <c r="A1457" s="15" t="s">
        <v>4294</v>
      </c>
      <c r="B1457" s="15" t="s">
        <v>4318</v>
      </c>
      <c r="C1457" s="54">
        <v>205.70917299999999</v>
      </c>
      <c r="D1457" s="26">
        <v>0.17569444444444446</v>
      </c>
      <c r="E1457" s="55">
        <v>-23.357894000000002</v>
      </c>
      <c r="F1457" s="55">
        <v>-46.786129000000003</v>
      </c>
      <c r="G1457" s="55">
        <v>-22.882422999999999</v>
      </c>
      <c r="H1457" s="55">
        <v>-47.130493999999999</v>
      </c>
      <c r="I1457" s="55">
        <v>-22.084499999999998</v>
      </c>
      <c r="J1457" s="55">
        <v>-47.420546999999999</v>
      </c>
      <c r="L1457" s="61" t="str">
        <f t="shared" si="23"/>
        <v>Cliente24-Cliente48</v>
      </c>
      <c r="M1457">
        <v>205.70917299999999</v>
      </c>
    </row>
    <row r="1458" spans="1:13" x14ac:dyDescent="0.25">
      <c r="A1458" s="15" t="s">
        <v>4294</v>
      </c>
      <c r="B1458" s="15" t="s">
        <v>4319</v>
      </c>
      <c r="C1458" s="52">
        <v>199.346937</v>
      </c>
      <c r="D1458" s="25">
        <v>0.17152777777777775</v>
      </c>
      <c r="E1458" s="53">
        <v>-23.372620000000001</v>
      </c>
      <c r="F1458" s="53">
        <v>-46.778390000000002</v>
      </c>
      <c r="G1458" s="53">
        <v>-22.921012000000001</v>
      </c>
      <c r="H1458" s="53">
        <v>-47.132838</v>
      </c>
      <c r="I1458" s="53">
        <v>-22.228504999999998</v>
      </c>
      <c r="J1458" s="53">
        <v>-47.391308000000002</v>
      </c>
      <c r="L1458" s="61" t="str">
        <f t="shared" si="23"/>
        <v>Cliente24-Cliente49</v>
      </c>
      <c r="M1458">
        <v>199.346937</v>
      </c>
    </row>
    <row r="1459" spans="1:13" x14ac:dyDescent="0.25">
      <c r="A1459" s="15" t="s">
        <v>4294</v>
      </c>
      <c r="B1459" s="15" t="s">
        <v>4320</v>
      </c>
      <c r="C1459" s="54">
        <v>211.586737</v>
      </c>
      <c r="D1459" s="26">
        <v>0.18055555555555555</v>
      </c>
      <c r="E1459" s="55">
        <v>-23.510475</v>
      </c>
      <c r="F1459" s="55">
        <v>-46.806851000000002</v>
      </c>
      <c r="G1459" s="55">
        <v>-23.3033</v>
      </c>
      <c r="H1459" s="55">
        <v>-47.659455000000001</v>
      </c>
      <c r="I1459" s="55">
        <v>-22.906078000000001</v>
      </c>
      <c r="J1459" s="55">
        <v>-48.451943999999997</v>
      </c>
      <c r="L1459" s="61" t="str">
        <f t="shared" si="23"/>
        <v>Cliente24-Cliente50</v>
      </c>
      <c r="M1459">
        <v>211.586737</v>
      </c>
    </row>
    <row r="1460" spans="1:13" x14ac:dyDescent="0.25">
      <c r="A1460" s="15" t="s">
        <v>4294</v>
      </c>
      <c r="B1460" s="15" t="s">
        <v>4321</v>
      </c>
      <c r="C1460" s="52">
        <v>208.11885599999999</v>
      </c>
      <c r="D1460" s="25">
        <v>0.17708333333333334</v>
      </c>
      <c r="E1460" s="53">
        <v>-23.509549</v>
      </c>
      <c r="F1460" s="53">
        <v>-46.807088999999998</v>
      </c>
      <c r="G1460" s="53">
        <v>-23.320460000000001</v>
      </c>
      <c r="H1460" s="53">
        <v>-47.580190000000002</v>
      </c>
      <c r="I1460" s="53">
        <v>-23.070160000000001</v>
      </c>
      <c r="J1460" s="53">
        <v>-48.531086000000002</v>
      </c>
      <c r="L1460" s="61" t="str">
        <f t="shared" si="23"/>
        <v>Cliente24-Cliente51</v>
      </c>
      <c r="M1460">
        <v>208.11885599999999</v>
      </c>
    </row>
    <row r="1461" spans="1:13" x14ac:dyDescent="0.25">
      <c r="A1461" s="15" t="s">
        <v>4295</v>
      </c>
      <c r="B1461" s="15" t="s">
        <v>4268</v>
      </c>
      <c r="C1461" s="54">
        <v>64.938422000000003</v>
      </c>
      <c r="D1461" s="26">
        <v>6.1111111111111116E-2</v>
      </c>
      <c r="E1461" s="55">
        <v>-23.622385000000001</v>
      </c>
      <c r="F1461" s="55">
        <v>-46.829199000000003</v>
      </c>
      <c r="G1461" s="55">
        <v>-23.517258999999999</v>
      </c>
      <c r="H1461" s="55">
        <v>-46.932979000000003</v>
      </c>
      <c r="I1461" s="55">
        <v>-23.418655999999999</v>
      </c>
      <c r="J1461" s="55">
        <v>-47.220267</v>
      </c>
      <c r="L1461" s="61" t="str">
        <f t="shared" si="23"/>
        <v>Cliente25-depósito A</v>
      </c>
      <c r="M1461">
        <v>64.938422000000003</v>
      </c>
    </row>
    <row r="1462" spans="1:13" x14ac:dyDescent="0.25">
      <c r="A1462" s="15" t="s">
        <v>4295</v>
      </c>
      <c r="B1462" s="15" t="s">
        <v>4269</v>
      </c>
      <c r="C1462" s="52">
        <v>179.449961</v>
      </c>
      <c r="D1462" s="25">
        <v>0.15833333333333333</v>
      </c>
      <c r="E1462" s="53">
        <v>-23.514849999999999</v>
      </c>
      <c r="F1462" s="53">
        <v>-46.816324999999999</v>
      </c>
      <c r="G1462" s="53">
        <v>-23.110809</v>
      </c>
      <c r="H1462" s="53">
        <v>-47.003709000000001</v>
      </c>
      <c r="I1462" s="53">
        <v>-22.519418999999999</v>
      </c>
      <c r="J1462" s="53">
        <v>-47.393290999999998</v>
      </c>
      <c r="L1462" s="61" t="str">
        <f t="shared" si="23"/>
        <v>Cliente25-depósito B</v>
      </c>
      <c r="M1462">
        <v>179.449961</v>
      </c>
    </row>
    <row r="1463" spans="1:13" x14ac:dyDescent="0.25">
      <c r="A1463" s="15" t="s">
        <v>4295</v>
      </c>
      <c r="B1463" s="15" t="s">
        <v>4270</v>
      </c>
      <c r="C1463" s="54">
        <v>60.216611</v>
      </c>
      <c r="D1463" s="26">
        <v>7.1527777777777787E-2</v>
      </c>
      <c r="E1463" s="55">
        <v>-23.564664</v>
      </c>
      <c r="F1463" s="55">
        <v>-46.677475000000001</v>
      </c>
      <c r="G1463" s="55">
        <v>-23.522010000000002</v>
      </c>
      <c r="H1463" s="55">
        <v>-46.613914999999999</v>
      </c>
      <c r="I1463" s="55">
        <v>-23.368745000000001</v>
      </c>
      <c r="J1463" s="55">
        <v>-46.234957999999999</v>
      </c>
      <c r="L1463" s="61" t="str">
        <f t="shared" si="23"/>
        <v>Cliente25-depósito C</v>
      </c>
      <c r="M1463">
        <v>60.216611</v>
      </c>
    </row>
    <row r="1464" spans="1:13" x14ac:dyDescent="0.25">
      <c r="A1464" s="15" t="s">
        <v>4295</v>
      </c>
      <c r="B1464" s="15" t="s">
        <v>4271</v>
      </c>
      <c r="C1464" s="52">
        <v>65.864889000000005</v>
      </c>
      <c r="D1464" s="25">
        <v>6.3888888888888884E-2</v>
      </c>
      <c r="E1464" s="53">
        <v>-23.590230999999999</v>
      </c>
      <c r="F1464" s="53">
        <v>-46.809534999999997</v>
      </c>
      <c r="G1464" s="53">
        <v>-23.378996999999998</v>
      </c>
      <c r="H1464" s="53">
        <v>-46.771318000000001</v>
      </c>
      <c r="I1464" s="53">
        <v>-23.137132000000001</v>
      </c>
      <c r="J1464" s="53">
        <v>-46.977894999999997</v>
      </c>
      <c r="L1464" s="61" t="str">
        <f t="shared" si="23"/>
        <v>Cliente25-Cliente1</v>
      </c>
      <c r="M1464">
        <v>65.864889000000005</v>
      </c>
    </row>
    <row r="1465" spans="1:13" x14ac:dyDescent="0.25">
      <c r="A1465" s="15" t="s">
        <v>4295</v>
      </c>
      <c r="B1465" s="15" t="s">
        <v>4272</v>
      </c>
      <c r="C1465" s="54">
        <v>69.296109000000001</v>
      </c>
      <c r="D1465" s="26">
        <v>6.9444444444444434E-2</v>
      </c>
      <c r="E1465" s="55">
        <v>-23.578192999999999</v>
      </c>
      <c r="F1465" s="55">
        <v>-46.809171999999997</v>
      </c>
      <c r="G1465" s="55">
        <v>-23.350467999999999</v>
      </c>
      <c r="H1465" s="55">
        <v>-46.806269</v>
      </c>
      <c r="I1465" s="55">
        <v>-23.060001</v>
      </c>
      <c r="J1465" s="55">
        <v>-47.041607999999997</v>
      </c>
      <c r="L1465" s="61" t="str">
        <f t="shared" si="23"/>
        <v>Cliente25-Cliente2</v>
      </c>
      <c r="M1465">
        <v>69.296109000000001</v>
      </c>
    </row>
    <row r="1466" spans="1:13" x14ac:dyDescent="0.25">
      <c r="A1466" s="15" t="s">
        <v>4295</v>
      </c>
      <c r="B1466" s="15" t="s">
        <v>4273</v>
      </c>
      <c r="C1466" s="52">
        <v>67.612189000000001</v>
      </c>
      <c r="D1466" s="25">
        <v>6.6666666666666666E-2</v>
      </c>
      <c r="E1466" s="53">
        <v>-23.585388999999999</v>
      </c>
      <c r="F1466" s="53">
        <v>-46.808387000000003</v>
      </c>
      <c r="G1466" s="53">
        <v>-23.360415</v>
      </c>
      <c r="H1466" s="53">
        <v>-46.784390999999999</v>
      </c>
      <c r="I1466" s="53">
        <v>-23.114035000000001</v>
      </c>
      <c r="J1466" s="53">
        <v>-46.998390000000001</v>
      </c>
      <c r="L1466" s="61" t="str">
        <f t="shared" si="23"/>
        <v>Cliente25-Cliente3</v>
      </c>
      <c r="M1466">
        <v>67.612189000000001</v>
      </c>
    </row>
    <row r="1467" spans="1:13" x14ac:dyDescent="0.25">
      <c r="A1467" s="15" t="s">
        <v>4295</v>
      </c>
      <c r="B1467" s="15" t="s">
        <v>4274</v>
      </c>
      <c r="C1467" s="54">
        <v>77.769148000000001</v>
      </c>
      <c r="D1467" s="26">
        <v>7.3611111111111113E-2</v>
      </c>
      <c r="E1467" s="55">
        <v>-23.567155</v>
      </c>
      <c r="F1467" s="55">
        <v>-46.817639</v>
      </c>
      <c r="G1467" s="55">
        <v>-23.335598000000001</v>
      </c>
      <c r="H1467" s="55">
        <v>-46.822468999999998</v>
      </c>
      <c r="I1467" s="55">
        <v>-23.022109</v>
      </c>
      <c r="J1467" s="55">
        <v>-47.077204000000002</v>
      </c>
      <c r="L1467" s="61" t="str">
        <f t="shared" si="23"/>
        <v>Cliente25-Cliente4</v>
      </c>
      <c r="M1467">
        <v>77.769148000000001</v>
      </c>
    </row>
    <row r="1468" spans="1:13" x14ac:dyDescent="0.25">
      <c r="A1468" s="15" t="s">
        <v>4295</v>
      </c>
      <c r="B1468" s="15" t="s">
        <v>4275</v>
      </c>
      <c r="C1468" s="52">
        <v>77.862353999999996</v>
      </c>
      <c r="D1468" s="25">
        <v>7.4305555555555555E-2</v>
      </c>
      <c r="E1468" s="53">
        <v>-23.568531</v>
      </c>
      <c r="F1468" s="53">
        <v>-46.814585999999998</v>
      </c>
      <c r="G1468" s="53">
        <v>-23.338782999999999</v>
      </c>
      <c r="H1468" s="53">
        <v>-46.820939000000003</v>
      </c>
      <c r="I1468" s="53">
        <v>-23.037751</v>
      </c>
      <c r="J1468" s="53">
        <v>-47.068987999999997</v>
      </c>
      <c r="L1468" s="61" t="str">
        <f t="shared" si="23"/>
        <v>Cliente25-Cliente5</v>
      </c>
      <c r="M1468">
        <v>77.862353999999996</v>
      </c>
    </row>
    <row r="1469" spans="1:13" x14ac:dyDescent="0.25">
      <c r="A1469" s="15" t="s">
        <v>4295</v>
      </c>
      <c r="B1469" s="15" t="s">
        <v>4276</v>
      </c>
      <c r="C1469" s="54">
        <v>59.900953000000001</v>
      </c>
      <c r="D1469" s="26">
        <v>6.25E-2</v>
      </c>
      <c r="E1469" s="55">
        <v>-23.588819000000001</v>
      </c>
      <c r="F1469" s="55">
        <v>-46.809178000000003</v>
      </c>
      <c r="G1469" s="55">
        <v>-23.371956000000001</v>
      </c>
      <c r="H1469" s="55">
        <v>-46.778807999999998</v>
      </c>
      <c r="I1469" s="55">
        <v>-23.156079999999999</v>
      </c>
      <c r="J1469" s="55">
        <v>-46.934283000000001</v>
      </c>
      <c r="L1469" s="61" t="str">
        <f t="shared" si="23"/>
        <v>Cliente25-Cliente6</v>
      </c>
      <c r="M1469">
        <v>59.900953000000001</v>
      </c>
    </row>
    <row r="1470" spans="1:13" x14ac:dyDescent="0.25">
      <c r="A1470" s="15" t="s">
        <v>4295</v>
      </c>
      <c r="B1470" s="15" t="s">
        <v>4277</v>
      </c>
      <c r="C1470" s="52">
        <v>64.955820000000003</v>
      </c>
      <c r="D1470" s="25">
        <v>6.3888888888888884E-2</v>
      </c>
      <c r="E1470" s="53">
        <v>-23.592192000000001</v>
      </c>
      <c r="F1470" s="53">
        <v>-46.808031999999997</v>
      </c>
      <c r="G1470" s="53">
        <v>-23.410371000000001</v>
      </c>
      <c r="H1470" s="53">
        <v>-46.767124000000003</v>
      </c>
      <c r="I1470" s="53">
        <v>-23.175522999999998</v>
      </c>
      <c r="J1470" s="53">
        <v>-46.936413000000002</v>
      </c>
      <c r="L1470" s="61" t="str">
        <f t="shared" si="23"/>
        <v>Cliente25-Cliente7</v>
      </c>
      <c r="M1470">
        <v>64.955820000000003</v>
      </c>
    </row>
    <row r="1471" spans="1:13" x14ac:dyDescent="0.25">
      <c r="A1471" s="15" t="s">
        <v>4295</v>
      </c>
      <c r="B1471" s="15" t="s">
        <v>4278</v>
      </c>
      <c r="C1471" s="54">
        <v>73.985608999999997</v>
      </c>
      <c r="D1471" s="26">
        <v>7.1527777777777787E-2</v>
      </c>
      <c r="E1471" s="55">
        <v>-23.566672000000001</v>
      </c>
      <c r="F1471" s="55">
        <v>-46.818356000000001</v>
      </c>
      <c r="G1471" s="55">
        <v>-23.333337</v>
      </c>
      <c r="H1471" s="55">
        <v>-46.822927999999997</v>
      </c>
      <c r="I1471" s="55">
        <v>-23.015789000000002</v>
      </c>
      <c r="J1471" s="55">
        <v>-47.082749</v>
      </c>
      <c r="L1471" s="61" t="str">
        <f t="shared" si="23"/>
        <v>Cliente25-Cliente8</v>
      </c>
      <c r="M1471">
        <v>73.985608999999997</v>
      </c>
    </row>
    <row r="1472" spans="1:13" x14ac:dyDescent="0.25">
      <c r="A1472" s="15" t="s">
        <v>4295</v>
      </c>
      <c r="B1472" s="15" t="s">
        <v>4279</v>
      </c>
      <c r="C1472" s="52">
        <v>86.098648999999995</v>
      </c>
      <c r="D1472" s="25">
        <v>8.7500000000000008E-2</v>
      </c>
      <c r="E1472" s="53">
        <v>-23.572227999999999</v>
      </c>
      <c r="F1472" s="53">
        <v>-46.700378999999998</v>
      </c>
      <c r="G1472" s="53">
        <v>-23.352838999999999</v>
      </c>
      <c r="H1472" s="53">
        <v>-46.795521999999998</v>
      </c>
      <c r="I1472" s="53">
        <v>-23.039894</v>
      </c>
      <c r="J1472" s="53">
        <v>-47.066622000000002</v>
      </c>
      <c r="L1472" s="61" t="str">
        <f t="shared" si="23"/>
        <v>Cliente25-Cliente9</v>
      </c>
      <c r="M1472">
        <v>86.098648999999995</v>
      </c>
    </row>
    <row r="1473" spans="1:13" x14ac:dyDescent="0.25">
      <c r="A1473" s="15" t="s">
        <v>4295</v>
      </c>
      <c r="B1473" s="15" t="s">
        <v>4280</v>
      </c>
      <c r="C1473" s="54">
        <v>17.080293999999999</v>
      </c>
      <c r="D1473" s="26">
        <v>3.9583333333333331E-2</v>
      </c>
      <c r="E1473" s="55">
        <v>-23.595161999999998</v>
      </c>
      <c r="F1473" s="55">
        <v>-46.738621000000002</v>
      </c>
      <c r="G1473" s="55">
        <v>-23.541630999999999</v>
      </c>
      <c r="H1473" s="55">
        <v>-46.676141999999999</v>
      </c>
      <c r="I1473" s="55">
        <v>-23.508541000000001</v>
      </c>
      <c r="J1473" s="55">
        <v>-46.687511000000001</v>
      </c>
      <c r="L1473" s="61" t="str">
        <f t="shared" si="23"/>
        <v>Cliente25-Cliente10</v>
      </c>
      <c r="M1473">
        <v>17.080293999999999</v>
      </c>
    </row>
    <row r="1474" spans="1:13" x14ac:dyDescent="0.25">
      <c r="A1474" s="15" t="s">
        <v>4295</v>
      </c>
      <c r="B1474" s="15" t="s">
        <v>4281</v>
      </c>
      <c r="C1474" s="52">
        <v>103.31999500000001</v>
      </c>
      <c r="D1474" s="25">
        <v>9.5833333333333326E-2</v>
      </c>
      <c r="E1474" s="53">
        <v>-23.550287000000001</v>
      </c>
      <c r="F1474" s="53">
        <v>-46.725838000000003</v>
      </c>
      <c r="G1474" s="53">
        <v>-23.307998999999999</v>
      </c>
      <c r="H1474" s="53">
        <v>-46.835209999999996</v>
      </c>
      <c r="I1474" s="53">
        <v>-22.922293</v>
      </c>
      <c r="J1474" s="53">
        <v>-47.132106999999998</v>
      </c>
      <c r="L1474" s="61" t="str">
        <f t="shared" si="23"/>
        <v>Cliente25-Cliente11</v>
      </c>
      <c r="M1474">
        <v>103.31999500000001</v>
      </c>
    </row>
    <row r="1475" spans="1:13" x14ac:dyDescent="0.25">
      <c r="A1475" s="15" t="s">
        <v>4295</v>
      </c>
      <c r="B1475" s="15" t="s">
        <v>4282</v>
      </c>
      <c r="C1475" s="54">
        <v>59.257832000000001</v>
      </c>
      <c r="D1475" s="26">
        <v>7.1527777777777787E-2</v>
      </c>
      <c r="E1475" s="55">
        <v>-23.564624999999999</v>
      </c>
      <c r="F1475" s="55">
        <v>-46.677520000000001</v>
      </c>
      <c r="G1475" s="55">
        <v>-23.523140000000001</v>
      </c>
      <c r="H1475" s="55">
        <v>-46.612188000000003</v>
      </c>
      <c r="I1475" s="55">
        <v>-23.363319000000001</v>
      </c>
      <c r="J1475" s="55">
        <v>-46.222892000000002</v>
      </c>
      <c r="L1475" s="61" t="str">
        <f t="shared" si="23"/>
        <v>Cliente25-Cliente12</v>
      </c>
      <c r="M1475">
        <v>59.257832000000001</v>
      </c>
    </row>
    <row r="1476" spans="1:13" x14ac:dyDescent="0.25">
      <c r="A1476" s="15" t="s">
        <v>4295</v>
      </c>
      <c r="B1476" s="15" t="s">
        <v>4283</v>
      </c>
      <c r="C1476" s="52">
        <v>67.505933999999996</v>
      </c>
      <c r="D1476" s="25">
        <v>7.7083333333333337E-2</v>
      </c>
      <c r="E1476" s="53">
        <v>-23.563972</v>
      </c>
      <c r="F1476" s="53">
        <v>-46.677216000000001</v>
      </c>
      <c r="G1476" s="53">
        <v>-23.523809</v>
      </c>
      <c r="H1476" s="53">
        <v>-46.608463</v>
      </c>
      <c r="I1476" s="53">
        <v>-23.351811999999999</v>
      </c>
      <c r="J1476" s="53">
        <v>-46.188622000000002</v>
      </c>
      <c r="L1476" s="61" t="str">
        <f t="shared" si="23"/>
        <v>Cliente25-Cliente13</v>
      </c>
      <c r="M1476">
        <v>67.505933999999996</v>
      </c>
    </row>
    <row r="1477" spans="1:13" x14ac:dyDescent="0.25">
      <c r="A1477" s="15" t="s">
        <v>4295</v>
      </c>
      <c r="B1477" s="15" t="s">
        <v>4284</v>
      </c>
      <c r="C1477" s="54">
        <v>65.568494000000001</v>
      </c>
      <c r="D1477" s="26">
        <v>7.4305555555555555E-2</v>
      </c>
      <c r="E1477" s="55">
        <v>-23.572572000000001</v>
      </c>
      <c r="F1477" s="55">
        <v>-46.704022000000002</v>
      </c>
      <c r="G1477" s="55">
        <v>-23.519825000000001</v>
      </c>
      <c r="H1477" s="55">
        <v>-46.630136999999998</v>
      </c>
      <c r="I1477" s="55">
        <v>-23.375783999999999</v>
      </c>
      <c r="J1477" s="55">
        <v>-46.246727</v>
      </c>
      <c r="L1477" s="61" t="str">
        <f t="shared" si="23"/>
        <v>Cliente25-Cliente14</v>
      </c>
      <c r="M1477">
        <v>65.568494000000001</v>
      </c>
    </row>
    <row r="1478" spans="1:13" x14ac:dyDescent="0.25">
      <c r="A1478" s="15" t="s">
        <v>4295</v>
      </c>
      <c r="B1478" s="15" t="s">
        <v>4285</v>
      </c>
      <c r="C1478" s="52">
        <v>67.947108999999998</v>
      </c>
      <c r="D1478" s="25">
        <v>8.0555555555555561E-2</v>
      </c>
      <c r="E1478" s="53">
        <v>-23.563972</v>
      </c>
      <c r="F1478" s="53">
        <v>-46.677216000000001</v>
      </c>
      <c r="G1478" s="53">
        <v>-23.523809</v>
      </c>
      <c r="H1478" s="53">
        <v>-46.608463</v>
      </c>
      <c r="I1478" s="53">
        <v>-23.351811999999999</v>
      </c>
      <c r="J1478" s="53">
        <v>-46.188622000000002</v>
      </c>
      <c r="L1478" s="61" t="str">
        <f t="shared" si="23"/>
        <v>Cliente25-Cliente15</v>
      </c>
      <c r="M1478">
        <v>67.947108999999998</v>
      </c>
    </row>
    <row r="1479" spans="1:13" x14ac:dyDescent="0.25">
      <c r="A1479" s="15" t="s">
        <v>4295</v>
      </c>
      <c r="B1479" s="15" t="s">
        <v>4286</v>
      </c>
      <c r="C1479" s="54">
        <v>66.877725999999996</v>
      </c>
      <c r="D1479" s="26">
        <v>7.8472222222222221E-2</v>
      </c>
      <c r="E1479" s="55">
        <v>-23.564187</v>
      </c>
      <c r="F1479" s="55">
        <v>-46.677078999999999</v>
      </c>
      <c r="G1479" s="55">
        <v>-23.523364999999998</v>
      </c>
      <c r="H1479" s="55">
        <v>-46.606293999999998</v>
      </c>
      <c r="I1479" s="55">
        <v>-23.352436000000001</v>
      </c>
      <c r="J1479" s="55">
        <v>-46.184086999999998</v>
      </c>
      <c r="L1479" s="61" t="str">
        <f t="shared" si="23"/>
        <v>Cliente25-Cliente16</v>
      </c>
      <c r="M1479">
        <v>66.877725999999996</v>
      </c>
    </row>
    <row r="1480" spans="1:13" x14ac:dyDescent="0.25">
      <c r="A1480" s="15" t="s">
        <v>4295</v>
      </c>
      <c r="B1480" s="15" t="s">
        <v>4287</v>
      </c>
      <c r="C1480" s="52">
        <v>67.569314000000006</v>
      </c>
      <c r="D1480" s="25">
        <v>7.7083333333333337E-2</v>
      </c>
      <c r="E1480" s="53">
        <v>-23.557196999999999</v>
      </c>
      <c r="F1480" s="53">
        <v>-46.682518000000002</v>
      </c>
      <c r="G1480" s="53">
        <v>-23.528956999999998</v>
      </c>
      <c r="H1480" s="53">
        <v>-46.596105999999999</v>
      </c>
      <c r="I1480" s="53">
        <v>-23.352357999999999</v>
      </c>
      <c r="J1480" s="53">
        <v>-46.181800000000003</v>
      </c>
      <c r="L1480" s="61" t="str">
        <f t="shared" si="23"/>
        <v>Cliente25-Cliente17</v>
      </c>
      <c r="M1480">
        <v>67.569314000000006</v>
      </c>
    </row>
    <row r="1481" spans="1:13" x14ac:dyDescent="0.25">
      <c r="A1481" s="15" t="s">
        <v>4295</v>
      </c>
      <c r="B1481" s="15" t="s">
        <v>4288</v>
      </c>
      <c r="C1481" s="54">
        <v>72.761505</v>
      </c>
      <c r="D1481" s="26">
        <v>8.1944444444444445E-2</v>
      </c>
      <c r="E1481" s="55">
        <v>-23.571484000000002</v>
      </c>
      <c r="F1481" s="55">
        <v>-46.694724000000001</v>
      </c>
      <c r="G1481" s="55">
        <v>-23.520979000000001</v>
      </c>
      <c r="H1481" s="55">
        <v>-46.615433000000003</v>
      </c>
      <c r="I1481" s="55">
        <v>-23.359524</v>
      </c>
      <c r="J1481" s="55">
        <v>-46.217002999999998</v>
      </c>
      <c r="L1481" s="61" t="str">
        <f t="shared" si="23"/>
        <v>Cliente25-Cliente18</v>
      </c>
      <c r="M1481">
        <v>72.761505</v>
      </c>
    </row>
    <row r="1482" spans="1:13" x14ac:dyDescent="0.25">
      <c r="A1482" s="15" t="s">
        <v>4295</v>
      </c>
      <c r="B1482" s="15" t="s">
        <v>4289</v>
      </c>
      <c r="C1482" s="52">
        <v>10.769011000000001</v>
      </c>
      <c r="D1482" s="25">
        <v>2.7777777777777776E-2</v>
      </c>
      <c r="E1482" s="53">
        <v>-23.599497</v>
      </c>
      <c r="F1482" s="53">
        <v>-46.747242</v>
      </c>
      <c r="G1482" s="53">
        <v>-23.572531999999999</v>
      </c>
      <c r="H1482" s="53">
        <v>-46.704073999999999</v>
      </c>
      <c r="I1482" s="53">
        <v>-23.535163000000001</v>
      </c>
      <c r="J1482" s="53">
        <v>-46.674126999999999</v>
      </c>
      <c r="L1482" s="61" t="str">
        <f t="shared" si="23"/>
        <v>Cliente25-Cliente19</v>
      </c>
      <c r="M1482">
        <v>10.769011000000001</v>
      </c>
    </row>
    <row r="1483" spans="1:13" x14ac:dyDescent="0.25">
      <c r="A1483" s="15" t="s">
        <v>4295</v>
      </c>
      <c r="B1483" s="15" t="s">
        <v>4290</v>
      </c>
      <c r="C1483" s="54">
        <v>8.4941650000000006</v>
      </c>
      <c r="D1483" s="26">
        <v>2.013888888888889E-2</v>
      </c>
      <c r="E1483" s="55">
        <v>-23.599497</v>
      </c>
      <c r="F1483" s="55">
        <v>-46.747242</v>
      </c>
      <c r="G1483" s="55">
        <v>-23.584980000000002</v>
      </c>
      <c r="H1483" s="55">
        <v>-46.739600000000003</v>
      </c>
      <c r="I1483" s="55">
        <v>-23.567646</v>
      </c>
      <c r="J1483" s="55">
        <v>-46.756552999999997</v>
      </c>
      <c r="L1483" s="61" t="str">
        <f t="shared" si="23"/>
        <v>Cliente25-Cliente20</v>
      </c>
      <c r="M1483">
        <v>8.4941650000000006</v>
      </c>
    </row>
    <row r="1484" spans="1:13" x14ac:dyDescent="0.25">
      <c r="A1484" s="15" t="s">
        <v>4295</v>
      </c>
      <c r="B1484" s="15" t="s">
        <v>4291</v>
      </c>
      <c r="C1484" s="52">
        <v>9.1142950000000003</v>
      </c>
      <c r="D1484" s="25">
        <v>1.9444444444444445E-2</v>
      </c>
      <c r="E1484" s="53">
        <v>-23.602906000000001</v>
      </c>
      <c r="F1484" s="53">
        <v>-46.743673000000001</v>
      </c>
      <c r="G1484" s="53">
        <v>-23.595161999999998</v>
      </c>
      <c r="H1484" s="53">
        <v>-46.738621000000002</v>
      </c>
      <c r="I1484" s="53">
        <v>-23.572479000000001</v>
      </c>
      <c r="J1484" s="53">
        <v>-46.699117000000001</v>
      </c>
      <c r="L1484" s="61" t="str">
        <f t="shared" si="23"/>
        <v>Cliente25-Cliente21</v>
      </c>
      <c r="M1484">
        <v>9.1142950000000003</v>
      </c>
    </row>
    <row r="1485" spans="1:13" x14ac:dyDescent="0.25">
      <c r="A1485" s="15" t="s">
        <v>4295</v>
      </c>
      <c r="B1485" s="15" t="s">
        <v>4292</v>
      </c>
      <c r="C1485" s="54">
        <v>8.3251519999999992</v>
      </c>
      <c r="D1485" s="26">
        <v>2.013888888888889E-2</v>
      </c>
      <c r="E1485" s="55">
        <v>-23.602615</v>
      </c>
      <c r="F1485" s="55">
        <v>-46.743673000000001</v>
      </c>
      <c r="G1485" s="55">
        <v>-23.58924</v>
      </c>
      <c r="H1485" s="55">
        <v>-46.728935</v>
      </c>
      <c r="I1485" s="55">
        <v>-23.57227</v>
      </c>
      <c r="J1485" s="55">
        <v>-46.700128999999997</v>
      </c>
      <c r="L1485" s="61" t="str">
        <f t="shared" si="23"/>
        <v>Cliente25-Cliente22</v>
      </c>
      <c r="M1485">
        <v>8.3251519999999992</v>
      </c>
    </row>
    <row r="1486" spans="1:13" x14ac:dyDescent="0.25">
      <c r="A1486" s="15" t="s">
        <v>4295</v>
      </c>
      <c r="B1486" s="15" t="s">
        <v>4293</v>
      </c>
      <c r="C1486" s="52">
        <v>2.8949760000000002</v>
      </c>
      <c r="D1486" s="25">
        <v>9.7222222222222224E-3</v>
      </c>
      <c r="E1486" s="53">
        <v>-23.607067000000001</v>
      </c>
      <c r="F1486" s="53">
        <v>-46.750611999999997</v>
      </c>
      <c r="G1486" s="53">
        <v>-23.599674</v>
      </c>
      <c r="H1486" s="53">
        <v>-46.747284999999998</v>
      </c>
      <c r="I1486" s="53">
        <v>-23.590613999999999</v>
      </c>
      <c r="J1486" s="53">
        <v>-46.736623999999999</v>
      </c>
      <c r="L1486" s="61" t="str">
        <f t="shared" si="23"/>
        <v>Cliente25-Cliente23</v>
      </c>
      <c r="M1486">
        <v>2.8949760000000002</v>
      </c>
    </row>
    <row r="1487" spans="1:13" x14ac:dyDescent="0.25">
      <c r="A1487" s="15" t="s">
        <v>4295</v>
      </c>
      <c r="B1487" s="15" t="s">
        <v>4294</v>
      </c>
      <c r="C1487" s="54">
        <v>2.4140329999999999</v>
      </c>
      <c r="D1487" s="26">
        <v>8.3333333333333332E-3</v>
      </c>
      <c r="E1487" s="55">
        <v>-23.609976</v>
      </c>
      <c r="F1487" s="55">
        <v>-46.752243</v>
      </c>
      <c r="G1487" s="55">
        <v>-23.602906000000001</v>
      </c>
      <c r="H1487" s="55">
        <v>-46.743673000000001</v>
      </c>
      <c r="I1487" s="55">
        <v>-23.597666</v>
      </c>
      <c r="J1487" s="55">
        <v>-46.747160999999998</v>
      </c>
      <c r="L1487" s="61" t="str">
        <f t="shared" si="23"/>
        <v>Cliente25-Cliente24</v>
      </c>
      <c r="M1487">
        <v>2.4140329999999999</v>
      </c>
    </row>
    <row r="1488" spans="1:13" x14ac:dyDescent="0.25">
      <c r="A1488" s="15" t="s">
        <v>4295</v>
      </c>
      <c r="B1488" s="15" t="s">
        <v>4295</v>
      </c>
      <c r="C1488" s="52">
        <v>0</v>
      </c>
      <c r="D1488" s="25">
        <v>0</v>
      </c>
      <c r="E1488" s="53">
        <f>'1. Locais'!D29</f>
        <v>-23.60962</v>
      </c>
      <c r="F1488" s="53">
        <f>'1. Locais'!E29</f>
        <v>-46.752960000000002</v>
      </c>
      <c r="G1488" s="53">
        <f>'1. Locais'!D29</f>
        <v>-23.60962</v>
      </c>
      <c r="H1488" s="53">
        <f>'1. Locais'!E29</f>
        <v>-46.752960000000002</v>
      </c>
      <c r="I1488" s="53">
        <f>'1. Locais'!D29</f>
        <v>-23.60962</v>
      </c>
      <c r="J1488" s="53">
        <f>'1. Locais'!E29</f>
        <v>-46.752960000000002</v>
      </c>
      <c r="L1488" s="61" t="str">
        <f t="shared" si="23"/>
        <v>Cliente25-Cliente25</v>
      </c>
      <c r="M1488">
        <v>0</v>
      </c>
    </row>
    <row r="1489" spans="1:13" x14ac:dyDescent="0.25">
      <c r="A1489" s="15" t="s">
        <v>4295</v>
      </c>
      <c r="B1489" s="15" t="s">
        <v>4296</v>
      </c>
      <c r="C1489" s="54">
        <v>9.2516189999999998</v>
      </c>
      <c r="D1489" s="26">
        <v>1.7361111111111112E-2</v>
      </c>
      <c r="E1489" s="55">
        <v>-23.599497</v>
      </c>
      <c r="F1489" s="55">
        <v>-46.747242</v>
      </c>
      <c r="G1489" s="55">
        <v>-23.584980000000002</v>
      </c>
      <c r="H1489" s="55">
        <v>-46.739600000000003</v>
      </c>
      <c r="I1489" s="55">
        <v>-23.589148999999999</v>
      </c>
      <c r="J1489" s="55">
        <v>-46.81559</v>
      </c>
      <c r="L1489" s="61" t="str">
        <f t="shared" si="23"/>
        <v>Cliente25-Cliente26</v>
      </c>
      <c r="M1489">
        <v>9.2516189999999998</v>
      </c>
    </row>
    <row r="1490" spans="1:13" x14ac:dyDescent="0.25">
      <c r="A1490" s="15" t="s">
        <v>4295</v>
      </c>
      <c r="B1490" s="15" t="s">
        <v>4297</v>
      </c>
      <c r="C1490" s="52">
        <v>1.427915</v>
      </c>
      <c r="D1490" s="25">
        <v>4.8611111111111112E-3</v>
      </c>
      <c r="E1490" s="53">
        <v>-23.611526999999999</v>
      </c>
      <c r="F1490" s="53">
        <v>-46.754063000000002</v>
      </c>
      <c r="G1490" s="53">
        <v>-23.610081000000001</v>
      </c>
      <c r="H1490" s="53">
        <v>-46.752267000000003</v>
      </c>
      <c r="I1490" s="53">
        <v>-23.606318999999999</v>
      </c>
      <c r="J1490" s="53">
        <v>-46.748058</v>
      </c>
      <c r="L1490" s="61" t="str">
        <f t="shared" ref="L1490:L1553" si="24">_xlfn.CONCAT(A1490,"-",B1490)</f>
        <v>Cliente25-Cliente27</v>
      </c>
      <c r="M1490">
        <v>1.427915</v>
      </c>
    </row>
    <row r="1491" spans="1:13" x14ac:dyDescent="0.25">
      <c r="A1491" s="15" t="s">
        <v>4295</v>
      </c>
      <c r="B1491" s="15" t="s">
        <v>4298</v>
      </c>
      <c r="C1491" s="54">
        <v>12.034746999999999</v>
      </c>
      <c r="D1491" s="26">
        <v>2.7777777777777776E-2</v>
      </c>
      <c r="E1491" s="55">
        <v>-23.615269000000001</v>
      </c>
      <c r="F1491" s="55">
        <v>-46.742541000000003</v>
      </c>
      <c r="G1491" s="55">
        <v>-23.644669</v>
      </c>
      <c r="H1491" s="55">
        <v>-46.725721</v>
      </c>
      <c r="I1491" s="55">
        <v>-23.626415000000001</v>
      </c>
      <c r="J1491" s="55">
        <v>-46.687508999999999</v>
      </c>
      <c r="L1491" s="61" t="str">
        <f t="shared" si="24"/>
        <v>Cliente25-Cliente28</v>
      </c>
      <c r="M1491">
        <v>12.034746999999999</v>
      </c>
    </row>
    <row r="1492" spans="1:13" x14ac:dyDescent="0.25">
      <c r="A1492" s="15" t="s">
        <v>4295</v>
      </c>
      <c r="B1492" s="15" t="s">
        <v>4299</v>
      </c>
      <c r="C1492" s="52">
        <v>18.769805999999999</v>
      </c>
      <c r="D1492" s="25">
        <v>3.6111111111111115E-2</v>
      </c>
      <c r="E1492" s="53">
        <v>-23.596201000000001</v>
      </c>
      <c r="F1492" s="53">
        <v>-46.739460000000001</v>
      </c>
      <c r="G1492" s="53">
        <v>-23.600097999999999</v>
      </c>
      <c r="H1492" s="53">
        <v>-46.684631000000003</v>
      </c>
      <c r="I1492" s="53">
        <v>-23.620408999999999</v>
      </c>
      <c r="J1492" s="53">
        <v>-46.610177</v>
      </c>
      <c r="L1492" s="61" t="str">
        <f t="shared" si="24"/>
        <v>Cliente25-Cliente29</v>
      </c>
      <c r="M1492">
        <v>18.769805999999999</v>
      </c>
    </row>
    <row r="1493" spans="1:13" x14ac:dyDescent="0.25">
      <c r="A1493" s="15" t="s">
        <v>4295</v>
      </c>
      <c r="B1493" s="15" t="s">
        <v>4300</v>
      </c>
      <c r="C1493" s="54">
        <v>24.645506999999998</v>
      </c>
      <c r="D1493" s="26">
        <v>5.347222222222222E-2</v>
      </c>
      <c r="E1493" s="55">
        <v>-23.642578</v>
      </c>
      <c r="F1493" s="55">
        <v>-46.724938999999999</v>
      </c>
      <c r="G1493" s="55">
        <v>-23.678101999999999</v>
      </c>
      <c r="H1493" s="55">
        <v>-46.641232000000002</v>
      </c>
      <c r="I1493" s="55">
        <v>-23.659096000000002</v>
      </c>
      <c r="J1493" s="55">
        <v>-46.553829999999998</v>
      </c>
      <c r="L1493" s="61" t="str">
        <f t="shared" si="24"/>
        <v>Cliente25-Cliente30</v>
      </c>
      <c r="M1493">
        <v>24.645506999999998</v>
      </c>
    </row>
    <row r="1494" spans="1:13" x14ac:dyDescent="0.25">
      <c r="A1494" s="15" t="s">
        <v>4295</v>
      </c>
      <c r="B1494" s="15" t="s">
        <v>4301</v>
      </c>
      <c r="C1494" s="52">
        <v>8.8309490000000004</v>
      </c>
      <c r="D1494" s="25">
        <v>2.361111111111111E-2</v>
      </c>
      <c r="E1494" s="53">
        <v>-23.597477999999999</v>
      </c>
      <c r="F1494" s="53">
        <v>-46.747109999999999</v>
      </c>
      <c r="G1494" s="53">
        <v>-23.586247</v>
      </c>
      <c r="H1494" s="53">
        <v>-46.748556999999998</v>
      </c>
      <c r="I1494" s="53">
        <v>-23.564847</v>
      </c>
      <c r="J1494" s="53">
        <v>-46.781464</v>
      </c>
      <c r="L1494" s="61" t="str">
        <f t="shared" si="24"/>
        <v>Cliente25-Cliente31</v>
      </c>
      <c r="M1494">
        <v>8.8309490000000004</v>
      </c>
    </row>
    <row r="1495" spans="1:13" x14ac:dyDescent="0.25">
      <c r="A1495" s="15" t="s">
        <v>4295</v>
      </c>
      <c r="B1495" s="15" t="s">
        <v>4302</v>
      </c>
      <c r="C1495" s="54">
        <v>14.758224</v>
      </c>
      <c r="D1495" s="26">
        <v>2.9861111111111113E-2</v>
      </c>
      <c r="E1495" s="55">
        <v>-23.595718000000002</v>
      </c>
      <c r="F1495" s="55">
        <v>-46.740475000000004</v>
      </c>
      <c r="G1495" s="55">
        <v>-23.556695999999999</v>
      </c>
      <c r="H1495" s="55">
        <v>-46.712629</v>
      </c>
      <c r="I1495" s="55">
        <v>-23.511410999999999</v>
      </c>
      <c r="J1495" s="55">
        <v>-46.727435</v>
      </c>
      <c r="L1495" s="61" t="str">
        <f t="shared" si="24"/>
        <v>Cliente25-Cliente32</v>
      </c>
      <c r="M1495">
        <v>14.758224</v>
      </c>
    </row>
    <row r="1496" spans="1:13" x14ac:dyDescent="0.25">
      <c r="A1496" s="15" t="s">
        <v>4295</v>
      </c>
      <c r="B1496" s="15" t="s">
        <v>4303</v>
      </c>
      <c r="C1496" s="52">
        <v>18.272708000000002</v>
      </c>
      <c r="D1496" s="25">
        <v>4.3055555555555562E-2</v>
      </c>
      <c r="E1496" s="53">
        <v>-23.587242</v>
      </c>
      <c r="F1496" s="53">
        <v>-46.725825</v>
      </c>
      <c r="G1496" s="53">
        <v>-23.563133000000001</v>
      </c>
      <c r="H1496" s="53">
        <v>-46.656516000000003</v>
      </c>
      <c r="I1496" s="53">
        <v>-23.505158999999999</v>
      </c>
      <c r="J1496" s="53">
        <v>-46.621651</v>
      </c>
      <c r="L1496" s="61" t="str">
        <f t="shared" si="24"/>
        <v>Cliente25-Cliente33</v>
      </c>
      <c r="M1496">
        <v>18.272708000000002</v>
      </c>
    </row>
    <row r="1497" spans="1:13" x14ac:dyDescent="0.25">
      <c r="A1497" s="15" t="s">
        <v>4295</v>
      </c>
      <c r="B1497" s="15" t="s">
        <v>4304</v>
      </c>
      <c r="C1497" s="54">
        <v>20.399667000000001</v>
      </c>
      <c r="D1497" s="26">
        <v>3.2638888888888891E-2</v>
      </c>
      <c r="E1497" s="55">
        <v>-23.588571000000002</v>
      </c>
      <c r="F1497" s="55">
        <v>-46.736269</v>
      </c>
      <c r="G1497" s="55">
        <v>-23.564408</v>
      </c>
      <c r="H1497" s="55">
        <v>-46.819912000000002</v>
      </c>
      <c r="I1497" s="55">
        <v>-23.490310999999998</v>
      </c>
      <c r="J1497" s="55">
        <v>-46.829594</v>
      </c>
      <c r="L1497" s="61" t="str">
        <f t="shared" si="24"/>
        <v>Cliente25-Cliente34</v>
      </c>
      <c r="M1497">
        <v>20.399667000000001</v>
      </c>
    </row>
    <row r="1498" spans="1:13" x14ac:dyDescent="0.25">
      <c r="A1498" s="15" t="s">
        <v>4295</v>
      </c>
      <c r="B1498" s="15" t="s">
        <v>4305</v>
      </c>
      <c r="C1498" s="52">
        <v>20.995563000000001</v>
      </c>
      <c r="D1498" s="25">
        <v>3.1944444444444449E-2</v>
      </c>
      <c r="E1498" s="53">
        <v>-23.589086999999999</v>
      </c>
      <c r="F1498" s="53">
        <v>-46.737521000000001</v>
      </c>
      <c r="G1498" s="53">
        <v>-23.569026999999998</v>
      </c>
      <c r="H1498" s="53">
        <v>-46.813884000000002</v>
      </c>
      <c r="I1498" s="53">
        <v>-23.492495999999999</v>
      </c>
      <c r="J1498" s="53">
        <v>-46.849046000000001</v>
      </c>
      <c r="L1498" s="61" t="str">
        <f t="shared" si="24"/>
        <v>Cliente25-Cliente35</v>
      </c>
      <c r="M1498">
        <v>20.995563000000001</v>
      </c>
    </row>
    <row r="1499" spans="1:13" x14ac:dyDescent="0.25">
      <c r="A1499" s="15" t="s">
        <v>4295</v>
      </c>
      <c r="B1499" s="15" t="s">
        <v>4306</v>
      </c>
      <c r="C1499" s="54">
        <v>156.38584800000001</v>
      </c>
      <c r="D1499" s="26">
        <v>0.14305555555555557</v>
      </c>
      <c r="E1499" s="55">
        <v>-23.517254000000001</v>
      </c>
      <c r="F1499" s="55">
        <v>-46.815348999999998</v>
      </c>
      <c r="G1499" s="55">
        <v>-23.1281</v>
      </c>
      <c r="H1499" s="55">
        <v>-46.981898999999999</v>
      </c>
      <c r="I1499" s="55">
        <v>-22.562927999999999</v>
      </c>
      <c r="J1499" s="55">
        <v>-47.365788999999999</v>
      </c>
      <c r="L1499" s="61" t="str">
        <f t="shared" si="24"/>
        <v>Cliente25-Cliente36</v>
      </c>
      <c r="M1499">
        <v>156.38584800000001</v>
      </c>
    </row>
    <row r="1500" spans="1:13" x14ac:dyDescent="0.25">
      <c r="A1500" s="15" t="s">
        <v>4295</v>
      </c>
      <c r="B1500" s="15" t="s">
        <v>4307</v>
      </c>
      <c r="C1500" s="52">
        <v>155.28912500000001</v>
      </c>
      <c r="D1500" s="25">
        <v>0.14166666666666666</v>
      </c>
      <c r="E1500" s="53">
        <v>-23.514849999999999</v>
      </c>
      <c r="F1500" s="53">
        <v>-46.816324999999999</v>
      </c>
      <c r="G1500" s="53">
        <v>-23.110809</v>
      </c>
      <c r="H1500" s="53">
        <v>-47.003709000000001</v>
      </c>
      <c r="I1500" s="53">
        <v>-22.519418999999999</v>
      </c>
      <c r="J1500" s="53">
        <v>-47.393290999999998</v>
      </c>
      <c r="L1500" s="61" t="str">
        <f t="shared" si="24"/>
        <v>Cliente25-Cliente37</v>
      </c>
      <c r="M1500">
        <v>155.28912500000001</v>
      </c>
    </row>
    <row r="1501" spans="1:13" x14ac:dyDescent="0.25">
      <c r="A1501" s="15" t="s">
        <v>4295</v>
      </c>
      <c r="B1501" s="15" t="s">
        <v>4308</v>
      </c>
      <c r="C1501" s="54">
        <v>153.51262</v>
      </c>
      <c r="D1501" s="26">
        <v>0.13958333333333334</v>
      </c>
      <c r="E1501" s="55">
        <v>-23.531482</v>
      </c>
      <c r="F1501" s="55">
        <v>-46.817827999999999</v>
      </c>
      <c r="G1501" s="55">
        <v>-23.135629999999999</v>
      </c>
      <c r="H1501" s="55">
        <v>-46.978529000000002</v>
      </c>
      <c r="I1501" s="55">
        <v>-22.592675</v>
      </c>
      <c r="J1501" s="55">
        <v>-47.366796999999998</v>
      </c>
      <c r="L1501" s="61" t="str">
        <f t="shared" si="24"/>
        <v>Cliente25-Cliente38</v>
      </c>
      <c r="M1501">
        <v>153.51262</v>
      </c>
    </row>
    <row r="1502" spans="1:13" x14ac:dyDescent="0.25">
      <c r="A1502" s="15" t="s">
        <v>4295</v>
      </c>
      <c r="B1502" s="15" t="s">
        <v>4309</v>
      </c>
      <c r="C1502" s="52">
        <v>93.767630999999994</v>
      </c>
      <c r="D1502" s="25">
        <v>0.1013888888888889</v>
      </c>
      <c r="E1502" s="53">
        <v>-23.564420999999999</v>
      </c>
      <c r="F1502" s="53">
        <v>-46.677709</v>
      </c>
      <c r="G1502" s="53">
        <v>-23.505759999999999</v>
      </c>
      <c r="H1502" s="53">
        <v>-46.569533</v>
      </c>
      <c r="I1502" s="53">
        <v>-23.315826999999999</v>
      </c>
      <c r="J1502" s="53">
        <v>-46.077250999999997</v>
      </c>
      <c r="L1502" s="61" t="str">
        <f t="shared" si="24"/>
        <v>Cliente25-Cliente39</v>
      </c>
      <c r="M1502">
        <v>93.767630999999994</v>
      </c>
    </row>
    <row r="1503" spans="1:13" x14ac:dyDescent="0.25">
      <c r="A1503" s="15" t="s">
        <v>4295</v>
      </c>
      <c r="B1503" s="15" t="s">
        <v>4310</v>
      </c>
      <c r="C1503" s="54">
        <v>98.623037999999994</v>
      </c>
      <c r="D1503" s="26">
        <v>0.10972222222222222</v>
      </c>
      <c r="E1503" s="55">
        <v>-23.552320000000002</v>
      </c>
      <c r="F1503" s="55">
        <v>-46.678240000000002</v>
      </c>
      <c r="G1503" s="55">
        <v>-23.412844</v>
      </c>
      <c r="H1503" s="55">
        <v>-46.359305999999997</v>
      </c>
      <c r="I1503" s="55">
        <v>-23.244430000000001</v>
      </c>
      <c r="J1503" s="55">
        <v>-45.926609999999997</v>
      </c>
      <c r="L1503" s="61" t="str">
        <f t="shared" si="24"/>
        <v>Cliente25-Cliente40</v>
      </c>
      <c r="M1503">
        <v>98.623037999999994</v>
      </c>
    </row>
    <row r="1504" spans="1:13" x14ac:dyDescent="0.25">
      <c r="A1504" s="15" t="s">
        <v>4295</v>
      </c>
      <c r="B1504" s="15" t="s">
        <v>4311</v>
      </c>
      <c r="C1504" s="52">
        <v>84.806194000000005</v>
      </c>
      <c r="D1504" s="25">
        <v>9.5833333333333326E-2</v>
      </c>
      <c r="E1504" s="53">
        <v>-23.557196999999999</v>
      </c>
      <c r="F1504" s="53">
        <v>-46.682518000000002</v>
      </c>
      <c r="G1504" s="53">
        <v>-23.477979000000001</v>
      </c>
      <c r="H1504" s="53">
        <v>-46.528593000000001</v>
      </c>
      <c r="I1504" s="53">
        <v>-23.308183</v>
      </c>
      <c r="J1504" s="53">
        <v>-46.056043000000003</v>
      </c>
      <c r="L1504" s="61" t="str">
        <f t="shared" si="24"/>
        <v>Cliente25-Cliente41</v>
      </c>
      <c r="M1504">
        <v>84.806194000000005</v>
      </c>
    </row>
    <row r="1505" spans="1:13" x14ac:dyDescent="0.25">
      <c r="A1505" s="15" t="s">
        <v>4295</v>
      </c>
      <c r="B1505" s="15" t="s">
        <v>4312</v>
      </c>
      <c r="C1505" s="54">
        <v>81.335205999999999</v>
      </c>
      <c r="D1505" s="26">
        <v>8.819444444444445E-2</v>
      </c>
      <c r="E1505" s="55">
        <v>-23.571093999999999</v>
      </c>
      <c r="F1505" s="55">
        <v>-46.690947000000001</v>
      </c>
      <c r="G1505" s="55">
        <v>-23.521830000000001</v>
      </c>
      <c r="H1505" s="55">
        <v>-46.614151</v>
      </c>
      <c r="I1505" s="55">
        <v>-23.357372999999999</v>
      </c>
      <c r="J1505" s="55">
        <v>-46.208469999999998</v>
      </c>
      <c r="L1505" s="61" t="str">
        <f t="shared" si="24"/>
        <v>Cliente25-Cliente42</v>
      </c>
      <c r="M1505">
        <v>81.335205999999999</v>
      </c>
    </row>
    <row r="1506" spans="1:13" x14ac:dyDescent="0.25">
      <c r="A1506" s="15" t="s">
        <v>4295</v>
      </c>
      <c r="B1506" s="15" t="s">
        <v>4313</v>
      </c>
      <c r="C1506" s="52">
        <v>103.98797</v>
      </c>
      <c r="D1506" s="25">
        <v>0.10833333333333334</v>
      </c>
      <c r="E1506" s="53">
        <v>-23.554887000000001</v>
      </c>
      <c r="F1506" s="53">
        <v>-46.680599999999998</v>
      </c>
      <c r="G1506" s="53">
        <v>-23.422720999999999</v>
      </c>
      <c r="H1506" s="53">
        <v>-46.395299000000001</v>
      </c>
      <c r="I1506" s="53">
        <v>-23.294968999999998</v>
      </c>
      <c r="J1506" s="53">
        <v>-46.005122</v>
      </c>
      <c r="L1506" s="61" t="str">
        <f t="shared" si="24"/>
        <v>Cliente25-Cliente43</v>
      </c>
      <c r="M1506">
        <v>103.98797</v>
      </c>
    </row>
    <row r="1507" spans="1:13" x14ac:dyDescent="0.25">
      <c r="A1507" s="15" t="s">
        <v>4295</v>
      </c>
      <c r="B1507" s="15" t="s">
        <v>4314</v>
      </c>
      <c r="C1507" s="54">
        <v>66.617992000000001</v>
      </c>
      <c r="D1507" s="26">
        <v>7.013888888888889E-2</v>
      </c>
      <c r="E1507" s="55">
        <v>-23.617289</v>
      </c>
      <c r="F1507" s="55">
        <v>-46.826193000000004</v>
      </c>
      <c r="G1507" s="55">
        <v>-23.507991000000001</v>
      </c>
      <c r="H1507" s="55">
        <v>-46.975509000000002</v>
      </c>
      <c r="I1507" s="55">
        <v>-23.414155000000001</v>
      </c>
      <c r="J1507" s="55">
        <v>-47.269866</v>
      </c>
      <c r="L1507" s="61" t="str">
        <f t="shared" si="24"/>
        <v>Cliente25-Cliente44</v>
      </c>
      <c r="M1507">
        <v>66.617992000000001</v>
      </c>
    </row>
    <row r="1508" spans="1:13" x14ac:dyDescent="0.25">
      <c r="A1508" s="15" t="s">
        <v>4295</v>
      </c>
      <c r="B1508" s="15" t="s">
        <v>4315</v>
      </c>
      <c r="C1508" s="52">
        <v>73.138057000000003</v>
      </c>
      <c r="D1508" s="25">
        <v>7.4999999999999997E-2</v>
      </c>
      <c r="E1508" s="53">
        <v>-23.568210000000001</v>
      </c>
      <c r="F1508" s="53">
        <v>-46.815204999999999</v>
      </c>
      <c r="G1508" s="53">
        <v>-23.436160000000001</v>
      </c>
      <c r="H1508" s="53">
        <v>-47.092959</v>
      </c>
      <c r="I1508" s="53">
        <v>-23.473662999999998</v>
      </c>
      <c r="J1508" s="53">
        <v>-47.380842999999999</v>
      </c>
      <c r="L1508" s="61" t="str">
        <f t="shared" si="24"/>
        <v>Cliente25-Cliente45</v>
      </c>
      <c r="M1508">
        <v>73.138057000000003</v>
      </c>
    </row>
    <row r="1509" spans="1:13" x14ac:dyDescent="0.25">
      <c r="A1509" s="15" t="s">
        <v>4295</v>
      </c>
      <c r="B1509" s="15" t="s">
        <v>4316</v>
      </c>
      <c r="C1509" s="54">
        <v>64.699192999999994</v>
      </c>
      <c r="D1509" s="26">
        <v>6.7361111111111108E-2</v>
      </c>
      <c r="E1509" s="55">
        <v>-23.618110000000001</v>
      </c>
      <c r="F1509" s="55">
        <v>-46.827024999999999</v>
      </c>
      <c r="G1509" s="55">
        <v>-23.516086000000001</v>
      </c>
      <c r="H1509" s="55">
        <v>-46.961962</v>
      </c>
      <c r="I1509" s="55">
        <v>-23.414272</v>
      </c>
      <c r="J1509" s="55">
        <v>-47.261800000000001</v>
      </c>
      <c r="L1509" s="61" t="str">
        <f t="shared" si="24"/>
        <v>Cliente25-Cliente46</v>
      </c>
      <c r="M1509">
        <v>64.699192999999994</v>
      </c>
    </row>
    <row r="1510" spans="1:13" x14ac:dyDescent="0.25">
      <c r="A1510" s="15" t="s">
        <v>4295</v>
      </c>
      <c r="B1510" s="15" t="s">
        <v>4317</v>
      </c>
      <c r="C1510" s="52">
        <v>202.84215900000001</v>
      </c>
      <c r="D1510" s="25">
        <v>0.17777777777777778</v>
      </c>
      <c r="E1510" s="53">
        <v>-23.502555000000001</v>
      </c>
      <c r="F1510" s="53">
        <v>-46.821255000000001</v>
      </c>
      <c r="G1510" s="53">
        <v>-23.068556999999998</v>
      </c>
      <c r="H1510" s="53">
        <v>-47.032440999999999</v>
      </c>
      <c r="I1510" s="53">
        <v>-22.414328999999999</v>
      </c>
      <c r="J1510" s="53">
        <v>-47.389870999999999</v>
      </c>
      <c r="L1510" s="61" t="str">
        <f t="shared" si="24"/>
        <v>Cliente25-Cliente47</v>
      </c>
      <c r="M1510">
        <v>202.84215900000001</v>
      </c>
    </row>
    <row r="1511" spans="1:13" x14ac:dyDescent="0.25">
      <c r="A1511" s="15" t="s">
        <v>4295</v>
      </c>
      <c r="B1511" s="15" t="s">
        <v>4318</v>
      </c>
      <c r="C1511" s="54">
        <v>211.95334700000001</v>
      </c>
      <c r="D1511" s="26">
        <v>0.18611111111111112</v>
      </c>
      <c r="E1511" s="55">
        <v>-23.472539000000001</v>
      </c>
      <c r="F1511" s="55">
        <v>-46.801487999999999</v>
      </c>
      <c r="G1511" s="55">
        <v>-22.978987</v>
      </c>
      <c r="H1511" s="55">
        <v>-47.111787</v>
      </c>
      <c r="I1511" s="55">
        <v>-22.228012</v>
      </c>
      <c r="J1511" s="55">
        <v>-47.391337</v>
      </c>
      <c r="L1511" s="61" t="str">
        <f t="shared" si="24"/>
        <v>Cliente25-Cliente48</v>
      </c>
      <c r="M1511">
        <v>211.95334700000001</v>
      </c>
    </row>
    <row r="1512" spans="1:13" x14ac:dyDescent="0.25">
      <c r="A1512" s="15" t="s">
        <v>4295</v>
      </c>
      <c r="B1512" s="15" t="s">
        <v>4319</v>
      </c>
      <c r="C1512" s="52">
        <v>205.59111200000001</v>
      </c>
      <c r="D1512" s="25">
        <v>0.18194444444444444</v>
      </c>
      <c r="E1512" s="53">
        <v>-23.484577999999999</v>
      </c>
      <c r="F1512" s="53">
        <v>-46.803429999999999</v>
      </c>
      <c r="G1512" s="53">
        <v>-23.013676</v>
      </c>
      <c r="H1512" s="53">
        <v>-47.085577000000001</v>
      </c>
      <c r="I1512" s="53">
        <v>-22.283814</v>
      </c>
      <c r="J1512" s="53">
        <v>-47.393318000000001</v>
      </c>
      <c r="L1512" s="61" t="str">
        <f t="shared" si="24"/>
        <v>Cliente25-Cliente49</v>
      </c>
      <c r="M1512">
        <v>205.59111200000001</v>
      </c>
    </row>
    <row r="1513" spans="1:13" x14ac:dyDescent="0.25">
      <c r="A1513" s="15" t="s">
        <v>4295</v>
      </c>
      <c r="B1513" s="15" t="s">
        <v>4320</v>
      </c>
      <c r="C1513" s="54">
        <v>211.831558</v>
      </c>
      <c r="D1513" s="26">
        <v>0.18541666666666667</v>
      </c>
      <c r="E1513" s="55">
        <v>-23.566341000000001</v>
      </c>
      <c r="F1513" s="55">
        <v>-46.818734999999997</v>
      </c>
      <c r="G1513" s="55">
        <v>-23.380134999999999</v>
      </c>
      <c r="H1513" s="55">
        <v>-47.399068</v>
      </c>
      <c r="I1513" s="55">
        <v>-22.921597999999999</v>
      </c>
      <c r="J1513" s="55">
        <v>-48.466303000000003</v>
      </c>
      <c r="L1513" s="61" t="str">
        <f t="shared" si="24"/>
        <v>Cliente25-Cliente50</v>
      </c>
      <c r="M1513">
        <v>211.831558</v>
      </c>
    </row>
    <row r="1514" spans="1:13" x14ac:dyDescent="0.25">
      <c r="A1514" s="15" t="s">
        <v>4295</v>
      </c>
      <c r="B1514" s="15" t="s">
        <v>4321</v>
      </c>
      <c r="C1514" s="52">
        <v>208.363677</v>
      </c>
      <c r="D1514" s="25">
        <v>0.18194444444444444</v>
      </c>
      <c r="E1514" s="53">
        <v>-23.578192999999999</v>
      </c>
      <c r="F1514" s="53">
        <v>-46.809171999999997</v>
      </c>
      <c r="G1514" s="53">
        <v>-23.413269</v>
      </c>
      <c r="H1514" s="53">
        <v>-47.272063000000003</v>
      </c>
      <c r="I1514" s="53">
        <v>-23.075486000000001</v>
      </c>
      <c r="J1514" s="53">
        <v>-48.525391999999997</v>
      </c>
      <c r="L1514" s="61" t="str">
        <f t="shared" si="24"/>
        <v>Cliente25-Cliente51</v>
      </c>
      <c r="M1514">
        <v>208.363677</v>
      </c>
    </row>
    <row r="1515" spans="1:13" x14ac:dyDescent="0.25">
      <c r="A1515" s="15" t="s">
        <v>4296</v>
      </c>
      <c r="B1515" s="15" t="s">
        <v>4268</v>
      </c>
      <c r="C1515" s="54">
        <v>57.787042999999997</v>
      </c>
      <c r="D1515" s="26">
        <v>4.9999999999999996E-2</v>
      </c>
      <c r="E1515" s="55">
        <v>-23.578192999999999</v>
      </c>
      <c r="F1515" s="55">
        <v>-46.809171999999997</v>
      </c>
      <c r="G1515" s="55">
        <v>-23.505987999999999</v>
      </c>
      <c r="H1515" s="55">
        <v>-46.978158000000001</v>
      </c>
      <c r="I1515" s="55">
        <v>-23.422104000000001</v>
      </c>
      <c r="J1515" s="55">
        <v>-47.246191000000003</v>
      </c>
      <c r="L1515" s="61" t="str">
        <f t="shared" si="24"/>
        <v>Cliente26-depósito A</v>
      </c>
      <c r="M1515">
        <v>57.787042999999997</v>
      </c>
    </row>
    <row r="1516" spans="1:13" x14ac:dyDescent="0.25">
      <c r="A1516" s="15" t="s">
        <v>4296</v>
      </c>
      <c r="B1516" s="15" t="s">
        <v>4269</v>
      </c>
      <c r="C1516" s="52">
        <v>170.54444699999999</v>
      </c>
      <c r="D1516" s="25">
        <v>0.13958333333333334</v>
      </c>
      <c r="E1516" s="53">
        <v>-23.384008999999999</v>
      </c>
      <c r="F1516" s="53">
        <v>-46.769190999999999</v>
      </c>
      <c r="G1516" s="53">
        <v>-22.992255</v>
      </c>
      <c r="H1516" s="53">
        <v>-47.110019000000001</v>
      </c>
      <c r="I1516" s="53">
        <v>-22.472346000000002</v>
      </c>
      <c r="J1516" s="53">
        <v>-47.500408</v>
      </c>
      <c r="L1516" s="61" t="str">
        <f t="shared" si="24"/>
        <v>Cliente26-depósito B</v>
      </c>
      <c r="M1516">
        <v>170.54444699999999</v>
      </c>
    </row>
    <row r="1517" spans="1:13" x14ac:dyDescent="0.25">
      <c r="A1517" s="15" t="s">
        <v>4296</v>
      </c>
      <c r="B1517" s="15" t="s">
        <v>4270</v>
      </c>
      <c r="C1517" s="54">
        <v>68.092510000000004</v>
      </c>
      <c r="D1517" s="26">
        <v>6.458333333333334E-2</v>
      </c>
      <c r="E1517" s="55">
        <v>-23.553692999999999</v>
      </c>
      <c r="F1517" s="55">
        <v>-46.819375000000001</v>
      </c>
      <c r="G1517" s="55">
        <v>-23.519772</v>
      </c>
      <c r="H1517" s="55">
        <v>-46.616872000000001</v>
      </c>
      <c r="I1517" s="55">
        <v>-23.369050000000001</v>
      </c>
      <c r="J1517" s="55">
        <v>-46.235802999999997</v>
      </c>
      <c r="L1517" s="61" t="str">
        <f t="shared" si="24"/>
        <v>Cliente26-depósito C</v>
      </c>
      <c r="M1517">
        <v>68.092510000000004</v>
      </c>
    </row>
    <row r="1518" spans="1:13" x14ac:dyDescent="0.25">
      <c r="A1518" s="15" t="s">
        <v>4296</v>
      </c>
      <c r="B1518" s="15" t="s">
        <v>4271</v>
      </c>
      <c r="C1518" s="52">
        <v>60.629823000000002</v>
      </c>
      <c r="D1518" s="25">
        <v>5.347222222222222E-2</v>
      </c>
      <c r="E1518" s="53">
        <v>-23.538547999999999</v>
      </c>
      <c r="F1518" s="53">
        <v>-46.817613999999999</v>
      </c>
      <c r="G1518" s="53">
        <v>-23.349706999999999</v>
      </c>
      <c r="H1518" s="53">
        <v>-46.809170999999999</v>
      </c>
      <c r="I1518" s="53">
        <v>-23.114035000000001</v>
      </c>
      <c r="J1518" s="53">
        <v>-46.998390000000001</v>
      </c>
      <c r="L1518" s="61" t="str">
        <f t="shared" si="24"/>
        <v>Cliente26-Cliente1</v>
      </c>
      <c r="M1518">
        <v>60.629823000000002</v>
      </c>
    </row>
    <row r="1519" spans="1:13" x14ac:dyDescent="0.25">
      <c r="A1519" s="15" t="s">
        <v>4296</v>
      </c>
      <c r="B1519" s="15" t="s">
        <v>4272</v>
      </c>
      <c r="C1519" s="54">
        <v>64.397828000000004</v>
      </c>
      <c r="D1519" s="26">
        <v>5.9722222222222225E-2</v>
      </c>
      <c r="E1519" s="55">
        <v>-23.510328000000001</v>
      </c>
      <c r="F1519" s="55">
        <v>-46.820563999999997</v>
      </c>
      <c r="G1519" s="55">
        <v>-23.310122</v>
      </c>
      <c r="H1519" s="55">
        <v>-46.832062000000001</v>
      </c>
      <c r="I1519" s="55">
        <v>-23.037751</v>
      </c>
      <c r="J1519" s="55">
        <v>-47.068987999999997</v>
      </c>
      <c r="L1519" s="61" t="str">
        <f t="shared" si="24"/>
        <v>Cliente26-Cliente2</v>
      </c>
      <c r="M1519">
        <v>64.397828000000004</v>
      </c>
    </row>
    <row r="1520" spans="1:13" x14ac:dyDescent="0.25">
      <c r="A1520" s="15" t="s">
        <v>4296</v>
      </c>
      <c r="B1520" s="15" t="s">
        <v>4273</v>
      </c>
      <c r="C1520" s="52">
        <v>62.377124000000002</v>
      </c>
      <c r="D1520" s="25">
        <v>5.6250000000000001E-2</v>
      </c>
      <c r="E1520" s="53">
        <v>-23.518131</v>
      </c>
      <c r="F1520" s="53">
        <v>-46.81541</v>
      </c>
      <c r="G1520" s="53">
        <v>-23.334250000000001</v>
      </c>
      <c r="H1520" s="53">
        <v>-46.822795999999997</v>
      </c>
      <c r="I1520" s="53">
        <v>-23.079034</v>
      </c>
      <c r="J1520" s="53">
        <v>-47.025618999999999</v>
      </c>
      <c r="L1520" s="61" t="str">
        <f t="shared" si="24"/>
        <v>Cliente26-Cliente3</v>
      </c>
      <c r="M1520">
        <v>62.377124000000002</v>
      </c>
    </row>
    <row r="1521" spans="1:13" x14ac:dyDescent="0.25">
      <c r="A1521" s="15" t="s">
        <v>4296</v>
      </c>
      <c r="B1521" s="15" t="s">
        <v>4274</v>
      </c>
      <c r="C1521" s="54">
        <v>72.534081999999998</v>
      </c>
      <c r="D1521" s="26">
        <v>6.3194444444444442E-2</v>
      </c>
      <c r="E1521" s="55">
        <v>-23.507086000000001</v>
      </c>
      <c r="F1521" s="55">
        <v>-46.821618999999998</v>
      </c>
      <c r="G1521" s="55">
        <v>-23.296227999999999</v>
      </c>
      <c r="H1521" s="55">
        <v>-46.841242000000001</v>
      </c>
      <c r="I1521" s="55">
        <v>-23.013033</v>
      </c>
      <c r="J1521" s="55">
        <v>-47.083888999999999</v>
      </c>
      <c r="L1521" s="61" t="str">
        <f t="shared" si="24"/>
        <v>Cliente26-Cliente4</v>
      </c>
      <c r="M1521">
        <v>72.534081999999998</v>
      </c>
    </row>
    <row r="1522" spans="1:13" x14ac:dyDescent="0.25">
      <c r="A1522" s="15" t="s">
        <v>4296</v>
      </c>
      <c r="B1522" s="15" t="s">
        <v>4275</v>
      </c>
      <c r="C1522" s="52">
        <v>72.627287999999993</v>
      </c>
      <c r="D1522" s="25">
        <v>6.3888888888888884E-2</v>
      </c>
      <c r="E1522" s="53">
        <v>-23.508232</v>
      </c>
      <c r="F1522" s="53">
        <v>-46.821578000000002</v>
      </c>
      <c r="G1522" s="53">
        <v>-23.302479999999999</v>
      </c>
      <c r="H1522" s="53">
        <v>-46.840218</v>
      </c>
      <c r="I1522" s="53">
        <v>-23.014434999999999</v>
      </c>
      <c r="J1522" s="53">
        <v>-47.082946</v>
      </c>
      <c r="L1522" s="61" t="str">
        <f t="shared" si="24"/>
        <v>Cliente26-Cliente5</v>
      </c>
      <c r="M1522">
        <v>72.627287999999993</v>
      </c>
    </row>
    <row r="1523" spans="1:13" x14ac:dyDescent="0.25">
      <c r="A1523" s="15" t="s">
        <v>4296</v>
      </c>
      <c r="B1523" s="15" t="s">
        <v>4276</v>
      </c>
      <c r="C1523" s="54">
        <v>55.002671999999997</v>
      </c>
      <c r="D1523" s="26">
        <v>5.2777777777777778E-2</v>
      </c>
      <c r="E1523" s="55">
        <v>-23.533493</v>
      </c>
      <c r="F1523" s="55">
        <v>-46.817906000000001</v>
      </c>
      <c r="G1523" s="55">
        <v>-23.348537</v>
      </c>
      <c r="H1523" s="55">
        <v>-46.811100000000003</v>
      </c>
      <c r="I1523" s="55">
        <v>-23.118672</v>
      </c>
      <c r="J1523" s="55">
        <v>-46.955266999999999</v>
      </c>
      <c r="L1523" s="61" t="str">
        <f t="shared" si="24"/>
        <v>Cliente26-Cliente6</v>
      </c>
      <c r="M1523">
        <v>55.002671999999997</v>
      </c>
    </row>
    <row r="1524" spans="1:13" x14ac:dyDescent="0.25">
      <c r="A1524" s="15" t="s">
        <v>4296</v>
      </c>
      <c r="B1524" s="15" t="s">
        <v>4277</v>
      </c>
      <c r="C1524" s="52">
        <v>59.720754999999997</v>
      </c>
      <c r="D1524" s="25">
        <v>5.347222222222222E-2</v>
      </c>
      <c r="E1524" s="53">
        <v>-23.549571</v>
      </c>
      <c r="F1524" s="53">
        <v>-46.820430000000002</v>
      </c>
      <c r="G1524" s="53">
        <v>-23.357894000000002</v>
      </c>
      <c r="H1524" s="53">
        <v>-46.786129000000003</v>
      </c>
      <c r="I1524" s="53">
        <v>-23.148510999999999</v>
      </c>
      <c r="J1524" s="53">
        <v>-46.961489999999998</v>
      </c>
      <c r="L1524" s="61" t="str">
        <f t="shared" si="24"/>
        <v>Cliente26-Cliente7</v>
      </c>
      <c r="M1524">
        <v>59.720754999999997</v>
      </c>
    </row>
    <row r="1525" spans="1:13" x14ac:dyDescent="0.25">
      <c r="A1525" s="15" t="s">
        <v>4296</v>
      </c>
      <c r="B1525" s="15" t="s">
        <v>4278</v>
      </c>
      <c r="C1525" s="54">
        <v>68.750544000000005</v>
      </c>
      <c r="D1525" s="26">
        <v>6.1111111111111116E-2</v>
      </c>
      <c r="E1525" s="55">
        <v>-23.503941000000001</v>
      </c>
      <c r="F1525" s="55">
        <v>-46.821421000000001</v>
      </c>
      <c r="G1525" s="55">
        <v>-23.294104999999998</v>
      </c>
      <c r="H1525" s="55">
        <v>-46.842212000000004</v>
      </c>
      <c r="I1525" s="55">
        <v>-23.011240000000001</v>
      </c>
      <c r="J1525" s="55">
        <v>-47.084476000000002</v>
      </c>
      <c r="L1525" s="61" t="str">
        <f t="shared" si="24"/>
        <v>Cliente26-Cliente8</v>
      </c>
      <c r="M1525">
        <v>68.750544000000005</v>
      </c>
    </row>
    <row r="1526" spans="1:13" x14ac:dyDescent="0.25">
      <c r="A1526" s="15" t="s">
        <v>4296</v>
      </c>
      <c r="B1526" s="15" t="s">
        <v>4279</v>
      </c>
      <c r="C1526" s="52">
        <v>80.762921000000006</v>
      </c>
      <c r="D1526" s="25">
        <v>7.1527777777777787E-2</v>
      </c>
      <c r="E1526" s="53">
        <v>-23.502244000000001</v>
      </c>
      <c r="F1526" s="53">
        <v>-46.821174999999997</v>
      </c>
      <c r="G1526" s="53">
        <v>-23.290818999999999</v>
      </c>
      <c r="H1526" s="53">
        <v>-46.845869</v>
      </c>
      <c r="I1526" s="53">
        <v>-22.991033999999999</v>
      </c>
      <c r="J1526" s="53">
        <v>-47.110770000000002</v>
      </c>
      <c r="L1526" s="61" t="str">
        <f t="shared" si="24"/>
        <v>Cliente26-Cliente9</v>
      </c>
      <c r="M1526">
        <v>80.762921000000006</v>
      </c>
    </row>
    <row r="1527" spans="1:13" x14ac:dyDescent="0.25">
      <c r="A1527" s="15" t="s">
        <v>4296</v>
      </c>
      <c r="B1527" s="15" t="s">
        <v>4280</v>
      </c>
      <c r="C1527" s="54">
        <v>21.846222999999998</v>
      </c>
      <c r="D1527" s="26">
        <v>3.0555555555555555E-2</v>
      </c>
      <c r="E1527" s="55">
        <v>-23.592037999999999</v>
      </c>
      <c r="F1527" s="55">
        <v>-46.811692000000001</v>
      </c>
      <c r="G1527" s="55">
        <v>-23.511883000000001</v>
      </c>
      <c r="H1527" s="55">
        <v>-46.808990000000001</v>
      </c>
      <c r="I1527" s="55">
        <v>-23.509955000000001</v>
      </c>
      <c r="J1527" s="55">
        <v>-46.689857000000003</v>
      </c>
      <c r="L1527" s="61" t="str">
        <f t="shared" si="24"/>
        <v>Cliente26-Cliente10</v>
      </c>
      <c r="M1527">
        <v>21.846222999999998</v>
      </c>
    </row>
    <row r="1528" spans="1:13" x14ac:dyDescent="0.25">
      <c r="A1528" s="15" t="s">
        <v>4296</v>
      </c>
      <c r="B1528" s="15" t="s">
        <v>4281</v>
      </c>
      <c r="C1528" s="52">
        <v>97.984267000000003</v>
      </c>
      <c r="D1528" s="25">
        <v>8.0555555555555561E-2</v>
      </c>
      <c r="E1528" s="53">
        <v>-23.478007999999999</v>
      </c>
      <c r="F1528" s="53">
        <v>-46.801704999999998</v>
      </c>
      <c r="G1528" s="53">
        <v>-23.247517999999999</v>
      </c>
      <c r="H1528" s="53">
        <v>-46.878574999999998</v>
      </c>
      <c r="I1528" s="53">
        <v>-22.912613</v>
      </c>
      <c r="J1528" s="53">
        <v>-47.185364</v>
      </c>
      <c r="L1528" s="61" t="str">
        <f t="shared" si="24"/>
        <v>Cliente26-Cliente11</v>
      </c>
      <c r="M1528">
        <v>97.984267000000003</v>
      </c>
    </row>
    <row r="1529" spans="1:13" x14ac:dyDescent="0.25">
      <c r="A1529" s="15" t="s">
        <v>4296</v>
      </c>
      <c r="B1529" s="15" t="s">
        <v>4282</v>
      </c>
      <c r="C1529" s="54">
        <v>67.133731999999995</v>
      </c>
      <c r="D1529" s="26">
        <v>6.458333333333334E-2</v>
      </c>
      <c r="E1529" s="55">
        <v>-23.550408000000001</v>
      </c>
      <c r="F1529" s="55">
        <v>-46.820346999999998</v>
      </c>
      <c r="G1529" s="55">
        <v>-23.5227</v>
      </c>
      <c r="H1529" s="55">
        <v>-46.612954999999999</v>
      </c>
      <c r="I1529" s="55">
        <v>-23.363858</v>
      </c>
      <c r="J1529" s="55">
        <v>-46.223891000000002</v>
      </c>
      <c r="L1529" s="61" t="str">
        <f t="shared" si="24"/>
        <v>Cliente26-Cliente12</v>
      </c>
      <c r="M1529">
        <v>67.133731999999995</v>
      </c>
    </row>
    <row r="1530" spans="1:13" x14ac:dyDescent="0.25">
      <c r="A1530" s="15" t="s">
        <v>4296</v>
      </c>
      <c r="B1530" s="15" t="s">
        <v>4283</v>
      </c>
      <c r="C1530" s="52">
        <v>75.017708999999996</v>
      </c>
      <c r="D1530" s="25">
        <v>7.013888888888889E-2</v>
      </c>
      <c r="E1530" s="53">
        <v>-23.538547999999999</v>
      </c>
      <c r="F1530" s="53">
        <v>-46.817613999999999</v>
      </c>
      <c r="G1530" s="53">
        <v>-23.523731999999999</v>
      </c>
      <c r="H1530" s="53">
        <v>-46.603091999999997</v>
      </c>
      <c r="I1530" s="53">
        <v>-23.35247</v>
      </c>
      <c r="J1530" s="53">
        <v>-46.183019000000002</v>
      </c>
      <c r="L1530" s="61" t="str">
        <f t="shared" si="24"/>
        <v>Cliente26-Cliente13</v>
      </c>
      <c r="M1530">
        <v>75.017708999999996</v>
      </c>
    </row>
    <row r="1531" spans="1:13" x14ac:dyDescent="0.25">
      <c r="A1531" s="15" t="s">
        <v>4296</v>
      </c>
      <c r="B1531" s="15" t="s">
        <v>4284</v>
      </c>
      <c r="C1531" s="54">
        <v>73.080269000000001</v>
      </c>
      <c r="D1531" s="26">
        <v>6.7361111111111108E-2</v>
      </c>
      <c r="E1531" s="55">
        <v>-23.555409999999998</v>
      </c>
      <c r="F1531" s="55">
        <v>-46.81917</v>
      </c>
      <c r="G1531" s="55">
        <v>-23.519265999999998</v>
      </c>
      <c r="H1531" s="55">
        <v>-46.618634999999998</v>
      </c>
      <c r="I1531" s="55">
        <v>-23.369716</v>
      </c>
      <c r="J1531" s="55">
        <v>-46.240248999999999</v>
      </c>
      <c r="L1531" s="61" t="str">
        <f t="shared" si="24"/>
        <v>Cliente26-Cliente14</v>
      </c>
      <c r="M1531">
        <v>73.080269000000001</v>
      </c>
    </row>
    <row r="1532" spans="1:13" x14ac:dyDescent="0.25">
      <c r="A1532" s="15" t="s">
        <v>4296</v>
      </c>
      <c r="B1532" s="15" t="s">
        <v>4285</v>
      </c>
      <c r="C1532" s="52">
        <v>75.458883999999998</v>
      </c>
      <c r="D1532" s="25">
        <v>7.3611111111111113E-2</v>
      </c>
      <c r="E1532" s="53">
        <v>-23.538547999999999</v>
      </c>
      <c r="F1532" s="53">
        <v>-46.817613999999999</v>
      </c>
      <c r="G1532" s="53">
        <v>-23.523731999999999</v>
      </c>
      <c r="H1532" s="53">
        <v>-46.603091999999997</v>
      </c>
      <c r="I1532" s="53">
        <v>-23.35247</v>
      </c>
      <c r="J1532" s="53">
        <v>-46.183019000000002</v>
      </c>
      <c r="L1532" s="61" t="str">
        <f t="shared" si="24"/>
        <v>Cliente26-Cliente15</v>
      </c>
      <c r="M1532">
        <v>75.458883999999998</v>
      </c>
    </row>
    <row r="1533" spans="1:13" x14ac:dyDescent="0.25">
      <c r="A1533" s="15" t="s">
        <v>4296</v>
      </c>
      <c r="B1533" s="15" t="s">
        <v>4286</v>
      </c>
      <c r="C1533" s="54">
        <v>74.389500999999996</v>
      </c>
      <c r="D1533" s="26">
        <v>7.1527777777777787E-2</v>
      </c>
      <c r="E1533" s="55">
        <v>-23.537676999999999</v>
      </c>
      <c r="F1533" s="55">
        <v>-46.817605999999998</v>
      </c>
      <c r="G1533" s="55">
        <v>-23.528956999999998</v>
      </c>
      <c r="H1533" s="55">
        <v>-46.596105999999999</v>
      </c>
      <c r="I1533" s="55">
        <v>-23.352357999999999</v>
      </c>
      <c r="J1533" s="55">
        <v>-46.181800000000003</v>
      </c>
      <c r="L1533" s="61" t="str">
        <f t="shared" si="24"/>
        <v>Cliente26-Cliente16</v>
      </c>
      <c r="M1533">
        <v>74.389500999999996</v>
      </c>
    </row>
    <row r="1534" spans="1:13" x14ac:dyDescent="0.25">
      <c r="A1534" s="15" t="s">
        <v>4296</v>
      </c>
      <c r="B1534" s="15" t="s">
        <v>4287</v>
      </c>
      <c r="C1534" s="52">
        <v>75.445214000000007</v>
      </c>
      <c r="D1534" s="25">
        <v>7.013888888888889E-2</v>
      </c>
      <c r="E1534" s="53">
        <v>-23.538547999999999</v>
      </c>
      <c r="F1534" s="53">
        <v>-46.817613999999999</v>
      </c>
      <c r="G1534" s="53">
        <v>-23.523731999999999</v>
      </c>
      <c r="H1534" s="53">
        <v>-46.603091999999997</v>
      </c>
      <c r="I1534" s="53">
        <v>-23.35247</v>
      </c>
      <c r="J1534" s="53">
        <v>-46.183019000000002</v>
      </c>
      <c r="L1534" s="61" t="str">
        <f t="shared" si="24"/>
        <v>Cliente26-Cliente17</v>
      </c>
      <c r="M1534">
        <v>75.445214000000007</v>
      </c>
    </row>
    <row r="1535" spans="1:13" x14ac:dyDescent="0.25">
      <c r="A1535" s="15" t="s">
        <v>4296</v>
      </c>
      <c r="B1535" s="15" t="s">
        <v>4288</v>
      </c>
      <c r="C1535" s="54">
        <v>80.27328</v>
      </c>
      <c r="D1535" s="26">
        <v>7.4999999999999997E-2</v>
      </c>
      <c r="E1535" s="55">
        <v>-23.548991000000001</v>
      </c>
      <c r="F1535" s="55">
        <v>-46.820407000000003</v>
      </c>
      <c r="G1535" s="55">
        <v>-23.523378999999998</v>
      </c>
      <c r="H1535" s="55">
        <v>-46.611517999999997</v>
      </c>
      <c r="I1535" s="55">
        <v>-23.358464000000001</v>
      </c>
      <c r="J1535" s="55">
        <v>-46.214089999999999</v>
      </c>
      <c r="L1535" s="61" t="str">
        <f t="shared" si="24"/>
        <v>Cliente26-Cliente18</v>
      </c>
      <c r="M1535">
        <v>80.27328</v>
      </c>
    </row>
    <row r="1536" spans="1:13" x14ac:dyDescent="0.25">
      <c r="A1536" s="15" t="s">
        <v>4296</v>
      </c>
      <c r="B1536" s="15" t="s">
        <v>4289</v>
      </c>
      <c r="C1536" s="52">
        <v>18.646153000000002</v>
      </c>
      <c r="D1536" s="25">
        <v>2.1527777777777781E-2</v>
      </c>
      <c r="E1536" s="53">
        <v>-23.591353999999999</v>
      </c>
      <c r="F1536" s="53">
        <v>-46.821424</v>
      </c>
      <c r="G1536" s="53">
        <v>-23.562685999999999</v>
      </c>
      <c r="H1536" s="53">
        <v>-46.820096999999997</v>
      </c>
      <c r="I1536" s="53">
        <v>-23.524075</v>
      </c>
      <c r="J1536" s="53">
        <v>-46.747480000000003</v>
      </c>
      <c r="L1536" s="61" t="str">
        <f t="shared" si="24"/>
        <v>Cliente26-Cliente19</v>
      </c>
      <c r="M1536">
        <v>18.646153000000002</v>
      </c>
    </row>
    <row r="1537" spans="1:13" x14ac:dyDescent="0.25">
      <c r="A1537" s="15" t="s">
        <v>4296</v>
      </c>
      <c r="B1537" s="15" t="s">
        <v>4290</v>
      </c>
      <c r="C1537" s="54">
        <v>8.6507509999999996</v>
      </c>
      <c r="D1537" s="26">
        <v>1.3888888888888888E-2</v>
      </c>
      <c r="E1537" s="55">
        <v>-23.589282999999998</v>
      </c>
      <c r="F1537" s="55">
        <v>-46.829937999999999</v>
      </c>
      <c r="G1537" s="55">
        <v>-23.583556000000002</v>
      </c>
      <c r="H1537" s="55">
        <v>-46.778196000000001</v>
      </c>
      <c r="I1537" s="55">
        <v>-23.564322000000001</v>
      </c>
      <c r="J1537" s="55">
        <v>-46.753993999999999</v>
      </c>
      <c r="L1537" s="61" t="str">
        <f t="shared" si="24"/>
        <v>Cliente26-Cliente20</v>
      </c>
      <c r="M1537">
        <v>8.6507509999999996</v>
      </c>
    </row>
    <row r="1538" spans="1:13" x14ac:dyDescent="0.25">
      <c r="A1538" s="15" t="s">
        <v>4296</v>
      </c>
      <c r="B1538" s="15" t="s">
        <v>4291</v>
      </c>
      <c r="C1538" s="52">
        <v>9.9792459999999998</v>
      </c>
      <c r="D1538" s="25">
        <v>1.5277777777777777E-2</v>
      </c>
      <c r="E1538" s="53">
        <v>-23.589926999999999</v>
      </c>
      <c r="F1538" s="53">
        <v>-46.829974999999997</v>
      </c>
      <c r="G1538" s="53">
        <v>-23.58315</v>
      </c>
      <c r="H1538" s="53">
        <v>-46.773544000000001</v>
      </c>
      <c r="I1538" s="53">
        <v>-23.559896999999999</v>
      </c>
      <c r="J1538" s="53">
        <v>-46.748187000000001</v>
      </c>
      <c r="L1538" s="61" t="str">
        <f t="shared" si="24"/>
        <v>Cliente26-Cliente21</v>
      </c>
      <c r="M1538">
        <v>9.9792459999999998</v>
      </c>
    </row>
    <row r="1539" spans="1:13" x14ac:dyDescent="0.25">
      <c r="A1539" s="15" t="s">
        <v>4296</v>
      </c>
      <c r="B1539" s="15" t="s">
        <v>4292</v>
      </c>
      <c r="C1539" s="54">
        <v>10.901363</v>
      </c>
      <c r="D1539" s="26">
        <v>1.8055555555555557E-2</v>
      </c>
      <c r="E1539" s="55">
        <v>-23.590555999999999</v>
      </c>
      <c r="F1539" s="55">
        <v>-46.829219999999999</v>
      </c>
      <c r="G1539" s="55">
        <v>-23.583383999999999</v>
      </c>
      <c r="H1539" s="55">
        <v>-46.770847000000003</v>
      </c>
      <c r="I1539" s="55">
        <v>-23.557417999999998</v>
      </c>
      <c r="J1539" s="55">
        <v>-46.74559</v>
      </c>
      <c r="L1539" s="61" t="str">
        <f t="shared" si="24"/>
        <v>Cliente26-Cliente22</v>
      </c>
      <c r="M1539">
        <v>10.901363</v>
      </c>
    </row>
    <row r="1540" spans="1:13" x14ac:dyDescent="0.25">
      <c r="A1540" s="15" t="s">
        <v>4296</v>
      </c>
      <c r="B1540" s="15" t="s">
        <v>4293</v>
      </c>
      <c r="C1540" s="52">
        <v>8.1505460000000003</v>
      </c>
      <c r="D1540" s="25">
        <v>1.1111111111111112E-2</v>
      </c>
      <c r="E1540" s="53">
        <v>-23.589189999999999</v>
      </c>
      <c r="F1540" s="53">
        <v>-46.830708000000001</v>
      </c>
      <c r="G1540" s="53">
        <v>-23.593101999999998</v>
      </c>
      <c r="H1540" s="53">
        <v>-46.804422000000002</v>
      </c>
      <c r="I1540" s="53">
        <v>-23.585158</v>
      </c>
      <c r="J1540" s="53">
        <v>-46.741379999999999</v>
      </c>
      <c r="L1540" s="61" t="str">
        <f t="shared" si="24"/>
        <v>Cliente26-Cliente23</v>
      </c>
      <c r="M1540">
        <v>8.1505460000000003</v>
      </c>
    </row>
    <row r="1541" spans="1:13" x14ac:dyDescent="0.25">
      <c r="A1541" s="15" t="s">
        <v>4296</v>
      </c>
      <c r="B1541" s="15" t="s">
        <v>4294</v>
      </c>
      <c r="C1541" s="54">
        <v>9.1298300000000001</v>
      </c>
      <c r="D1541" s="26">
        <v>1.3194444444444444E-2</v>
      </c>
      <c r="E1541" s="55">
        <v>-23.589148000000002</v>
      </c>
      <c r="F1541" s="55">
        <v>-46.830677999999999</v>
      </c>
      <c r="G1541" s="55">
        <v>-23.592714999999998</v>
      </c>
      <c r="H1541" s="55">
        <v>-46.801935999999998</v>
      </c>
      <c r="I1541" s="55">
        <v>-23.585232999999999</v>
      </c>
      <c r="J1541" s="55">
        <v>-46.738391999999997</v>
      </c>
      <c r="L1541" s="61" t="str">
        <f t="shared" si="24"/>
        <v>Cliente26-Cliente24</v>
      </c>
      <c r="M1541">
        <v>9.1298300000000001</v>
      </c>
    </row>
    <row r="1542" spans="1:13" x14ac:dyDescent="0.25">
      <c r="A1542" s="15" t="s">
        <v>4296</v>
      </c>
      <c r="B1542" s="15" t="s">
        <v>4295</v>
      </c>
      <c r="C1542" s="52">
        <v>12.014241999999999</v>
      </c>
      <c r="D1542" s="25">
        <v>1.6666666666666666E-2</v>
      </c>
      <c r="E1542" s="53">
        <v>-23.589282999999998</v>
      </c>
      <c r="F1542" s="53">
        <v>-46.829937999999999</v>
      </c>
      <c r="G1542" s="53">
        <v>-23.609666000000001</v>
      </c>
      <c r="H1542" s="53">
        <v>-46.815767000000001</v>
      </c>
      <c r="I1542" s="53">
        <v>-23.619132</v>
      </c>
      <c r="J1542" s="53">
        <v>-46.809424999999997</v>
      </c>
      <c r="L1542" s="61" t="str">
        <f t="shared" si="24"/>
        <v>Cliente26-Cliente25</v>
      </c>
      <c r="M1542">
        <v>12.014241999999999</v>
      </c>
    </row>
    <row r="1543" spans="1:13" x14ac:dyDescent="0.25">
      <c r="A1543" s="15" t="s">
        <v>4296</v>
      </c>
      <c r="B1543" s="15" t="s">
        <v>4296</v>
      </c>
      <c r="C1543" s="54">
        <v>0</v>
      </c>
      <c r="D1543" s="26">
        <v>0</v>
      </c>
      <c r="E1543" s="55">
        <f>'1. Locais'!D30</f>
        <v>-23.58915</v>
      </c>
      <c r="F1543" s="55">
        <f>'1. Locais'!E30</f>
        <v>-46.816899999999997</v>
      </c>
      <c r="G1543" s="55">
        <f>'1. Locais'!D30</f>
        <v>-23.58915</v>
      </c>
      <c r="H1543" s="55">
        <f>'1. Locais'!E30</f>
        <v>-46.816899999999997</v>
      </c>
      <c r="I1543" s="55">
        <f>'1. Locais'!D30</f>
        <v>-23.58915</v>
      </c>
      <c r="J1543" s="55">
        <f>'1. Locais'!E30</f>
        <v>-46.816899999999997</v>
      </c>
      <c r="L1543" s="61" t="str">
        <f t="shared" si="24"/>
        <v>Cliente26-Cliente26</v>
      </c>
      <c r="M1543">
        <v>0</v>
      </c>
    </row>
    <row r="1544" spans="1:13" x14ac:dyDescent="0.25">
      <c r="A1544" s="15" t="s">
        <v>4296</v>
      </c>
      <c r="B1544" s="15" t="s">
        <v>4297</v>
      </c>
      <c r="C1544" s="52">
        <v>9.9295360000000006</v>
      </c>
      <c r="D1544" s="25">
        <v>1.3888888888888888E-2</v>
      </c>
      <c r="E1544" s="53">
        <v>-23.589068999999999</v>
      </c>
      <c r="F1544" s="53">
        <v>-46.830491000000002</v>
      </c>
      <c r="G1544" s="53">
        <v>-23.585851999999999</v>
      </c>
      <c r="H1544" s="53">
        <v>-46.789147999999997</v>
      </c>
      <c r="I1544" s="53">
        <v>-23.585173000000001</v>
      </c>
      <c r="J1544" s="53">
        <v>-46.738021000000003</v>
      </c>
      <c r="L1544" s="61" t="str">
        <f t="shared" si="24"/>
        <v>Cliente26-Cliente27</v>
      </c>
      <c r="M1544">
        <v>9.9295360000000006</v>
      </c>
    </row>
    <row r="1545" spans="1:13" x14ac:dyDescent="0.25">
      <c r="A1545" s="15" t="s">
        <v>4296</v>
      </c>
      <c r="B1545" s="15" t="s">
        <v>4298</v>
      </c>
      <c r="C1545" s="54">
        <v>18.850584999999999</v>
      </c>
      <c r="D1545" s="26">
        <v>2.8472222222222222E-2</v>
      </c>
      <c r="E1545" s="55">
        <v>-23.589513</v>
      </c>
      <c r="F1545" s="55">
        <v>-46.814855000000001</v>
      </c>
      <c r="G1545" s="55">
        <v>-23.574956</v>
      </c>
      <c r="H1545" s="55">
        <v>-46.716742000000004</v>
      </c>
      <c r="I1545" s="55">
        <v>-23.616012999999999</v>
      </c>
      <c r="J1545" s="55">
        <v>-46.701434999999996</v>
      </c>
      <c r="L1545" s="61" t="str">
        <f t="shared" si="24"/>
        <v>Cliente26-Cliente28</v>
      </c>
      <c r="M1545">
        <v>18.850584999999999</v>
      </c>
    </row>
    <row r="1546" spans="1:13" x14ac:dyDescent="0.25">
      <c r="A1546" s="15" t="s">
        <v>4296</v>
      </c>
      <c r="B1546" s="15" t="s">
        <v>4299</v>
      </c>
      <c r="C1546" s="52">
        <v>23.494102999999999</v>
      </c>
      <c r="D1546" s="25">
        <v>3.4722222222222224E-2</v>
      </c>
      <c r="E1546" s="53">
        <v>-23.584689000000001</v>
      </c>
      <c r="F1546" s="53">
        <v>-46.786973000000003</v>
      </c>
      <c r="G1546" s="53">
        <v>-23.573504</v>
      </c>
      <c r="H1546" s="53">
        <v>-46.700606000000001</v>
      </c>
      <c r="I1546" s="53">
        <v>-23.626908</v>
      </c>
      <c r="J1546" s="53">
        <v>-46.617347000000002</v>
      </c>
      <c r="L1546" s="61" t="str">
        <f t="shared" si="24"/>
        <v>Cliente26-Cliente29</v>
      </c>
      <c r="M1546">
        <v>23.494102999999999</v>
      </c>
    </row>
    <row r="1547" spans="1:13" x14ac:dyDescent="0.25">
      <c r="A1547" s="15" t="s">
        <v>4296</v>
      </c>
      <c r="B1547" s="15" t="s">
        <v>4300</v>
      </c>
      <c r="C1547" s="54">
        <v>42.915107999999996</v>
      </c>
      <c r="D1547" s="26">
        <v>4.8611111111111112E-2</v>
      </c>
      <c r="E1547" s="55">
        <v>-23.579266000000001</v>
      </c>
      <c r="F1547" s="55">
        <v>-46.728299</v>
      </c>
      <c r="G1547" s="55">
        <v>-23.633305</v>
      </c>
      <c r="H1547" s="55">
        <v>-46.630270000000003</v>
      </c>
      <c r="I1547" s="55">
        <v>-23.763079999999999</v>
      </c>
      <c r="J1547" s="55">
        <v>-46.532470000000004</v>
      </c>
      <c r="L1547" s="61" t="str">
        <f t="shared" si="24"/>
        <v>Cliente26-Cliente30</v>
      </c>
      <c r="M1547">
        <v>42.915107999999996</v>
      </c>
    </row>
    <row r="1548" spans="1:13" x14ac:dyDescent="0.25">
      <c r="A1548" s="15" t="s">
        <v>4296</v>
      </c>
      <c r="B1548" s="15" t="s">
        <v>4301</v>
      </c>
      <c r="C1548" s="52">
        <v>8.1946639999999995</v>
      </c>
      <c r="D1548" s="25">
        <v>1.5972222222222224E-2</v>
      </c>
      <c r="E1548" s="53">
        <v>-23.589898000000002</v>
      </c>
      <c r="F1548" s="53">
        <v>-46.829982999999999</v>
      </c>
      <c r="G1548" s="53">
        <v>-23.583414999999999</v>
      </c>
      <c r="H1548" s="53">
        <v>-46.808186999999997</v>
      </c>
      <c r="I1548" s="53">
        <v>-23.553972000000002</v>
      </c>
      <c r="J1548" s="53">
        <v>-46.810454999999997</v>
      </c>
      <c r="L1548" s="61" t="str">
        <f t="shared" si="24"/>
        <v>Cliente26-Cliente31</v>
      </c>
      <c r="M1548">
        <v>8.1946639999999995</v>
      </c>
    </row>
    <row r="1549" spans="1:13" x14ac:dyDescent="0.25">
      <c r="A1549" s="15" t="s">
        <v>4296</v>
      </c>
      <c r="B1549" s="15" t="s">
        <v>4302</v>
      </c>
      <c r="C1549" s="54">
        <v>17.530168</v>
      </c>
      <c r="D1549" s="26">
        <v>2.2916666666666669E-2</v>
      </c>
      <c r="E1549" s="55">
        <v>-23.589262999999999</v>
      </c>
      <c r="F1549" s="55">
        <v>-46.815494999999999</v>
      </c>
      <c r="G1549" s="55">
        <v>-23.52223</v>
      </c>
      <c r="H1549" s="55">
        <v>-46.816177000000003</v>
      </c>
      <c r="I1549" s="55">
        <v>-23.511897000000001</v>
      </c>
      <c r="J1549" s="55">
        <v>-46.727139000000001</v>
      </c>
      <c r="L1549" s="61" t="str">
        <f t="shared" si="24"/>
        <v>Cliente26-Cliente32</v>
      </c>
      <c r="M1549">
        <v>17.530168</v>
      </c>
    </row>
    <row r="1550" spans="1:13" x14ac:dyDescent="0.25">
      <c r="A1550" s="15" t="s">
        <v>4296</v>
      </c>
      <c r="B1550" s="15" t="s">
        <v>4303</v>
      </c>
      <c r="C1550" s="52">
        <v>31.542123</v>
      </c>
      <c r="D1550" s="25">
        <v>3.7499999999999999E-2</v>
      </c>
      <c r="E1550" s="53">
        <v>-23.592813</v>
      </c>
      <c r="F1550" s="53">
        <v>-46.810338000000002</v>
      </c>
      <c r="G1550" s="53">
        <v>-23.521049999999999</v>
      </c>
      <c r="H1550" s="53">
        <v>-46.746671999999997</v>
      </c>
      <c r="I1550" s="53">
        <v>-23.530087999999999</v>
      </c>
      <c r="J1550" s="53">
        <v>-46.591613000000002</v>
      </c>
      <c r="L1550" s="61" t="str">
        <f t="shared" si="24"/>
        <v>Cliente26-Cliente33</v>
      </c>
      <c r="M1550">
        <v>31.542123</v>
      </c>
    </row>
    <row r="1551" spans="1:13" x14ac:dyDescent="0.25">
      <c r="A1551" s="15" t="s">
        <v>4296</v>
      </c>
      <c r="B1551" s="15" t="s">
        <v>4304</v>
      </c>
      <c r="C1551" s="54">
        <v>15.501386</v>
      </c>
      <c r="D1551" s="26">
        <v>2.2222222222222223E-2</v>
      </c>
      <c r="E1551" s="55">
        <v>-23.590108000000001</v>
      </c>
      <c r="F1551" s="55">
        <v>-46.814055000000003</v>
      </c>
      <c r="G1551" s="55">
        <v>-23.519534</v>
      </c>
      <c r="H1551" s="55">
        <v>-46.814542000000003</v>
      </c>
      <c r="I1551" s="55">
        <v>-23.487698000000002</v>
      </c>
      <c r="J1551" s="55">
        <v>-46.834220000000002</v>
      </c>
      <c r="L1551" s="61" t="str">
        <f t="shared" si="24"/>
        <v>Cliente26-Cliente34</v>
      </c>
      <c r="M1551">
        <v>15.501386</v>
      </c>
    </row>
    <row r="1552" spans="1:13" x14ac:dyDescent="0.25">
      <c r="A1552" s="15" t="s">
        <v>4296</v>
      </c>
      <c r="B1552" s="15" t="s">
        <v>4305</v>
      </c>
      <c r="C1552" s="52">
        <v>16.097282</v>
      </c>
      <c r="D1552" s="25">
        <v>2.1527777777777781E-2</v>
      </c>
      <c r="E1552" s="53">
        <v>-23.589271</v>
      </c>
      <c r="F1552" s="53">
        <v>-46.815981000000001</v>
      </c>
      <c r="G1552" s="53">
        <v>-23.53201</v>
      </c>
      <c r="H1552" s="53">
        <v>-46.817878</v>
      </c>
      <c r="I1552" s="53">
        <v>-23.491039000000001</v>
      </c>
      <c r="J1552" s="53">
        <v>-46.853521999999998</v>
      </c>
      <c r="L1552" s="61" t="str">
        <f t="shared" si="24"/>
        <v>Cliente26-Cliente35</v>
      </c>
      <c r="M1552">
        <v>16.097282</v>
      </c>
    </row>
    <row r="1553" spans="1:13" x14ac:dyDescent="0.25">
      <c r="A1553" s="15" t="s">
        <v>4296</v>
      </c>
      <c r="B1553" s="15" t="s">
        <v>4306</v>
      </c>
      <c r="C1553" s="54">
        <v>147.480334</v>
      </c>
      <c r="D1553" s="26">
        <v>0.12430555555555556</v>
      </c>
      <c r="E1553" s="55">
        <v>-23.407268999999999</v>
      </c>
      <c r="F1553" s="55">
        <v>-46.767541999999999</v>
      </c>
      <c r="G1553" s="55">
        <v>-23.007109</v>
      </c>
      <c r="H1553" s="55">
        <v>-47.094681000000001</v>
      </c>
      <c r="I1553" s="55">
        <v>-22.500387</v>
      </c>
      <c r="J1553" s="55">
        <v>-47.397807</v>
      </c>
      <c r="L1553" s="61" t="str">
        <f t="shared" si="24"/>
        <v>Cliente26-Cliente36</v>
      </c>
      <c r="M1553">
        <v>147.480334</v>
      </c>
    </row>
    <row r="1554" spans="1:13" x14ac:dyDescent="0.25">
      <c r="A1554" s="15" t="s">
        <v>4296</v>
      </c>
      <c r="B1554" s="15" t="s">
        <v>4307</v>
      </c>
      <c r="C1554" s="52">
        <v>146.383611</v>
      </c>
      <c r="D1554" s="25">
        <v>0.12291666666666667</v>
      </c>
      <c r="E1554" s="53">
        <v>-23.384008999999999</v>
      </c>
      <c r="F1554" s="53">
        <v>-46.769190999999999</v>
      </c>
      <c r="G1554" s="53">
        <v>-22.992255</v>
      </c>
      <c r="H1554" s="53">
        <v>-47.110019000000001</v>
      </c>
      <c r="I1554" s="53">
        <v>-22.472346000000002</v>
      </c>
      <c r="J1554" s="53">
        <v>-47.500408</v>
      </c>
      <c r="L1554" s="61" t="str">
        <f t="shared" ref="L1554:L1617" si="25">_xlfn.CONCAT(A1554,"-",B1554)</f>
        <v>Cliente26-Cliente37</v>
      </c>
      <c r="M1554">
        <v>146.383611</v>
      </c>
    </row>
    <row r="1555" spans="1:13" x14ac:dyDescent="0.25">
      <c r="A1555" s="15" t="s">
        <v>4296</v>
      </c>
      <c r="B1555" s="15" t="s">
        <v>4308</v>
      </c>
      <c r="C1555" s="54">
        <v>144.60710599999999</v>
      </c>
      <c r="D1555" s="26">
        <v>0.12083333333333333</v>
      </c>
      <c r="E1555" s="55">
        <v>-23.410371000000001</v>
      </c>
      <c r="F1555" s="55">
        <v>-46.767124000000003</v>
      </c>
      <c r="G1555" s="55">
        <v>-23.016698000000002</v>
      </c>
      <c r="H1555" s="55">
        <v>-47.082101000000002</v>
      </c>
      <c r="I1555" s="55">
        <v>-22.503412999999998</v>
      </c>
      <c r="J1555" s="55">
        <v>-47.399394999999998</v>
      </c>
      <c r="L1555" s="61" t="str">
        <f t="shared" si="25"/>
        <v>Cliente26-Cliente38</v>
      </c>
      <c r="M1555">
        <v>144.60710599999999</v>
      </c>
    </row>
    <row r="1556" spans="1:13" x14ac:dyDescent="0.25">
      <c r="A1556" s="15" t="s">
        <v>4296</v>
      </c>
      <c r="B1556" s="15" t="s">
        <v>4309</v>
      </c>
      <c r="C1556" s="52">
        <v>101.27940599999999</v>
      </c>
      <c r="D1556" s="25">
        <v>9.4444444444444442E-2</v>
      </c>
      <c r="E1556" s="53">
        <v>-23.520956999999999</v>
      </c>
      <c r="F1556" s="53">
        <v>-46.815607999999997</v>
      </c>
      <c r="G1556" s="53">
        <v>-23.481570000000001</v>
      </c>
      <c r="H1556" s="53">
        <v>-46.534331999999999</v>
      </c>
      <c r="I1556" s="53">
        <v>-23.31466</v>
      </c>
      <c r="J1556" s="53">
        <v>-46.068956</v>
      </c>
      <c r="L1556" s="61" t="str">
        <f t="shared" si="25"/>
        <v>Cliente26-Cliente39</v>
      </c>
      <c r="M1556">
        <v>101.27940599999999</v>
      </c>
    </row>
    <row r="1557" spans="1:13" x14ac:dyDescent="0.25">
      <c r="A1557" s="15" t="s">
        <v>4296</v>
      </c>
      <c r="B1557" s="15" t="s">
        <v>4310</v>
      </c>
      <c r="C1557" s="54">
        <v>106.13481299999999</v>
      </c>
      <c r="D1557" s="26">
        <v>0.10277777777777779</v>
      </c>
      <c r="E1557" s="55">
        <v>-23.512547999999999</v>
      </c>
      <c r="F1557" s="55">
        <v>-46.802211999999997</v>
      </c>
      <c r="G1557" s="55">
        <v>-23.407972999999998</v>
      </c>
      <c r="H1557" s="55">
        <v>-46.338434999999997</v>
      </c>
      <c r="I1557" s="55">
        <v>-23.242025000000002</v>
      </c>
      <c r="J1557" s="55">
        <v>-45.923810000000003</v>
      </c>
      <c r="L1557" s="61" t="str">
        <f t="shared" si="25"/>
        <v>Cliente26-Cliente40</v>
      </c>
      <c r="M1557">
        <v>106.13481299999999</v>
      </c>
    </row>
    <row r="1558" spans="1:13" x14ac:dyDescent="0.25">
      <c r="A1558" s="15" t="s">
        <v>4296</v>
      </c>
      <c r="B1558" s="15" t="s">
        <v>4311</v>
      </c>
      <c r="C1558" s="52">
        <v>92.317969000000005</v>
      </c>
      <c r="D1558" s="25">
        <v>8.8888888888888892E-2</v>
      </c>
      <c r="E1558" s="53">
        <v>-23.512885000000001</v>
      </c>
      <c r="F1558" s="53">
        <v>-46.809908999999998</v>
      </c>
      <c r="G1558" s="53">
        <v>-23.459603000000001</v>
      </c>
      <c r="H1558" s="53">
        <v>-46.484631</v>
      </c>
      <c r="I1558" s="53">
        <v>-23.307099999999998</v>
      </c>
      <c r="J1558" s="53">
        <v>-46.041167000000002</v>
      </c>
      <c r="L1558" s="61" t="str">
        <f t="shared" si="25"/>
        <v>Cliente26-Cliente41</v>
      </c>
      <c r="M1558">
        <v>92.317969000000005</v>
      </c>
    </row>
    <row r="1559" spans="1:13" x14ac:dyDescent="0.25">
      <c r="A1559" s="15" t="s">
        <v>4296</v>
      </c>
      <c r="B1559" s="15" t="s">
        <v>4312</v>
      </c>
      <c r="C1559" s="54">
        <v>88.846981</v>
      </c>
      <c r="D1559" s="26">
        <v>8.1250000000000003E-2</v>
      </c>
      <c r="E1559" s="55">
        <v>-23.547575999999999</v>
      </c>
      <c r="F1559" s="55">
        <v>-46.820120000000003</v>
      </c>
      <c r="G1559" s="55">
        <v>-23.523824999999999</v>
      </c>
      <c r="H1559" s="55">
        <v>-46.609220000000001</v>
      </c>
      <c r="I1559" s="55">
        <v>-23.356480999999999</v>
      </c>
      <c r="J1559" s="55">
        <v>-46.205931</v>
      </c>
      <c r="L1559" s="61" t="str">
        <f t="shared" si="25"/>
        <v>Cliente26-Cliente42</v>
      </c>
      <c r="M1559">
        <v>88.846981</v>
      </c>
    </row>
    <row r="1560" spans="1:13" x14ac:dyDescent="0.25">
      <c r="A1560" s="15" t="s">
        <v>4296</v>
      </c>
      <c r="B1560" s="15" t="s">
        <v>4313</v>
      </c>
      <c r="C1560" s="52">
        <v>111.499745</v>
      </c>
      <c r="D1560" s="25">
        <v>0.1013888888888889</v>
      </c>
      <c r="E1560" s="53">
        <v>-23.511500999999999</v>
      </c>
      <c r="F1560" s="53">
        <v>-46.806353999999999</v>
      </c>
      <c r="G1560" s="53">
        <v>-23.412475000000001</v>
      </c>
      <c r="H1560" s="53">
        <v>-46.357961000000003</v>
      </c>
      <c r="I1560" s="53">
        <v>-23.259274000000001</v>
      </c>
      <c r="J1560" s="53">
        <v>-45.949660999999999</v>
      </c>
      <c r="L1560" s="61" t="str">
        <f t="shared" si="25"/>
        <v>Cliente26-Cliente43</v>
      </c>
      <c r="M1560">
        <v>111.499745</v>
      </c>
    </row>
    <row r="1561" spans="1:13" x14ac:dyDescent="0.25">
      <c r="A1561" s="15" t="s">
        <v>4296</v>
      </c>
      <c r="B1561" s="15" t="s">
        <v>4314</v>
      </c>
      <c r="C1561" s="54">
        <v>59.466614</v>
      </c>
      <c r="D1561" s="26">
        <v>5.9027777777777783E-2</v>
      </c>
      <c r="E1561" s="55">
        <v>-23.568210000000001</v>
      </c>
      <c r="F1561" s="55">
        <v>-46.815204999999999</v>
      </c>
      <c r="G1561" s="55">
        <v>-23.472822000000001</v>
      </c>
      <c r="H1561" s="55">
        <v>-47.006312000000001</v>
      </c>
      <c r="I1561" s="55">
        <v>-23.407094000000001</v>
      </c>
      <c r="J1561" s="55">
        <v>-47.292929999999998</v>
      </c>
      <c r="L1561" s="61" t="str">
        <f t="shared" si="25"/>
        <v>Cliente26-Cliente44</v>
      </c>
      <c r="M1561">
        <v>59.466614</v>
      </c>
    </row>
    <row r="1562" spans="1:13" x14ac:dyDescent="0.25">
      <c r="A1562" s="15" t="s">
        <v>4296</v>
      </c>
      <c r="B1562" s="15" t="s">
        <v>4315</v>
      </c>
      <c r="C1562" s="52">
        <v>65.986677999999998</v>
      </c>
      <c r="D1562" s="25">
        <v>6.3888888888888884E-2</v>
      </c>
      <c r="E1562" s="53">
        <v>-23.533742</v>
      </c>
      <c r="F1562" s="53">
        <v>-46.817895</v>
      </c>
      <c r="G1562" s="53">
        <v>-23.430001000000001</v>
      </c>
      <c r="H1562" s="53">
        <v>-47.128892</v>
      </c>
      <c r="I1562" s="53">
        <v>-23.478576</v>
      </c>
      <c r="J1562" s="53">
        <v>-47.382755000000003</v>
      </c>
      <c r="L1562" s="61" t="str">
        <f t="shared" si="25"/>
        <v>Cliente26-Cliente45</v>
      </c>
      <c r="M1562">
        <v>65.986677999999998</v>
      </c>
    </row>
    <row r="1563" spans="1:13" x14ac:dyDescent="0.25">
      <c r="A1563" s="15" t="s">
        <v>4296</v>
      </c>
      <c r="B1563" s="15" t="s">
        <v>4316</v>
      </c>
      <c r="C1563" s="54">
        <v>57.547815</v>
      </c>
      <c r="D1563" s="26">
        <v>5.5555555555555552E-2</v>
      </c>
      <c r="E1563" s="55">
        <v>-23.568670999999998</v>
      </c>
      <c r="F1563" s="55">
        <v>-46.814351000000002</v>
      </c>
      <c r="G1563" s="55">
        <v>-23.477884</v>
      </c>
      <c r="H1563" s="55">
        <v>-46.998716000000002</v>
      </c>
      <c r="I1563" s="55">
        <v>-23.41029</v>
      </c>
      <c r="J1563" s="55">
        <v>-47.277223999999997</v>
      </c>
      <c r="L1563" s="61" t="str">
        <f t="shared" si="25"/>
        <v>Cliente26-Cliente46</v>
      </c>
      <c r="M1563">
        <v>57.547815</v>
      </c>
    </row>
    <row r="1564" spans="1:13" x14ac:dyDescent="0.25">
      <c r="A1564" s="15" t="s">
        <v>4296</v>
      </c>
      <c r="B1564" s="15" t="s">
        <v>4317</v>
      </c>
      <c r="C1564" s="52">
        <v>193.936645</v>
      </c>
      <c r="D1564" s="25">
        <v>0.15833333333333333</v>
      </c>
      <c r="E1564" s="53">
        <v>-23.373532999999998</v>
      </c>
      <c r="F1564" s="53">
        <v>-46.777709000000002</v>
      </c>
      <c r="G1564" s="53">
        <v>-22.942851999999998</v>
      </c>
      <c r="H1564" s="53">
        <v>-47.125774999999997</v>
      </c>
      <c r="I1564" s="53">
        <v>-22.335405000000002</v>
      </c>
      <c r="J1564" s="53">
        <v>-47.389561</v>
      </c>
      <c r="L1564" s="61" t="str">
        <f t="shared" si="25"/>
        <v>Cliente26-Cliente47</v>
      </c>
      <c r="M1564">
        <v>193.936645</v>
      </c>
    </row>
    <row r="1565" spans="1:13" x14ac:dyDescent="0.25">
      <c r="A1565" s="15" t="s">
        <v>4296</v>
      </c>
      <c r="B1565" s="15" t="s">
        <v>4318</v>
      </c>
      <c r="C1565" s="54">
        <v>203.047833</v>
      </c>
      <c r="D1565" s="26">
        <v>0.16666666666666666</v>
      </c>
      <c r="E1565" s="55">
        <v>-23.350467999999999</v>
      </c>
      <c r="F1565" s="55">
        <v>-46.806269</v>
      </c>
      <c r="G1565" s="55">
        <v>-22.867118999999999</v>
      </c>
      <c r="H1565" s="55">
        <v>-47.132691000000001</v>
      </c>
      <c r="I1565" s="55">
        <v>-21.964701000000002</v>
      </c>
      <c r="J1565" s="55">
        <v>-47.457093999999998</v>
      </c>
      <c r="L1565" s="61" t="str">
        <f t="shared" si="25"/>
        <v>Cliente26-Cliente48</v>
      </c>
      <c r="M1565">
        <v>203.047833</v>
      </c>
    </row>
    <row r="1566" spans="1:13" x14ac:dyDescent="0.25">
      <c r="A1566" s="15" t="s">
        <v>4296</v>
      </c>
      <c r="B1566" s="15" t="s">
        <v>4319</v>
      </c>
      <c r="C1566" s="52">
        <v>196.685598</v>
      </c>
      <c r="D1566" s="25">
        <v>0.16250000000000001</v>
      </c>
      <c r="E1566" s="53">
        <v>-23.356573000000001</v>
      </c>
      <c r="F1566" s="53">
        <v>-46.788603999999999</v>
      </c>
      <c r="G1566" s="53">
        <v>-22.900372999999998</v>
      </c>
      <c r="H1566" s="53">
        <v>-47.136681000000003</v>
      </c>
      <c r="I1566" s="53">
        <v>-22.221243000000001</v>
      </c>
      <c r="J1566" s="53">
        <v>-47.391905000000001</v>
      </c>
      <c r="L1566" s="61" t="str">
        <f t="shared" si="25"/>
        <v>Cliente26-Cliente49</v>
      </c>
      <c r="M1566">
        <v>196.685598</v>
      </c>
    </row>
    <row r="1567" spans="1:13" x14ac:dyDescent="0.25">
      <c r="A1567" s="15" t="s">
        <v>4296</v>
      </c>
      <c r="B1567" s="15" t="s">
        <v>4320</v>
      </c>
      <c r="C1567" s="54">
        <v>202.92604399999999</v>
      </c>
      <c r="D1567" s="26">
        <v>0.16597222222222222</v>
      </c>
      <c r="E1567" s="55">
        <v>-23.515350000000002</v>
      </c>
      <c r="F1567" s="55">
        <v>-46.963603999999997</v>
      </c>
      <c r="G1567" s="55">
        <v>-23.282547999999998</v>
      </c>
      <c r="H1567" s="55">
        <v>-47.807020000000001</v>
      </c>
      <c r="I1567" s="55">
        <v>-22.887540999999999</v>
      </c>
      <c r="J1567" s="55">
        <v>-48.459043000000001</v>
      </c>
      <c r="L1567" s="61" t="str">
        <f t="shared" si="25"/>
        <v>Cliente26-Cliente50</v>
      </c>
      <c r="M1567">
        <v>202.92604399999999</v>
      </c>
    </row>
    <row r="1568" spans="1:13" x14ac:dyDescent="0.25">
      <c r="A1568" s="15" t="s">
        <v>4296</v>
      </c>
      <c r="B1568" s="15" t="s">
        <v>4321</v>
      </c>
      <c r="C1568" s="52">
        <v>199.45816300000001</v>
      </c>
      <c r="D1568" s="25">
        <v>0.16319444444444445</v>
      </c>
      <c r="E1568" s="53">
        <v>-23.519196000000001</v>
      </c>
      <c r="F1568" s="53">
        <v>-46.949882000000002</v>
      </c>
      <c r="G1568" s="53">
        <v>-23.294111000000001</v>
      </c>
      <c r="H1568" s="53">
        <v>-47.695563999999997</v>
      </c>
      <c r="I1568" s="53">
        <v>-22.905252999999998</v>
      </c>
      <c r="J1568" s="53">
        <v>-48.453415</v>
      </c>
      <c r="L1568" s="61" t="str">
        <f t="shared" si="25"/>
        <v>Cliente26-Cliente51</v>
      </c>
      <c r="M1568">
        <v>199.45816300000001</v>
      </c>
    </row>
    <row r="1569" spans="1:13" x14ac:dyDescent="0.25">
      <c r="A1569" s="15" t="s">
        <v>4297</v>
      </c>
      <c r="B1569" s="15" t="s">
        <v>4268</v>
      </c>
      <c r="C1569" s="54">
        <v>62.235450999999998</v>
      </c>
      <c r="D1569" s="26">
        <v>5.7638888888888885E-2</v>
      </c>
      <c r="E1569" s="55">
        <v>-23.592995999999999</v>
      </c>
      <c r="F1569" s="55">
        <v>-46.804395999999997</v>
      </c>
      <c r="G1569" s="55">
        <v>-23.517648000000001</v>
      </c>
      <c r="H1569" s="55">
        <v>-46.936987000000002</v>
      </c>
      <c r="I1569" s="55">
        <v>-23.418369999999999</v>
      </c>
      <c r="J1569" s="55">
        <v>-47.218603999999999</v>
      </c>
      <c r="L1569" s="61" t="str">
        <f t="shared" si="25"/>
        <v>Cliente27-depósito A</v>
      </c>
      <c r="M1569">
        <v>62.235450999999998</v>
      </c>
    </row>
    <row r="1570" spans="1:13" x14ac:dyDescent="0.25">
      <c r="A1570" s="15" t="s">
        <v>4297</v>
      </c>
      <c r="B1570" s="15" t="s">
        <v>4269</v>
      </c>
      <c r="C1570" s="52">
        <v>174.16704999999999</v>
      </c>
      <c r="D1570" s="25">
        <v>0.15069444444444444</v>
      </c>
      <c r="E1570" s="53">
        <v>-23.480018000000001</v>
      </c>
      <c r="F1570" s="53">
        <v>-46.738311000000003</v>
      </c>
      <c r="G1570" s="53">
        <v>-23.039894</v>
      </c>
      <c r="H1570" s="53">
        <v>-47.066622000000002</v>
      </c>
      <c r="I1570" s="53">
        <v>-22.500387</v>
      </c>
      <c r="J1570" s="53">
        <v>-47.397807</v>
      </c>
      <c r="L1570" s="61" t="str">
        <f t="shared" si="25"/>
        <v>Cliente27-depósito B</v>
      </c>
      <c r="M1570">
        <v>174.16704999999999</v>
      </c>
    </row>
    <row r="1571" spans="1:13" x14ac:dyDescent="0.25">
      <c r="A1571" s="15" t="s">
        <v>4297</v>
      </c>
      <c r="B1571" s="15" t="s">
        <v>4270</v>
      </c>
      <c r="C1571" s="54">
        <v>59.444865999999998</v>
      </c>
      <c r="D1571" s="26">
        <v>6.805555555555555E-2</v>
      </c>
      <c r="E1571" s="55">
        <v>-23.537993</v>
      </c>
      <c r="F1571" s="55">
        <v>-46.674348000000002</v>
      </c>
      <c r="G1571" s="55">
        <v>-23.529885</v>
      </c>
      <c r="H1571" s="55">
        <v>-46.594482999999997</v>
      </c>
      <c r="I1571" s="55">
        <v>-23.359110999999999</v>
      </c>
      <c r="J1571" s="55">
        <v>-46.216082</v>
      </c>
      <c r="L1571" s="61" t="str">
        <f t="shared" si="25"/>
        <v>Cliente27-depósito C</v>
      </c>
      <c r="M1571">
        <v>59.444865999999998</v>
      </c>
    </row>
    <row r="1572" spans="1:13" x14ac:dyDescent="0.25">
      <c r="A1572" s="15" t="s">
        <v>4297</v>
      </c>
      <c r="B1572" s="15" t="s">
        <v>4271</v>
      </c>
      <c r="C1572" s="52">
        <v>65.078231000000002</v>
      </c>
      <c r="D1572" s="25">
        <v>6.1805555555555558E-2</v>
      </c>
      <c r="E1572" s="53">
        <v>-23.566341000000001</v>
      </c>
      <c r="F1572" s="53">
        <v>-46.818734999999997</v>
      </c>
      <c r="G1572" s="53">
        <v>-23.356983</v>
      </c>
      <c r="H1572" s="53">
        <v>-46.787567000000003</v>
      </c>
      <c r="I1572" s="53">
        <v>-23.1281</v>
      </c>
      <c r="J1572" s="53">
        <v>-46.981898999999999</v>
      </c>
      <c r="L1572" s="61" t="str">
        <f t="shared" si="25"/>
        <v>Cliente27-Cliente1</v>
      </c>
      <c r="M1572">
        <v>65.078231000000002</v>
      </c>
    </row>
    <row r="1573" spans="1:13" x14ac:dyDescent="0.25">
      <c r="A1573" s="15" t="s">
        <v>4297</v>
      </c>
      <c r="B1573" s="15" t="s">
        <v>4272</v>
      </c>
      <c r="C1573" s="54">
        <v>68.846234999999993</v>
      </c>
      <c r="D1573" s="26">
        <v>6.7361111111111108E-2</v>
      </c>
      <c r="E1573" s="55">
        <v>-23.550408000000001</v>
      </c>
      <c r="F1573" s="55">
        <v>-46.820346999999998</v>
      </c>
      <c r="G1573" s="55">
        <v>-23.335598000000001</v>
      </c>
      <c r="H1573" s="55">
        <v>-46.822468999999998</v>
      </c>
      <c r="I1573" s="55">
        <v>-23.049875</v>
      </c>
      <c r="J1573" s="55">
        <v>-47.052557</v>
      </c>
      <c r="L1573" s="61" t="str">
        <f t="shared" si="25"/>
        <v>Cliente27-Cliente2</v>
      </c>
      <c r="M1573">
        <v>68.846234999999993</v>
      </c>
    </row>
    <row r="1574" spans="1:13" x14ac:dyDescent="0.25">
      <c r="A1574" s="15" t="s">
        <v>4297</v>
      </c>
      <c r="B1574" s="15" t="s">
        <v>4273</v>
      </c>
      <c r="C1574" s="52">
        <v>66.825530999999998</v>
      </c>
      <c r="D1574" s="25">
        <v>6.458333333333334E-2</v>
      </c>
      <c r="E1574" s="53">
        <v>-23.563891000000002</v>
      </c>
      <c r="F1574" s="53">
        <v>-46.820031</v>
      </c>
      <c r="G1574" s="53">
        <v>-23.351295</v>
      </c>
      <c r="H1574" s="53">
        <v>-46.79918</v>
      </c>
      <c r="I1574" s="53">
        <v>-23.096508</v>
      </c>
      <c r="J1574" s="53">
        <v>-47.015532</v>
      </c>
      <c r="L1574" s="61" t="str">
        <f t="shared" si="25"/>
        <v>Cliente27-Cliente3</v>
      </c>
      <c r="M1574">
        <v>66.825530999999998</v>
      </c>
    </row>
    <row r="1575" spans="1:13" x14ac:dyDescent="0.25">
      <c r="A1575" s="15" t="s">
        <v>4297</v>
      </c>
      <c r="B1575" s="15" t="s">
        <v>4274</v>
      </c>
      <c r="C1575" s="54">
        <v>76.982489999999999</v>
      </c>
      <c r="D1575" s="26">
        <v>7.1527777777777787E-2</v>
      </c>
      <c r="E1575" s="55">
        <v>-23.539774999999999</v>
      </c>
      <c r="F1575" s="55">
        <v>-46.817753000000003</v>
      </c>
      <c r="G1575" s="55">
        <v>-23.311568999999999</v>
      </c>
      <c r="H1575" s="55">
        <v>-46.827970999999998</v>
      </c>
      <c r="I1575" s="55">
        <v>-23.015098999999999</v>
      </c>
      <c r="J1575" s="55">
        <v>-47.083019</v>
      </c>
      <c r="L1575" s="61" t="str">
        <f t="shared" si="25"/>
        <v>Cliente27-Cliente4</v>
      </c>
      <c r="M1575">
        <v>76.982489999999999</v>
      </c>
    </row>
    <row r="1576" spans="1:13" x14ac:dyDescent="0.25">
      <c r="A1576" s="15" t="s">
        <v>4297</v>
      </c>
      <c r="B1576" s="15" t="s">
        <v>4275</v>
      </c>
      <c r="C1576" s="52">
        <v>77.075695999999994</v>
      </c>
      <c r="D1576" s="25">
        <v>7.1527777777777787E-2</v>
      </c>
      <c r="E1576" s="53">
        <v>-23.541488999999999</v>
      </c>
      <c r="F1576" s="53">
        <v>-46.818145999999999</v>
      </c>
      <c r="G1576" s="53">
        <v>-23.313171000000001</v>
      </c>
      <c r="H1576" s="53">
        <v>-46.825153999999998</v>
      </c>
      <c r="I1576" s="53">
        <v>-23.018000000000001</v>
      </c>
      <c r="J1576" s="53">
        <v>-47.080821999999998</v>
      </c>
      <c r="L1576" s="61" t="str">
        <f t="shared" si="25"/>
        <v>Cliente27-Cliente5</v>
      </c>
      <c r="M1576">
        <v>77.075695999999994</v>
      </c>
    </row>
    <row r="1577" spans="1:13" x14ac:dyDescent="0.25">
      <c r="A1577" s="15" t="s">
        <v>4297</v>
      </c>
      <c r="B1577" s="15" t="s">
        <v>4276</v>
      </c>
      <c r="C1577" s="54">
        <v>59.451079</v>
      </c>
      <c r="D1577" s="26">
        <v>6.0416666666666667E-2</v>
      </c>
      <c r="E1577" s="55">
        <v>-23.564626000000001</v>
      </c>
      <c r="F1577" s="55">
        <v>-46.819825999999999</v>
      </c>
      <c r="G1577" s="55">
        <v>-23.355618</v>
      </c>
      <c r="H1577" s="55">
        <v>-46.791853000000003</v>
      </c>
      <c r="I1577" s="55">
        <v>-23.131101999999998</v>
      </c>
      <c r="J1577" s="55">
        <v>-46.949874000000001</v>
      </c>
      <c r="L1577" s="61" t="str">
        <f t="shared" si="25"/>
        <v>Cliente27-Cliente6</v>
      </c>
      <c r="M1577">
        <v>59.451079</v>
      </c>
    </row>
    <row r="1578" spans="1:13" x14ac:dyDescent="0.25">
      <c r="A1578" s="15" t="s">
        <v>4297</v>
      </c>
      <c r="B1578" s="15" t="s">
        <v>4277</v>
      </c>
      <c r="C1578" s="52">
        <v>64.169162999999998</v>
      </c>
      <c r="D1578" s="25">
        <v>6.1111111111111116E-2</v>
      </c>
      <c r="E1578" s="53">
        <v>-23.56955</v>
      </c>
      <c r="F1578" s="53">
        <v>-46.813377000000003</v>
      </c>
      <c r="G1578" s="53">
        <v>-23.378996999999998</v>
      </c>
      <c r="H1578" s="53">
        <v>-46.771318000000001</v>
      </c>
      <c r="I1578" s="53">
        <v>-23.166861000000001</v>
      </c>
      <c r="J1578" s="53">
        <v>-46.942647000000001</v>
      </c>
      <c r="L1578" s="61" t="str">
        <f t="shared" si="25"/>
        <v>Cliente27-Cliente7</v>
      </c>
      <c r="M1578">
        <v>64.169162999999998</v>
      </c>
    </row>
    <row r="1579" spans="1:13" x14ac:dyDescent="0.25">
      <c r="A1579" s="15" t="s">
        <v>4297</v>
      </c>
      <c r="B1579" s="15" t="s">
        <v>4278</v>
      </c>
      <c r="C1579" s="54">
        <v>73.198950999999994</v>
      </c>
      <c r="D1579" s="26">
        <v>6.8749999999999992E-2</v>
      </c>
      <c r="E1579" s="55">
        <v>-23.538547999999999</v>
      </c>
      <c r="F1579" s="55">
        <v>-46.817613999999999</v>
      </c>
      <c r="G1579" s="55">
        <v>-23.309621</v>
      </c>
      <c r="H1579" s="55">
        <v>-46.833150000000003</v>
      </c>
      <c r="I1579" s="55">
        <v>-23.013434</v>
      </c>
      <c r="J1579" s="55">
        <v>-47.083367000000003</v>
      </c>
      <c r="L1579" s="61" t="str">
        <f t="shared" si="25"/>
        <v>Cliente27-Cliente8</v>
      </c>
      <c r="M1579">
        <v>73.198950999999994</v>
      </c>
    </row>
    <row r="1580" spans="1:13" x14ac:dyDescent="0.25">
      <c r="A1580" s="15" t="s">
        <v>4297</v>
      </c>
      <c r="B1580" s="15" t="s">
        <v>4279</v>
      </c>
      <c r="C1580" s="52">
        <v>85.211329000000006</v>
      </c>
      <c r="D1580" s="25">
        <v>7.9861111111111105E-2</v>
      </c>
      <c r="E1580" s="53">
        <v>-23.538547999999999</v>
      </c>
      <c r="F1580" s="53">
        <v>-46.817613999999999</v>
      </c>
      <c r="G1580" s="53">
        <v>-23.309621</v>
      </c>
      <c r="H1580" s="53">
        <v>-46.833150000000003</v>
      </c>
      <c r="I1580" s="53">
        <v>-23.007109</v>
      </c>
      <c r="J1580" s="53">
        <v>-47.094681000000001</v>
      </c>
      <c r="L1580" s="61" t="str">
        <f t="shared" si="25"/>
        <v>Cliente27-Cliente9</v>
      </c>
      <c r="M1580">
        <v>85.211329000000006</v>
      </c>
    </row>
    <row r="1581" spans="1:13" x14ac:dyDescent="0.25">
      <c r="A1581" s="15" t="s">
        <v>4297</v>
      </c>
      <c r="B1581" s="15" t="s">
        <v>4280</v>
      </c>
      <c r="C1581" s="54">
        <v>15.728808000000001</v>
      </c>
      <c r="D1581" s="26">
        <v>3.6111111111111115E-2</v>
      </c>
      <c r="E1581" s="55">
        <v>-23.571300999999998</v>
      </c>
      <c r="F1581" s="55">
        <v>-46.699311999999999</v>
      </c>
      <c r="G1581" s="55">
        <v>-23.527799999999999</v>
      </c>
      <c r="H1581" s="55">
        <v>-46.674294000000003</v>
      </c>
      <c r="I1581" s="55">
        <v>-23.505896</v>
      </c>
      <c r="J1581" s="55">
        <v>-46.688842000000001</v>
      </c>
      <c r="L1581" s="61" t="str">
        <f t="shared" si="25"/>
        <v>Cliente27-Cliente10</v>
      </c>
      <c r="M1581">
        <v>15.728808000000001</v>
      </c>
    </row>
    <row r="1582" spans="1:13" x14ac:dyDescent="0.25">
      <c r="A1582" s="15" t="s">
        <v>4297</v>
      </c>
      <c r="B1582" s="15" t="s">
        <v>4281</v>
      </c>
      <c r="C1582" s="52">
        <v>102.43267400000001</v>
      </c>
      <c r="D1582" s="25">
        <v>8.819444444444445E-2</v>
      </c>
      <c r="E1582" s="53">
        <v>-23.503941000000001</v>
      </c>
      <c r="F1582" s="53">
        <v>-46.821421000000001</v>
      </c>
      <c r="G1582" s="53">
        <v>-23.262077000000001</v>
      </c>
      <c r="H1582" s="53">
        <v>-46.866301999999997</v>
      </c>
      <c r="I1582" s="53">
        <v>-22.910948999999999</v>
      </c>
      <c r="J1582" s="53">
        <v>-47.166992999999998</v>
      </c>
      <c r="L1582" s="61" t="str">
        <f t="shared" si="25"/>
        <v>Cliente27-Cliente11</v>
      </c>
      <c r="M1582">
        <v>102.43267400000001</v>
      </c>
    </row>
    <row r="1583" spans="1:13" x14ac:dyDescent="0.25">
      <c r="A1583" s="15" t="s">
        <v>4297</v>
      </c>
      <c r="B1583" s="15" t="s">
        <v>4282</v>
      </c>
      <c r="C1583" s="54">
        <v>58.486086999999998</v>
      </c>
      <c r="D1583" s="26">
        <v>6.805555555555555E-2</v>
      </c>
      <c r="E1583" s="55">
        <v>-23.534597999999999</v>
      </c>
      <c r="F1583" s="55">
        <v>-46.674227000000002</v>
      </c>
      <c r="G1583" s="55">
        <v>-23.529776999999999</v>
      </c>
      <c r="H1583" s="55">
        <v>-46.591180000000001</v>
      </c>
      <c r="I1583" s="55">
        <v>-23.352976999999999</v>
      </c>
      <c r="J1583" s="55">
        <v>-46.201134000000003</v>
      </c>
      <c r="L1583" s="61" t="str">
        <f t="shared" si="25"/>
        <v>Cliente27-Cliente12</v>
      </c>
      <c r="M1583">
        <v>58.486086999999998</v>
      </c>
    </row>
    <row r="1584" spans="1:13" x14ac:dyDescent="0.25">
      <c r="A1584" s="15" t="s">
        <v>4297</v>
      </c>
      <c r="B1584" s="15" t="s">
        <v>4283</v>
      </c>
      <c r="C1584" s="52">
        <v>66.370064999999997</v>
      </c>
      <c r="D1584" s="25">
        <v>7.3611111111111113E-2</v>
      </c>
      <c r="E1584" s="53">
        <v>-23.531326</v>
      </c>
      <c r="F1584" s="53">
        <v>-46.676954000000002</v>
      </c>
      <c r="G1584" s="53">
        <v>-23.475352999999998</v>
      </c>
      <c r="H1584" s="53">
        <v>-46.524647000000002</v>
      </c>
      <c r="I1584" s="53">
        <v>-23.337396999999999</v>
      </c>
      <c r="J1584" s="53">
        <v>-46.147202</v>
      </c>
      <c r="L1584" s="61" t="str">
        <f t="shared" si="25"/>
        <v>Cliente27-Cliente13</v>
      </c>
      <c r="M1584">
        <v>66.370064999999997</v>
      </c>
    </row>
    <row r="1585" spans="1:13" x14ac:dyDescent="0.25">
      <c r="A1585" s="15" t="s">
        <v>4297</v>
      </c>
      <c r="B1585" s="15" t="s">
        <v>4284</v>
      </c>
      <c r="C1585" s="54">
        <v>64.432625000000002</v>
      </c>
      <c r="D1585" s="26">
        <v>7.0833333333333331E-2</v>
      </c>
      <c r="E1585" s="55">
        <v>-23.538495000000001</v>
      </c>
      <c r="F1585" s="55">
        <v>-46.674503999999999</v>
      </c>
      <c r="G1585" s="55">
        <v>-23.528956999999998</v>
      </c>
      <c r="H1585" s="55">
        <v>-46.596105999999999</v>
      </c>
      <c r="I1585" s="55">
        <v>-23.363319000000001</v>
      </c>
      <c r="J1585" s="55">
        <v>-46.222892000000002</v>
      </c>
      <c r="L1585" s="61" t="str">
        <f t="shared" si="25"/>
        <v>Cliente27-Cliente14</v>
      </c>
      <c r="M1585">
        <v>64.432625000000002</v>
      </c>
    </row>
    <row r="1586" spans="1:13" x14ac:dyDescent="0.25">
      <c r="A1586" s="15" t="s">
        <v>4297</v>
      </c>
      <c r="B1586" s="15" t="s">
        <v>4285</v>
      </c>
      <c r="C1586" s="52">
        <v>66.811239</v>
      </c>
      <c r="D1586" s="25">
        <v>7.7083333333333337E-2</v>
      </c>
      <c r="E1586" s="53">
        <v>-23.531326</v>
      </c>
      <c r="F1586" s="53">
        <v>-46.676954000000002</v>
      </c>
      <c r="G1586" s="53">
        <v>-23.475352999999998</v>
      </c>
      <c r="H1586" s="53">
        <v>-46.524647000000002</v>
      </c>
      <c r="I1586" s="53">
        <v>-23.337396999999999</v>
      </c>
      <c r="J1586" s="53">
        <v>-46.147202</v>
      </c>
      <c r="L1586" s="61" t="str">
        <f t="shared" si="25"/>
        <v>Cliente27-Cliente15</v>
      </c>
      <c r="M1586">
        <v>66.811239</v>
      </c>
    </row>
    <row r="1587" spans="1:13" x14ac:dyDescent="0.25">
      <c r="A1587" s="15" t="s">
        <v>4297</v>
      </c>
      <c r="B1587" s="15" t="s">
        <v>4286</v>
      </c>
      <c r="C1587" s="54">
        <v>65.741856999999996</v>
      </c>
      <c r="D1587" s="26">
        <v>7.4999999999999997E-2</v>
      </c>
      <c r="E1587" s="55">
        <v>-23.530366000000001</v>
      </c>
      <c r="F1587" s="55">
        <v>-46.677281999999998</v>
      </c>
      <c r="G1587" s="55">
        <v>-23.472083000000001</v>
      </c>
      <c r="H1587" s="55">
        <v>-46.519261999999998</v>
      </c>
      <c r="I1587" s="55">
        <v>-23.326279</v>
      </c>
      <c r="J1587" s="55">
        <v>-46.125484</v>
      </c>
      <c r="L1587" s="61" t="str">
        <f t="shared" si="25"/>
        <v>Cliente27-Cliente16</v>
      </c>
      <c r="M1587">
        <v>65.741856999999996</v>
      </c>
    </row>
    <row r="1588" spans="1:13" x14ac:dyDescent="0.25">
      <c r="A1588" s="15" t="s">
        <v>4297</v>
      </c>
      <c r="B1588" s="15" t="s">
        <v>4287</v>
      </c>
      <c r="C1588" s="52">
        <v>66.797568999999996</v>
      </c>
      <c r="D1588" s="25">
        <v>7.3611111111111113E-2</v>
      </c>
      <c r="E1588" s="53">
        <v>-23.531326</v>
      </c>
      <c r="F1588" s="53">
        <v>-46.676954000000002</v>
      </c>
      <c r="G1588" s="53">
        <v>-23.475352999999998</v>
      </c>
      <c r="H1588" s="53">
        <v>-46.524647000000002</v>
      </c>
      <c r="I1588" s="53">
        <v>-23.337396999999999</v>
      </c>
      <c r="J1588" s="53">
        <v>-46.147202</v>
      </c>
      <c r="L1588" s="61" t="str">
        <f t="shared" si="25"/>
        <v>Cliente27-Cliente17</v>
      </c>
      <c r="M1588">
        <v>66.797568999999996</v>
      </c>
    </row>
    <row r="1589" spans="1:13" x14ac:dyDescent="0.25">
      <c r="A1589" s="15" t="s">
        <v>4297</v>
      </c>
      <c r="B1589" s="15" t="s">
        <v>4288</v>
      </c>
      <c r="C1589" s="54">
        <v>71.625635000000003</v>
      </c>
      <c r="D1589" s="26">
        <v>7.8472222222222221E-2</v>
      </c>
      <c r="E1589" s="55">
        <v>-23.534130999999999</v>
      </c>
      <c r="F1589" s="55">
        <v>-46.674405</v>
      </c>
      <c r="G1589" s="55">
        <v>-23.521191000000002</v>
      </c>
      <c r="H1589" s="55">
        <v>-46.584283999999997</v>
      </c>
      <c r="I1589" s="55">
        <v>-23.351811999999999</v>
      </c>
      <c r="J1589" s="55">
        <v>-46.188622000000002</v>
      </c>
      <c r="L1589" s="61" t="str">
        <f t="shared" si="25"/>
        <v>Cliente27-Cliente18</v>
      </c>
      <c r="M1589">
        <v>71.625635000000003</v>
      </c>
    </row>
    <row r="1590" spans="1:13" x14ac:dyDescent="0.25">
      <c r="A1590" s="15" t="s">
        <v>4297</v>
      </c>
      <c r="B1590" s="15" t="s">
        <v>4289</v>
      </c>
      <c r="C1590" s="52">
        <v>9.9972659999999998</v>
      </c>
      <c r="D1590" s="25">
        <v>2.4305555555555556E-2</v>
      </c>
      <c r="E1590" s="53">
        <v>-23.584802</v>
      </c>
      <c r="F1590" s="53">
        <v>-46.718300999999997</v>
      </c>
      <c r="G1590" s="53">
        <v>-23.559698000000001</v>
      </c>
      <c r="H1590" s="53">
        <v>-46.68103</v>
      </c>
      <c r="I1590" s="53">
        <v>-23.529610000000002</v>
      </c>
      <c r="J1590" s="53">
        <v>-46.676926999999999</v>
      </c>
      <c r="L1590" s="61" t="str">
        <f t="shared" si="25"/>
        <v>Cliente27-Cliente19</v>
      </c>
      <c r="M1590">
        <v>9.9972659999999998</v>
      </c>
    </row>
    <row r="1591" spans="1:13" x14ac:dyDescent="0.25">
      <c r="A1591" s="15" t="s">
        <v>4297</v>
      </c>
      <c r="B1591" s="15" t="s">
        <v>4290</v>
      </c>
      <c r="C1591" s="54">
        <v>8.0442909999999994</v>
      </c>
      <c r="D1591" s="26">
        <v>1.8055555555555557E-2</v>
      </c>
      <c r="E1591" s="55">
        <v>-23.590613999999999</v>
      </c>
      <c r="F1591" s="55">
        <v>-46.736623999999999</v>
      </c>
      <c r="G1591" s="55">
        <v>-23.586300000000001</v>
      </c>
      <c r="H1591" s="55">
        <v>-46.758381999999997</v>
      </c>
      <c r="I1591" s="55">
        <v>-23.56306</v>
      </c>
      <c r="J1591" s="55">
        <v>-46.750101999999998</v>
      </c>
      <c r="L1591" s="61" t="str">
        <f t="shared" si="25"/>
        <v>Cliente27-Cliente20</v>
      </c>
      <c r="M1591">
        <v>8.0442909999999994</v>
      </c>
    </row>
    <row r="1592" spans="1:13" x14ac:dyDescent="0.25">
      <c r="A1592" s="15" t="s">
        <v>4297</v>
      </c>
      <c r="B1592" s="15" t="s">
        <v>4291</v>
      </c>
      <c r="C1592" s="52">
        <v>8.3425499999999992</v>
      </c>
      <c r="D1592" s="25">
        <v>1.6666666666666666E-2</v>
      </c>
      <c r="E1592" s="53">
        <v>-23.600753999999998</v>
      </c>
      <c r="F1592" s="53">
        <v>-46.742562</v>
      </c>
      <c r="G1592" s="53">
        <v>-23.573730000000001</v>
      </c>
      <c r="H1592" s="53">
        <v>-46.706175000000002</v>
      </c>
      <c r="I1592" s="53">
        <v>-23.561612</v>
      </c>
      <c r="J1592" s="53">
        <v>-46.704855999999999</v>
      </c>
      <c r="L1592" s="61" t="str">
        <f t="shared" si="25"/>
        <v>Cliente27-Cliente21</v>
      </c>
      <c r="M1592">
        <v>8.3425499999999992</v>
      </c>
    </row>
    <row r="1593" spans="1:13" x14ac:dyDescent="0.25">
      <c r="A1593" s="15" t="s">
        <v>4297</v>
      </c>
      <c r="B1593" s="15" t="s">
        <v>4292</v>
      </c>
      <c r="C1593" s="54">
        <v>7.553407</v>
      </c>
      <c r="D1593" s="26">
        <v>1.6666666666666666E-2</v>
      </c>
      <c r="E1593" s="55">
        <v>-23.599250999999999</v>
      </c>
      <c r="F1593" s="55">
        <v>-46.741405</v>
      </c>
      <c r="G1593" s="55">
        <v>-23.572638999999999</v>
      </c>
      <c r="H1593" s="55">
        <v>-46.704194999999999</v>
      </c>
      <c r="I1593" s="55">
        <v>-23.55988</v>
      </c>
      <c r="J1593" s="55">
        <v>-46.705950999999999</v>
      </c>
      <c r="L1593" s="61" t="str">
        <f t="shared" si="25"/>
        <v>Cliente27-Cliente22</v>
      </c>
      <c r="M1593">
        <v>7.553407</v>
      </c>
    </row>
    <row r="1594" spans="1:13" x14ac:dyDescent="0.25">
      <c r="A1594" s="15" t="s">
        <v>4297</v>
      </c>
      <c r="B1594" s="15" t="s">
        <v>4293</v>
      </c>
      <c r="C1594" s="52">
        <v>2.4451019999999999</v>
      </c>
      <c r="D1594" s="25">
        <v>7.6388888888888886E-3</v>
      </c>
      <c r="E1594" s="53">
        <v>-23.603082000000001</v>
      </c>
      <c r="F1594" s="53">
        <v>-46.748545</v>
      </c>
      <c r="G1594" s="53">
        <v>-23.591166999999999</v>
      </c>
      <c r="H1594" s="53">
        <v>-46.738095999999999</v>
      </c>
      <c r="I1594" s="53">
        <v>-23.590976999999999</v>
      </c>
      <c r="J1594" s="53">
        <v>-46.738163</v>
      </c>
      <c r="L1594" s="61" t="str">
        <f t="shared" si="25"/>
        <v>Cliente27-Cliente23</v>
      </c>
      <c r="M1594">
        <v>2.4451019999999999</v>
      </c>
    </row>
    <row r="1595" spans="1:13" x14ac:dyDescent="0.25">
      <c r="A1595" s="15" t="s">
        <v>4297</v>
      </c>
      <c r="B1595" s="15" t="s">
        <v>4294</v>
      </c>
      <c r="C1595" s="54">
        <v>1.642288</v>
      </c>
      <c r="D1595" s="26">
        <v>4.8611111111111112E-3</v>
      </c>
      <c r="E1595" s="55">
        <v>-23.604147999999999</v>
      </c>
      <c r="F1595" s="55">
        <v>-46.747258000000002</v>
      </c>
      <c r="G1595" s="55">
        <v>-23.603338000000001</v>
      </c>
      <c r="H1595" s="55">
        <v>-46.746001999999997</v>
      </c>
      <c r="I1595" s="55">
        <v>-23.601880000000001</v>
      </c>
      <c r="J1595" s="55">
        <v>-46.743594999999999</v>
      </c>
      <c r="L1595" s="61" t="str">
        <f t="shared" si="25"/>
        <v>Cliente27-Cliente24</v>
      </c>
      <c r="M1595">
        <v>1.642288</v>
      </c>
    </row>
    <row r="1596" spans="1:13" x14ac:dyDescent="0.25">
      <c r="A1596" s="15" t="s">
        <v>4297</v>
      </c>
      <c r="B1596" s="15" t="s">
        <v>4295</v>
      </c>
      <c r="C1596" s="52">
        <v>1.3825540000000001</v>
      </c>
      <c r="D1596" s="25">
        <v>6.9444444444444441E-3</v>
      </c>
      <c r="E1596" s="53">
        <v>-23.613572999999999</v>
      </c>
      <c r="F1596" s="53">
        <v>-46.742539999999998</v>
      </c>
      <c r="G1596" s="53">
        <v>-23.611034</v>
      </c>
      <c r="H1596" s="53">
        <v>-46.745637000000002</v>
      </c>
      <c r="I1596" s="53">
        <v>-23.609732000000001</v>
      </c>
      <c r="J1596" s="53">
        <v>-46.752343000000003</v>
      </c>
      <c r="L1596" s="61" t="str">
        <f t="shared" si="25"/>
        <v>Cliente27-Cliente25</v>
      </c>
      <c r="M1596">
        <v>1.3825540000000001</v>
      </c>
    </row>
    <row r="1597" spans="1:13" x14ac:dyDescent="0.25">
      <c r="A1597" s="15" t="s">
        <v>4297</v>
      </c>
      <c r="B1597" s="15" t="s">
        <v>4296</v>
      </c>
      <c r="C1597" s="54">
        <v>8.8017450000000004</v>
      </c>
      <c r="D1597" s="26">
        <v>1.5277777777777777E-2</v>
      </c>
      <c r="E1597" s="55">
        <v>-23.590613999999999</v>
      </c>
      <c r="F1597" s="55">
        <v>-46.736623999999999</v>
      </c>
      <c r="G1597" s="55">
        <v>-23.586279999999999</v>
      </c>
      <c r="H1597" s="55">
        <v>-46.758487000000002</v>
      </c>
      <c r="I1597" s="55">
        <v>-23.590748999999999</v>
      </c>
      <c r="J1597" s="55">
        <v>-46.819042000000003</v>
      </c>
      <c r="L1597" s="61" t="str">
        <f t="shared" si="25"/>
        <v>Cliente27-Cliente26</v>
      </c>
      <c r="M1597">
        <v>8.8017450000000004</v>
      </c>
    </row>
    <row r="1598" spans="1:13" x14ac:dyDescent="0.25">
      <c r="A1598" s="15" t="s">
        <v>4297</v>
      </c>
      <c r="B1598" s="15" t="s">
        <v>4297</v>
      </c>
      <c r="C1598" s="52">
        <v>0</v>
      </c>
      <c r="D1598" s="25">
        <v>0</v>
      </c>
      <c r="E1598" s="53">
        <f>'1. Locais'!D31</f>
        <v>-23.611840000000001</v>
      </c>
      <c r="F1598" s="53">
        <f>'1. Locais'!E31</f>
        <v>-46.740810000000003</v>
      </c>
      <c r="G1598" s="53">
        <f>'1. Locais'!D31</f>
        <v>-23.611840000000001</v>
      </c>
      <c r="H1598" s="53">
        <f>'1. Locais'!E31</f>
        <v>-46.740810000000003</v>
      </c>
      <c r="I1598" s="53">
        <f>'1. Locais'!D31</f>
        <v>-23.611840000000001</v>
      </c>
      <c r="J1598" s="53">
        <f>'1. Locais'!E31</f>
        <v>-46.740810000000003</v>
      </c>
      <c r="L1598" s="61" t="str">
        <f t="shared" si="25"/>
        <v>Cliente27-Cliente27</v>
      </c>
      <c r="M1598">
        <v>0</v>
      </c>
    </row>
    <row r="1599" spans="1:13" x14ac:dyDescent="0.25">
      <c r="A1599" s="15" t="s">
        <v>4297</v>
      </c>
      <c r="B1599" s="15" t="s">
        <v>4298</v>
      </c>
      <c r="C1599" s="54">
        <v>10.692582</v>
      </c>
      <c r="D1599" s="26">
        <v>2.361111111111111E-2</v>
      </c>
      <c r="E1599" s="55">
        <v>-23.637177999999999</v>
      </c>
      <c r="F1599" s="55">
        <v>-46.73695</v>
      </c>
      <c r="G1599" s="55">
        <v>-23.625112999999999</v>
      </c>
      <c r="H1599" s="55">
        <v>-46.708128000000002</v>
      </c>
      <c r="I1599" s="55">
        <v>-23.630251000000001</v>
      </c>
      <c r="J1599" s="55">
        <v>-46.684216999999997</v>
      </c>
      <c r="L1599" s="61" t="str">
        <f t="shared" si="25"/>
        <v>Cliente27-Cliente28</v>
      </c>
      <c r="M1599">
        <v>10.692582</v>
      </c>
    </row>
    <row r="1600" spans="1:13" x14ac:dyDescent="0.25">
      <c r="A1600" s="15" t="s">
        <v>4297</v>
      </c>
      <c r="B1600" s="15" t="s">
        <v>4299</v>
      </c>
      <c r="C1600" s="52">
        <v>17.998061</v>
      </c>
      <c r="D1600" s="25">
        <v>3.3333333333333333E-2</v>
      </c>
      <c r="E1600" s="53">
        <v>-23.572572000000001</v>
      </c>
      <c r="F1600" s="53">
        <v>-46.704022000000002</v>
      </c>
      <c r="G1600" s="53">
        <v>-23.616533</v>
      </c>
      <c r="H1600" s="53">
        <v>-46.663671000000001</v>
      </c>
      <c r="I1600" s="53">
        <v>-23.621400000000001</v>
      </c>
      <c r="J1600" s="53">
        <v>-46.608065000000003</v>
      </c>
      <c r="L1600" s="61" t="str">
        <f t="shared" si="25"/>
        <v>Cliente27-Cliente29</v>
      </c>
      <c r="M1600">
        <v>17.998061</v>
      </c>
    </row>
    <row r="1601" spans="1:13" x14ac:dyDescent="0.25">
      <c r="A1601" s="15" t="s">
        <v>4297</v>
      </c>
      <c r="B1601" s="15" t="s">
        <v>4300</v>
      </c>
      <c r="C1601" s="54">
        <v>37.419066000000001</v>
      </c>
      <c r="D1601" s="26">
        <v>4.6527777777777779E-2</v>
      </c>
      <c r="E1601" s="55">
        <v>-23.604305</v>
      </c>
      <c r="F1601" s="55">
        <v>-46.679763000000001</v>
      </c>
      <c r="G1601" s="55">
        <v>-23.729384</v>
      </c>
      <c r="H1601" s="55">
        <v>-46.606634999999997</v>
      </c>
      <c r="I1601" s="55">
        <v>-23.741969999999998</v>
      </c>
      <c r="J1601" s="55">
        <v>-46.489975999999999</v>
      </c>
      <c r="L1601" s="61" t="str">
        <f t="shared" si="25"/>
        <v>Cliente27-Cliente30</v>
      </c>
      <c r="M1601">
        <v>37.419066000000001</v>
      </c>
    </row>
    <row r="1602" spans="1:13" x14ac:dyDescent="0.25">
      <c r="A1602" s="15" t="s">
        <v>4297</v>
      </c>
      <c r="B1602" s="15" t="s">
        <v>4301</v>
      </c>
      <c r="C1602" s="52">
        <v>8.3810749999999992</v>
      </c>
      <c r="D1602" s="25">
        <v>2.1527777777777781E-2</v>
      </c>
      <c r="E1602" s="53">
        <v>-23.590451999999999</v>
      </c>
      <c r="F1602" s="53">
        <v>-46.736750000000001</v>
      </c>
      <c r="G1602" s="53">
        <v>-23.583774999999999</v>
      </c>
      <c r="H1602" s="53">
        <v>-46.768771000000001</v>
      </c>
      <c r="I1602" s="53">
        <v>-23.562514</v>
      </c>
      <c r="J1602" s="53">
        <v>-46.781810999999998</v>
      </c>
      <c r="L1602" s="61" t="str">
        <f t="shared" si="25"/>
        <v>Cliente27-Cliente31</v>
      </c>
      <c r="M1602">
        <v>8.3810749999999992</v>
      </c>
    </row>
    <row r="1603" spans="1:13" x14ac:dyDescent="0.25">
      <c r="A1603" s="15" t="s">
        <v>4297</v>
      </c>
      <c r="B1603" s="15" t="s">
        <v>4302</v>
      </c>
      <c r="C1603" s="54">
        <v>13.986478999999999</v>
      </c>
      <c r="D1603" s="26">
        <v>2.6388888888888889E-2</v>
      </c>
      <c r="E1603" s="55">
        <v>-23.573445</v>
      </c>
      <c r="F1603" s="55">
        <v>-46.705829000000001</v>
      </c>
      <c r="G1603" s="55">
        <v>-23.532592999999999</v>
      </c>
      <c r="H1603" s="55">
        <v>-46.747652000000002</v>
      </c>
      <c r="I1603" s="55">
        <v>-23.508573999999999</v>
      </c>
      <c r="J1603" s="55">
        <v>-46.732287999999997</v>
      </c>
      <c r="L1603" s="61" t="str">
        <f t="shared" si="25"/>
        <v>Cliente27-Cliente32</v>
      </c>
      <c r="M1603">
        <v>13.986478999999999</v>
      </c>
    </row>
    <row r="1604" spans="1:13" x14ac:dyDescent="0.25">
      <c r="A1604" s="15" t="s">
        <v>4297</v>
      </c>
      <c r="B1604" s="15" t="s">
        <v>4303</v>
      </c>
      <c r="C1604" s="52">
        <v>16.923708000000001</v>
      </c>
      <c r="D1604" s="25">
        <v>3.8194444444444441E-2</v>
      </c>
      <c r="E1604" s="53">
        <v>-23.596841000000001</v>
      </c>
      <c r="F1604" s="53">
        <v>-46.708556999999999</v>
      </c>
      <c r="G1604" s="53">
        <v>-23.556072</v>
      </c>
      <c r="H1604" s="53">
        <v>-46.650239999999997</v>
      </c>
      <c r="I1604" s="53">
        <v>-23.502717000000001</v>
      </c>
      <c r="J1604" s="53">
        <v>-46.618125999999997</v>
      </c>
      <c r="L1604" s="61" t="str">
        <f t="shared" si="25"/>
        <v>Cliente27-Cliente33</v>
      </c>
      <c r="M1604">
        <v>16.923708000000001</v>
      </c>
    </row>
    <row r="1605" spans="1:13" x14ac:dyDescent="0.25">
      <c r="A1605" s="15" t="s">
        <v>4297</v>
      </c>
      <c r="B1605" s="15" t="s">
        <v>4304</v>
      </c>
      <c r="C1605" s="54">
        <v>19.949793</v>
      </c>
      <c r="D1605" s="26">
        <v>2.9861111111111113E-2</v>
      </c>
      <c r="E1605" s="55">
        <v>-23.585667000000001</v>
      </c>
      <c r="F1605" s="55">
        <v>-46.747207000000003</v>
      </c>
      <c r="G1605" s="55">
        <v>-23.538547999999999</v>
      </c>
      <c r="H1605" s="55">
        <v>-46.817613999999999</v>
      </c>
      <c r="I1605" s="55">
        <v>-23.487772</v>
      </c>
      <c r="J1605" s="55">
        <v>-46.833773000000001</v>
      </c>
      <c r="L1605" s="61" t="str">
        <f t="shared" si="25"/>
        <v>Cliente27-Cliente34</v>
      </c>
      <c r="M1605">
        <v>19.949793</v>
      </c>
    </row>
    <row r="1606" spans="1:13" x14ac:dyDescent="0.25">
      <c r="A1606" s="15" t="s">
        <v>4297</v>
      </c>
      <c r="B1606" s="15" t="s">
        <v>4305</v>
      </c>
      <c r="C1606" s="52">
        <v>20.54569</v>
      </c>
      <c r="D1606" s="25">
        <v>2.9166666666666664E-2</v>
      </c>
      <c r="E1606" s="53">
        <v>-23.585142000000001</v>
      </c>
      <c r="F1606" s="53">
        <v>-46.746389999999998</v>
      </c>
      <c r="G1606" s="53">
        <v>-23.553692999999999</v>
      </c>
      <c r="H1606" s="53">
        <v>-46.819375000000001</v>
      </c>
      <c r="I1606" s="53">
        <v>-23.492647000000002</v>
      </c>
      <c r="J1606" s="53">
        <v>-46.851939999999999</v>
      </c>
      <c r="L1606" s="61" t="str">
        <f t="shared" si="25"/>
        <v>Cliente27-Cliente35</v>
      </c>
      <c r="M1606">
        <v>20.54569</v>
      </c>
    </row>
    <row r="1607" spans="1:13" x14ac:dyDescent="0.25">
      <c r="A1607" s="15" t="s">
        <v>4297</v>
      </c>
      <c r="B1607" s="15" t="s">
        <v>4306</v>
      </c>
      <c r="C1607" s="54">
        <v>151.102937</v>
      </c>
      <c r="D1607" s="26">
        <v>0.13541666666666666</v>
      </c>
      <c r="E1607" s="55">
        <v>-23.486756</v>
      </c>
      <c r="F1607" s="55">
        <v>-46.737212</v>
      </c>
      <c r="G1607" s="55">
        <v>-23.057791999999999</v>
      </c>
      <c r="H1607" s="55">
        <v>-47.044170000000001</v>
      </c>
      <c r="I1607" s="55">
        <v>-22.508818999999999</v>
      </c>
      <c r="J1607" s="55">
        <v>-47.397441999999998</v>
      </c>
      <c r="L1607" s="61" t="str">
        <f t="shared" si="25"/>
        <v>Cliente27-Cliente36</v>
      </c>
      <c r="M1607">
        <v>151.102937</v>
      </c>
    </row>
    <row r="1608" spans="1:13" x14ac:dyDescent="0.25">
      <c r="A1608" s="15" t="s">
        <v>4297</v>
      </c>
      <c r="B1608" s="15" t="s">
        <v>4307</v>
      </c>
      <c r="C1608" s="52">
        <v>150.006214</v>
      </c>
      <c r="D1608" s="25">
        <v>0.13402777777777777</v>
      </c>
      <c r="E1608" s="53">
        <v>-23.480018000000001</v>
      </c>
      <c r="F1608" s="53">
        <v>-46.738311000000003</v>
      </c>
      <c r="G1608" s="53">
        <v>-23.039894</v>
      </c>
      <c r="H1608" s="53">
        <v>-47.066622000000002</v>
      </c>
      <c r="I1608" s="53">
        <v>-22.500387</v>
      </c>
      <c r="J1608" s="53">
        <v>-47.397807</v>
      </c>
      <c r="L1608" s="61" t="str">
        <f t="shared" si="25"/>
        <v>Cliente27-Cliente37</v>
      </c>
      <c r="M1608">
        <v>150.006214</v>
      </c>
    </row>
    <row r="1609" spans="1:13" x14ac:dyDescent="0.25">
      <c r="A1609" s="15" t="s">
        <v>4297</v>
      </c>
      <c r="B1609" s="15" t="s">
        <v>4308</v>
      </c>
      <c r="C1609" s="54">
        <v>148.22970900000001</v>
      </c>
      <c r="D1609" s="26">
        <v>0.13194444444444445</v>
      </c>
      <c r="E1609" s="55">
        <v>-23.488368999999999</v>
      </c>
      <c r="F1609" s="55">
        <v>-46.736564000000001</v>
      </c>
      <c r="G1609" s="55">
        <v>-23.070899000000001</v>
      </c>
      <c r="H1609" s="55">
        <v>-47.030242000000001</v>
      </c>
      <c r="I1609" s="55">
        <v>-22.557307999999999</v>
      </c>
      <c r="J1609" s="55">
        <v>-47.367770999999998</v>
      </c>
      <c r="L1609" s="61" t="str">
        <f t="shared" si="25"/>
        <v>Cliente27-Cliente38</v>
      </c>
      <c r="M1609">
        <v>148.22970900000001</v>
      </c>
    </row>
    <row r="1610" spans="1:13" x14ac:dyDescent="0.25">
      <c r="A1610" s="15" t="s">
        <v>4297</v>
      </c>
      <c r="B1610" s="15" t="s">
        <v>4309</v>
      </c>
      <c r="C1610" s="52">
        <v>92.631761999999995</v>
      </c>
      <c r="D1610" s="25">
        <v>9.7916666666666666E-2</v>
      </c>
      <c r="E1610" s="53">
        <v>-23.527716000000002</v>
      </c>
      <c r="F1610" s="53">
        <v>-46.674148000000002</v>
      </c>
      <c r="G1610" s="53">
        <v>-23.409220999999999</v>
      </c>
      <c r="H1610" s="53">
        <v>-46.341467999999999</v>
      </c>
      <c r="I1610" s="53">
        <v>-23.307568</v>
      </c>
      <c r="J1610" s="53">
        <v>-46.044603000000002</v>
      </c>
      <c r="L1610" s="61" t="str">
        <f t="shared" si="25"/>
        <v>Cliente27-Cliente39</v>
      </c>
      <c r="M1610">
        <v>92.631761999999995</v>
      </c>
    </row>
    <row r="1611" spans="1:13" x14ac:dyDescent="0.25">
      <c r="A1611" s="15" t="s">
        <v>4297</v>
      </c>
      <c r="B1611" s="15" t="s">
        <v>4310</v>
      </c>
      <c r="C1611" s="54">
        <v>97.487168999999994</v>
      </c>
      <c r="D1611" s="26">
        <v>0.10625</v>
      </c>
      <c r="E1611" s="55">
        <v>-23.519984000000001</v>
      </c>
      <c r="F1611" s="55">
        <v>-46.667372</v>
      </c>
      <c r="G1611" s="55">
        <v>-23.384436999999998</v>
      </c>
      <c r="H1611" s="55">
        <v>-46.265642</v>
      </c>
      <c r="I1611" s="55">
        <v>-23.108808</v>
      </c>
      <c r="J1611" s="55">
        <v>-45.700774000000003</v>
      </c>
      <c r="L1611" s="61" t="str">
        <f t="shared" si="25"/>
        <v>Cliente27-Cliente40</v>
      </c>
      <c r="M1611">
        <v>97.487168999999994</v>
      </c>
    </row>
    <row r="1612" spans="1:13" x14ac:dyDescent="0.25">
      <c r="A1612" s="15" t="s">
        <v>4297</v>
      </c>
      <c r="B1612" s="15" t="s">
        <v>4311</v>
      </c>
      <c r="C1612" s="52">
        <v>83.670323999999994</v>
      </c>
      <c r="D1612" s="25">
        <v>9.2361111111111116E-2</v>
      </c>
      <c r="E1612" s="53">
        <v>-23.524654000000002</v>
      </c>
      <c r="F1612" s="53">
        <v>-46.670637999999997</v>
      </c>
      <c r="G1612" s="53">
        <v>-23.403594999999999</v>
      </c>
      <c r="H1612" s="53">
        <v>-46.330831000000003</v>
      </c>
      <c r="I1612" s="53">
        <v>-23.297806999999999</v>
      </c>
      <c r="J1612" s="53">
        <v>-46.009369999999997</v>
      </c>
      <c r="L1612" s="61" t="str">
        <f t="shared" si="25"/>
        <v>Cliente27-Cliente41</v>
      </c>
      <c r="M1612">
        <v>83.670323999999994</v>
      </c>
    </row>
    <row r="1613" spans="1:13" x14ac:dyDescent="0.25">
      <c r="A1613" s="15" t="s">
        <v>4297</v>
      </c>
      <c r="B1613" s="15" t="s">
        <v>4312</v>
      </c>
      <c r="C1613" s="54">
        <v>80.199336000000002</v>
      </c>
      <c r="D1613" s="26">
        <v>8.4722222222222213E-2</v>
      </c>
      <c r="E1613" s="55">
        <v>-23.532471999999999</v>
      </c>
      <c r="F1613" s="55">
        <v>-46.675407999999997</v>
      </c>
      <c r="G1613" s="55">
        <v>-23.504045999999999</v>
      </c>
      <c r="H1613" s="55">
        <v>-46.567627999999999</v>
      </c>
      <c r="I1613" s="55">
        <v>-23.352357999999999</v>
      </c>
      <c r="J1613" s="55">
        <v>-46.181800000000003</v>
      </c>
      <c r="L1613" s="61" t="str">
        <f t="shared" si="25"/>
        <v>Cliente27-Cliente42</v>
      </c>
      <c r="M1613">
        <v>80.199336000000002</v>
      </c>
    </row>
    <row r="1614" spans="1:13" x14ac:dyDescent="0.25">
      <c r="A1614" s="15" t="s">
        <v>4297</v>
      </c>
      <c r="B1614" s="15" t="s">
        <v>4313</v>
      </c>
      <c r="C1614" s="52">
        <v>102.852101</v>
      </c>
      <c r="D1614" s="25">
        <v>0.10555555555555556</v>
      </c>
      <c r="E1614" s="53">
        <v>-23.521115000000002</v>
      </c>
      <c r="F1614" s="53">
        <v>-46.667312000000003</v>
      </c>
      <c r="G1614" s="53">
        <v>-23.397445000000001</v>
      </c>
      <c r="H1614" s="53">
        <v>-46.293413000000001</v>
      </c>
      <c r="I1614" s="53">
        <v>-23.196698999999999</v>
      </c>
      <c r="J1614" s="53">
        <v>-45.874232999999997</v>
      </c>
      <c r="L1614" s="61" t="str">
        <f t="shared" si="25"/>
        <v>Cliente27-Cliente43</v>
      </c>
      <c r="M1614">
        <v>102.852101</v>
      </c>
    </row>
    <row r="1615" spans="1:13" x14ac:dyDescent="0.25">
      <c r="A1615" s="15" t="s">
        <v>4297</v>
      </c>
      <c r="B1615" s="15" t="s">
        <v>4314</v>
      </c>
      <c r="C1615" s="54">
        <v>63.915021000000003</v>
      </c>
      <c r="D1615" s="26">
        <v>6.6666666666666666E-2</v>
      </c>
      <c r="E1615" s="55">
        <v>-23.591370000000001</v>
      </c>
      <c r="F1615" s="55">
        <v>-46.809274000000002</v>
      </c>
      <c r="G1615" s="55">
        <v>-23.503644999999999</v>
      </c>
      <c r="H1615" s="55">
        <v>-46.980409000000002</v>
      </c>
      <c r="I1615" s="55">
        <v>-23.413269</v>
      </c>
      <c r="J1615" s="55">
        <v>-47.272063000000003</v>
      </c>
      <c r="L1615" s="61" t="str">
        <f t="shared" si="25"/>
        <v>Cliente27-Cliente44</v>
      </c>
      <c r="M1615">
        <v>63.915021000000003</v>
      </c>
    </row>
    <row r="1616" spans="1:13" x14ac:dyDescent="0.25">
      <c r="A1616" s="15" t="s">
        <v>4297</v>
      </c>
      <c r="B1616" s="15" t="s">
        <v>4315</v>
      </c>
      <c r="C1616" s="52">
        <v>70.435085000000001</v>
      </c>
      <c r="D1616" s="25">
        <v>7.1527777777777787E-2</v>
      </c>
      <c r="E1616" s="53">
        <v>-23.565037</v>
      </c>
      <c r="F1616" s="53">
        <v>-46.819653000000002</v>
      </c>
      <c r="G1616" s="53">
        <v>-23.438773999999999</v>
      </c>
      <c r="H1616" s="53">
        <v>-47.104514999999999</v>
      </c>
      <c r="I1616" s="53">
        <v>-23.475573000000001</v>
      </c>
      <c r="J1616" s="53">
        <v>-47.380960000000002</v>
      </c>
      <c r="L1616" s="61" t="str">
        <f t="shared" si="25"/>
        <v>Cliente27-Cliente45</v>
      </c>
      <c r="M1616">
        <v>70.435085000000001</v>
      </c>
    </row>
    <row r="1617" spans="1:13" x14ac:dyDescent="0.25">
      <c r="A1617" s="15" t="s">
        <v>4297</v>
      </c>
      <c r="B1617" s="15" t="s">
        <v>4316</v>
      </c>
      <c r="C1617" s="54">
        <v>61.996222000000003</v>
      </c>
      <c r="D1617" s="26">
        <v>6.3888888888888884E-2</v>
      </c>
      <c r="E1617" s="55">
        <v>-23.591699999999999</v>
      </c>
      <c r="F1617" s="55">
        <v>-46.809021000000001</v>
      </c>
      <c r="G1617" s="55">
        <v>-23.507245000000001</v>
      </c>
      <c r="H1617" s="55">
        <v>-46.976588999999997</v>
      </c>
      <c r="I1617" s="55">
        <v>-23.414403</v>
      </c>
      <c r="J1617" s="55">
        <v>-47.268616999999999</v>
      </c>
      <c r="L1617" s="61" t="str">
        <f t="shared" si="25"/>
        <v>Cliente27-Cliente46</v>
      </c>
      <c r="M1617">
        <v>61.996222000000003</v>
      </c>
    </row>
    <row r="1618" spans="1:13" x14ac:dyDescent="0.25">
      <c r="A1618" s="15" t="s">
        <v>4297</v>
      </c>
      <c r="B1618" s="15" t="s">
        <v>4317</v>
      </c>
      <c r="C1618" s="52">
        <v>197.559248</v>
      </c>
      <c r="D1618" s="25">
        <v>0.16944444444444443</v>
      </c>
      <c r="E1618" s="53">
        <v>-23.473503000000001</v>
      </c>
      <c r="F1618" s="53">
        <v>-46.74709</v>
      </c>
      <c r="G1618" s="53">
        <v>-22.999010999999999</v>
      </c>
      <c r="H1618" s="53">
        <v>-47.101703999999998</v>
      </c>
      <c r="I1618" s="53">
        <v>-22.360797000000002</v>
      </c>
      <c r="J1618" s="53">
        <v>-47.394530000000003</v>
      </c>
      <c r="L1618" s="61" t="str">
        <f t="shared" ref="L1618:L1681" si="26">_xlfn.CONCAT(A1618,"-",B1618)</f>
        <v>Cliente27-Cliente47</v>
      </c>
      <c r="M1618">
        <v>197.559248</v>
      </c>
    </row>
    <row r="1619" spans="1:13" x14ac:dyDescent="0.25">
      <c r="A1619" s="15" t="s">
        <v>4297</v>
      </c>
      <c r="B1619" s="15" t="s">
        <v>4318</v>
      </c>
      <c r="C1619" s="54">
        <v>206.670436</v>
      </c>
      <c r="D1619" s="26">
        <v>0.17777777777777778</v>
      </c>
      <c r="E1619" s="55">
        <v>-23.410371000000001</v>
      </c>
      <c r="F1619" s="55">
        <v>-46.767124000000003</v>
      </c>
      <c r="G1619" s="55">
        <v>-22.921012000000001</v>
      </c>
      <c r="H1619" s="55">
        <v>-47.132838</v>
      </c>
      <c r="I1619" s="55">
        <v>-22.134779999999999</v>
      </c>
      <c r="J1619" s="55">
        <v>-47.408884999999998</v>
      </c>
      <c r="L1619" s="61" t="str">
        <f t="shared" si="26"/>
        <v>Cliente27-Cliente48</v>
      </c>
      <c r="M1619">
        <v>206.670436</v>
      </c>
    </row>
    <row r="1620" spans="1:13" x14ac:dyDescent="0.25">
      <c r="A1620" s="15" t="s">
        <v>4297</v>
      </c>
      <c r="B1620" s="15" t="s">
        <v>4319</v>
      </c>
      <c r="C1620" s="52">
        <v>200.308201</v>
      </c>
      <c r="D1620" s="25">
        <v>0.17361111111111113</v>
      </c>
      <c r="E1620" s="53">
        <v>-23.433938999999999</v>
      </c>
      <c r="F1620" s="53">
        <v>-46.760066999999999</v>
      </c>
      <c r="G1620" s="53">
        <v>-22.942851999999998</v>
      </c>
      <c r="H1620" s="53">
        <v>-47.125774999999997</v>
      </c>
      <c r="I1620" s="53">
        <v>-22.248802999999999</v>
      </c>
      <c r="J1620" s="53">
        <v>-47.389876000000001</v>
      </c>
      <c r="L1620" s="61" t="str">
        <f t="shared" si="26"/>
        <v>Cliente27-Cliente49</v>
      </c>
      <c r="M1620">
        <v>200.308201</v>
      </c>
    </row>
    <row r="1621" spans="1:13" x14ac:dyDescent="0.25">
      <c r="A1621" s="15" t="s">
        <v>4297</v>
      </c>
      <c r="B1621" s="15" t="s">
        <v>4320</v>
      </c>
      <c r="C1621" s="54">
        <v>211.734003</v>
      </c>
      <c r="D1621" s="26">
        <v>0.17916666666666667</v>
      </c>
      <c r="E1621" s="55">
        <v>-23.509549</v>
      </c>
      <c r="F1621" s="55">
        <v>-46.807088999999998</v>
      </c>
      <c r="G1621" s="55">
        <v>-23.315068</v>
      </c>
      <c r="H1621" s="55">
        <v>-47.641226000000003</v>
      </c>
      <c r="I1621" s="55">
        <v>-22.905491000000001</v>
      </c>
      <c r="J1621" s="55">
        <v>-48.451870999999997</v>
      </c>
      <c r="L1621" s="61" t="str">
        <f t="shared" si="26"/>
        <v>Cliente27-Cliente50</v>
      </c>
      <c r="M1621">
        <v>211.734003</v>
      </c>
    </row>
    <row r="1622" spans="1:13" x14ac:dyDescent="0.25">
      <c r="A1622" s="15" t="s">
        <v>4297</v>
      </c>
      <c r="B1622" s="15" t="s">
        <v>4321</v>
      </c>
      <c r="C1622" s="52">
        <v>208.266122</v>
      </c>
      <c r="D1622" s="25">
        <v>0.17569444444444446</v>
      </c>
      <c r="E1622" s="53">
        <v>-23.520956999999999</v>
      </c>
      <c r="F1622" s="53">
        <v>-46.815607999999997</v>
      </c>
      <c r="G1622" s="53">
        <v>-23.356079000000001</v>
      </c>
      <c r="H1622" s="53">
        <v>-47.503422</v>
      </c>
      <c r="I1622" s="53">
        <v>-23.071663999999998</v>
      </c>
      <c r="J1622" s="53">
        <v>-48.531357999999997</v>
      </c>
      <c r="L1622" s="61" t="str">
        <f t="shared" si="26"/>
        <v>Cliente27-Cliente51</v>
      </c>
      <c r="M1622">
        <v>208.266122</v>
      </c>
    </row>
    <row r="1623" spans="1:13" x14ac:dyDescent="0.25">
      <c r="A1623" s="15" t="s">
        <v>4298</v>
      </c>
      <c r="B1623" s="15" t="s">
        <v>4268</v>
      </c>
      <c r="C1623" s="54">
        <v>67.069108999999997</v>
      </c>
      <c r="D1623" s="26">
        <v>6.805555555555555E-2</v>
      </c>
      <c r="E1623" s="55">
        <v>-23.61083</v>
      </c>
      <c r="F1623" s="55">
        <v>-46.674602999999998</v>
      </c>
      <c r="G1623" s="55">
        <v>-23.505077</v>
      </c>
      <c r="H1623" s="55">
        <v>-46.884534000000002</v>
      </c>
      <c r="I1623" s="55">
        <v>-23.421775</v>
      </c>
      <c r="J1623" s="55">
        <v>-47.166389000000002</v>
      </c>
      <c r="L1623" s="61" t="str">
        <f t="shared" si="26"/>
        <v>Cliente28-depósito A</v>
      </c>
      <c r="M1623">
        <v>67.069108999999997</v>
      </c>
    </row>
    <row r="1624" spans="1:13" x14ac:dyDescent="0.25">
      <c r="A1624" s="15" t="s">
        <v>4298</v>
      </c>
      <c r="B1624" s="15" t="s">
        <v>4269</v>
      </c>
      <c r="C1624" s="52">
        <v>177.45100500000001</v>
      </c>
      <c r="D1624" s="25">
        <v>0.15625</v>
      </c>
      <c r="E1624" s="53">
        <v>-23.506629</v>
      </c>
      <c r="F1624" s="53">
        <v>-46.721688999999998</v>
      </c>
      <c r="G1624" s="53">
        <v>-23.070166</v>
      </c>
      <c r="H1624" s="53">
        <v>-47.030828</v>
      </c>
      <c r="I1624" s="53">
        <v>-22.503412999999998</v>
      </c>
      <c r="J1624" s="53">
        <v>-47.399394999999998</v>
      </c>
      <c r="L1624" s="61" t="str">
        <f t="shared" si="26"/>
        <v>Cliente28-depósito B</v>
      </c>
      <c r="M1624">
        <v>177.45100500000001</v>
      </c>
    </row>
    <row r="1625" spans="1:13" x14ac:dyDescent="0.25">
      <c r="A1625" s="15" t="s">
        <v>4298</v>
      </c>
      <c r="B1625" s="15" t="s">
        <v>4270</v>
      </c>
      <c r="C1625" s="54">
        <v>59.562305000000002</v>
      </c>
      <c r="D1625" s="26">
        <v>6.5277777777777782E-2</v>
      </c>
      <c r="E1625" s="55">
        <v>-23.586096999999999</v>
      </c>
      <c r="F1625" s="55">
        <v>-46.653277000000003</v>
      </c>
      <c r="G1625" s="55">
        <v>-23.529647000000001</v>
      </c>
      <c r="H1625" s="55">
        <v>-46.588999999999999</v>
      </c>
      <c r="I1625" s="55">
        <v>-23.359110999999999</v>
      </c>
      <c r="J1625" s="55">
        <v>-46.216082</v>
      </c>
      <c r="L1625" s="61" t="str">
        <f t="shared" si="26"/>
        <v>Cliente28-depósito C</v>
      </c>
      <c r="M1625">
        <v>59.562305000000002</v>
      </c>
    </row>
    <row r="1626" spans="1:13" x14ac:dyDescent="0.25">
      <c r="A1626" s="15" t="s">
        <v>4298</v>
      </c>
      <c r="B1626" s="15" t="s">
        <v>4271</v>
      </c>
      <c r="C1626" s="52">
        <v>67.556264999999996</v>
      </c>
      <c r="D1626" s="25">
        <v>7.013888888888889E-2</v>
      </c>
      <c r="E1626" s="53">
        <v>-23.573103</v>
      </c>
      <c r="F1626" s="53">
        <v>-46.698990999999999</v>
      </c>
      <c r="G1626" s="53">
        <v>-23.383544000000001</v>
      </c>
      <c r="H1626" s="53">
        <v>-46.769224000000001</v>
      </c>
      <c r="I1626" s="53">
        <v>-23.139510999999999</v>
      </c>
      <c r="J1626" s="53">
        <v>-46.975991999999998</v>
      </c>
      <c r="L1626" s="61" t="str">
        <f t="shared" si="26"/>
        <v>Cliente28-Cliente1</v>
      </c>
      <c r="M1626">
        <v>67.556264999999996</v>
      </c>
    </row>
    <row r="1627" spans="1:13" x14ac:dyDescent="0.25">
      <c r="A1627" s="15" t="s">
        <v>4298</v>
      </c>
      <c r="B1627" s="15" t="s">
        <v>4272</v>
      </c>
      <c r="C1627" s="54">
        <v>70.459940000000003</v>
      </c>
      <c r="D1627" s="26">
        <v>7.4999999999999997E-2</v>
      </c>
      <c r="E1627" s="55">
        <v>-23.549111</v>
      </c>
      <c r="F1627" s="55">
        <v>-46.727663999999997</v>
      </c>
      <c r="G1627" s="55">
        <v>-23.350467999999999</v>
      </c>
      <c r="H1627" s="55">
        <v>-46.806269</v>
      </c>
      <c r="I1627" s="55">
        <v>-23.060001</v>
      </c>
      <c r="J1627" s="55">
        <v>-47.041607999999997</v>
      </c>
      <c r="L1627" s="61" t="str">
        <f t="shared" si="26"/>
        <v>Cliente28-Cliente2</v>
      </c>
      <c r="M1627">
        <v>70.459940000000003</v>
      </c>
    </row>
    <row r="1628" spans="1:13" x14ac:dyDescent="0.25">
      <c r="A1628" s="15" t="s">
        <v>4298</v>
      </c>
      <c r="B1628" s="15" t="s">
        <v>4273</v>
      </c>
      <c r="C1628" s="52">
        <v>69.283681999999999</v>
      </c>
      <c r="D1628" s="25">
        <v>7.3611111111111113E-2</v>
      </c>
      <c r="E1628" s="53">
        <v>-23.571497999999998</v>
      </c>
      <c r="F1628" s="53">
        <v>-46.700870999999999</v>
      </c>
      <c r="G1628" s="53">
        <v>-23.378996999999998</v>
      </c>
      <c r="H1628" s="53">
        <v>-46.771318000000001</v>
      </c>
      <c r="I1628" s="53">
        <v>-23.125817999999999</v>
      </c>
      <c r="J1628" s="53">
        <v>-46.984381999999997</v>
      </c>
      <c r="L1628" s="61" t="str">
        <f t="shared" si="26"/>
        <v>Cliente28-Cliente3</v>
      </c>
      <c r="M1628">
        <v>69.283681999999999</v>
      </c>
    </row>
    <row r="1629" spans="1:13" x14ac:dyDescent="0.25">
      <c r="A1629" s="15" t="s">
        <v>4298</v>
      </c>
      <c r="B1629" s="15" t="s">
        <v>4274</v>
      </c>
      <c r="C1629" s="54">
        <v>79.440640000000002</v>
      </c>
      <c r="D1629" s="26">
        <v>8.0555555555555561E-2</v>
      </c>
      <c r="E1629" s="55">
        <v>-23.551601999999999</v>
      </c>
      <c r="F1629" s="55">
        <v>-46.723599999999998</v>
      </c>
      <c r="G1629" s="55">
        <v>-23.349240999999999</v>
      </c>
      <c r="H1629" s="55">
        <v>-46.810104000000003</v>
      </c>
      <c r="I1629" s="55">
        <v>-23.037751</v>
      </c>
      <c r="J1629" s="55">
        <v>-47.068987999999997</v>
      </c>
      <c r="L1629" s="61" t="str">
        <f t="shared" si="26"/>
        <v>Cliente28-Cliente4</v>
      </c>
      <c r="M1629">
        <v>79.440640000000002</v>
      </c>
    </row>
    <row r="1630" spans="1:13" x14ac:dyDescent="0.25">
      <c r="A1630" s="15" t="s">
        <v>4298</v>
      </c>
      <c r="B1630" s="15" t="s">
        <v>4275</v>
      </c>
      <c r="C1630" s="52">
        <v>79.533845999999997</v>
      </c>
      <c r="D1630" s="25">
        <v>8.0555555555555561E-2</v>
      </c>
      <c r="E1630" s="53">
        <v>-23.551767000000002</v>
      </c>
      <c r="F1630" s="53">
        <v>-46.723384000000003</v>
      </c>
      <c r="G1630" s="53">
        <v>-23.350290000000001</v>
      </c>
      <c r="H1630" s="53">
        <v>-46.807253000000003</v>
      </c>
      <c r="I1630" s="53">
        <v>-23.039894</v>
      </c>
      <c r="J1630" s="53">
        <v>-47.066622000000002</v>
      </c>
      <c r="L1630" s="61" t="str">
        <f t="shared" si="26"/>
        <v>Cliente28-Cliente5</v>
      </c>
      <c r="M1630">
        <v>79.533845999999997</v>
      </c>
    </row>
    <row r="1631" spans="1:13" x14ac:dyDescent="0.25">
      <c r="A1631" s="15" t="s">
        <v>4298</v>
      </c>
      <c r="B1631" s="15" t="s">
        <v>4276</v>
      </c>
      <c r="C1631" s="54">
        <v>61.929113999999998</v>
      </c>
      <c r="D1631" s="26">
        <v>6.8749999999999992E-2</v>
      </c>
      <c r="E1631" s="55">
        <v>-23.572965</v>
      </c>
      <c r="F1631" s="55">
        <v>-46.699219999999997</v>
      </c>
      <c r="G1631" s="55">
        <v>-23.378996999999998</v>
      </c>
      <c r="H1631" s="55">
        <v>-46.771318000000001</v>
      </c>
      <c r="I1631" s="55">
        <v>-23.166112999999999</v>
      </c>
      <c r="J1631" s="55">
        <v>-46.928412999999999</v>
      </c>
      <c r="L1631" s="61" t="str">
        <f t="shared" si="26"/>
        <v>Cliente28-Cliente6</v>
      </c>
      <c r="M1631">
        <v>61.929113999999998</v>
      </c>
    </row>
    <row r="1632" spans="1:13" x14ac:dyDescent="0.25">
      <c r="A1632" s="15" t="s">
        <v>4298</v>
      </c>
      <c r="B1632" s="15" t="s">
        <v>4277</v>
      </c>
      <c r="C1632" s="52">
        <v>66.647197000000006</v>
      </c>
      <c r="D1632" s="25">
        <v>6.9444444444444434E-2</v>
      </c>
      <c r="E1632" s="53">
        <v>-23.585173999999999</v>
      </c>
      <c r="F1632" s="53">
        <v>-46.690978000000001</v>
      </c>
      <c r="G1632" s="53">
        <v>-23.424655000000001</v>
      </c>
      <c r="H1632" s="53">
        <v>-46.760683</v>
      </c>
      <c r="I1632" s="53">
        <v>-23.203177</v>
      </c>
      <c r="J1632" s="53">
        <v>-46.926898999999999</v>
      </c>
      <c r="L1632" s="61" t="str">
        <f t="shared" si="26"/>
        <v>Cliente28-Cliente7</v>
      </c>
      <c r="M1632">
        <v>66.647197000000006</v>
      </c>
    </row>
    <row r="1633" spans="1:13" x14ac:dyDescent="0.25">
      <c r="A1633" s="15" t="s">
        <v>4298</v>
      </c>
      <c r="B1633" s="15" t="s">
        <v>4278</v>
      </c>
      <c r="C1633" s="54">
        <v>75.676985999999999</v>
      </c>
      <c r="D1633" s="26">
        <v>7.7083333333333337E-2</v>
      </c>
      <c r="E1633" s="55">
        <v>-23.550515000000001</v>
      </c>
      <c r="F1633" s="55">
        <v>-46.725363999999999</v>
      </c>
      <c r="G1633" s="55">
        <v>-23.340357000000001</v>
      </c>
      <c r="H1633" s="55">
        <v>-46.819705999999996</v>
      </c>
      <c r="I1633" s="55">
        <v>-23.018191999999999</v>
      </c>
      <c r="J1633" s="55">
        <v>-47.080711000000001</v>
      </c>
      <c r="L1633" s="61" t="str">
        <f t="shared" si="26"/>
        <v>Cliente28-Cliente8</v>
      </c>
      <c r="M1633">
        <v>75.676985999999999</v>
      </c>
    </row>
    <row r="1634" spans="1:13" x14ac:dyDescent="0.25">
      <c r="A1634" s="15" t="s">
        <v>4298</v>
      </c>
      <c r="B1634" s="15" t="s">
        <v>4279</v>
      </c>
      <c r="C1634" s="52">
        <v>87.669478999999995</v>
      </c>
      <c r="D1634" s="25">
        <v>8.8888888888888892E-2</v>
      </c>
      <c r="E1634" s="53">
        <v>-23.550515000000001</v>
      </c>
      <c r="F1634" s="53">
        <v>-46.725363999999999</v>
      </c>
      <c r="G1634" s="53">
        <v>-23.347695000000002</v>
      </c>
      <c r="H1634" s="53">
        <v>-46.812092</v>
      </c>
      <c r="I1634" s="53">
        <v>-23.036683</v>
      </c>
      <c r="J1634" s="53">
        <v>-47.069716999999997</v>
      </c>
      <c r="L1634" s="61" t="str">
        <f t="shared" si="26"/>
        <v>Cliente28-Cliente9</v>
      </c>
      <c r="M1634">
        <v>87.669478999999995</v>
      </c>
    </row>
    <row r="1635" spans="1:13" x14ac:dyDescent="0.25">
      <c r="A1635" s="15" t="s">
        <v>4298</v>
      </c>
      <c r="B1635" s="15" t="s">
        <v>4280</v>
      </c>
      <c r="C1635" s="54">
        <v>17.668734000000001</v>
      </c>
      <c r="D1635" s="26">
        <v>3.6805555555555557E-2</v>
      </c>
      <c r="E1635" s="55">
        <v>-23.635197000000002</v>
      </c>
      <c r="F1635" s="55">
        <v>-46.669190999999998</v>
      </c>
      <c r="G1635" s="55">
        <v>-23.560130999999998</v>
      </c>
      <c r="H1635" s="55">
        <v>-46.639353999999997</v>
      </c>
      <c r="I1635" s="55">
        <v>-23.505476999999999</v>
      </c>
      <c r="J1635" s="55">
        <v>-46.622498</v>
      </c>
      <c r="L1635" s="61" t="str">
        <f t="shared" si="26"/>
        <v>Cliente28-Cliente10</v>
      </c>
      <c r="M1635">
        <v>17.668734000000001</v>
      </c>
    </row>
    <row r="1636" spans="1:13" x14ac:dyDescent="0.25">
      <c r="A1636" s="15" t="s">
        <v>4298</v>
      </c>
      <c r="B1636" s="15" t="s">
        <v>4281</v>
      </c>
      <c r="C1636" s="52">
        <v>104.89082500000001</v>
      </c>
      <c r="D1636" s="25">
        <v>9.7222222222222224E-2</v>
      </c>
      <c r="E1636" s="53">
        <v>-23.535879999999999</v>
      </c>
      <c r="F1636" s="53">
        <v>-46.744374999999998</v>
      </c>
      <c r="G1636" s="53">
        <v>-23.293343</v>
      </c>
      <c r="H1636" s="53">
        <v>-46.842875999999997</v>
      </c>
      <c r="I1636" s="53">
        <v>-22.920652</v>
      </c>
      <c r="J1636" s="53">
        <v>-47.136463999999997</v>
      </c>
      <c r="L1636" s="61" t="str">
        <f t="shared" si="26"/>
        <v>Cliente28-Cliente11</v>
      </c>
      <c r="M1636">
        <v>104.89082500000001</v>
      </c>
    </row>
    <row r="1637" spans="1:13" x14ac:dyDescent="0.25">
      <c r="A1637" s="15" t="s">
        <v>4298</v>
      </c>
      <c r="B1637" s="15" t="s">
        <v>4282</v>
      </c>
      <c r="C1637" s="54">
        <v>58.603527</v>
      </c>
      <c r="D1637" s="26">
        <v>6.5277777777777782E-2</v>
      </c>
      <c r="E1637" s="55">
        <v>-23.584793999999999</v>
      </c>
      <c r="F1637" s="55">
        <v>-46.653377999999996</v>
      </c>
      <c r="G1637" s="55">
        <v>-23.526423000000001</v>
      </c>
      <c r="H1637" s="55">
        <v>-46.588250000000002</v>
      </c>
      <c r="I1637" s="55">
        <v>-23.357372999999999</v>
      </c>
      <c r="J1637" s="55">
        <v>-46.208469999999998</v>
      </c>
      <c r="L1637" s="61" t="str">
        <f t="shared" si="26"/>
        <v>Cliente28-Cliente12</v>
      </c>
      <c r="M1637">
        <v>58.603527</v>
      </c>
    </row>
    <row r="1638" spans="1:13" x14ac:dyDescent="0.25">
      <c r="A1638" s="15" t="s">
        <v>4298</v>
      </c>
      <c r="B1638" s="15" t="s">
        <v>4283</v>
      </c>
      <c r="C1638" s="52">
        <v>66.487504000000001</v>
      </c>
      <c r="D1638" s="25">
        <v>7.0833333333333331E-2</v>
      </c>
      <c r="E1638" s="53">
        <v>-23.574434</v>
      </c>
      <c r="F1638" s="53">
        <v>-46.641179000000001</v>
      </c>
      <c r="G1638" s="53">
        <v>-23.491246</v>
      </c>
      <c r="H1638" s="53">
        <v>-46.549405999999998</v>
      </c>
      <c r="I1638" s="53">
        <v>-23.340577</v>
      </c>
      <c r="J1638" s="53">
        <v>-46.153419</v>
      </c>
      <c r="L1638" s="61" t="str">
        <f t="shared" si="26"/>
        <v>Cliente28-Cliente13</v>
      </c>
      <c r="M1638">
        <v>66.487504000000001</v>
      </c>
    </row>
    <row r="1639" spans="1:13" x14ac:dyDescent="0.25">
      <c r="A1639" s="15" t="s">
        <v>4298</v>
      </c>
      <c r="B1639" s="15" t="s">
        <v>4284</v>
      </c>
      <c r="C1639" s="54">
        <v>64.550064000000006</v>
      </c>
      <c r="D1639" s="26">
        <v>6.805555555555555E-2</v>
      </c>
      <c r="E1639" s="55">
        <v>-23.586096999999999</v>
      </c>
      <c r="F1639" s="55">
        <v>-46.653277000000003</v>
      </c>
      <c r="G1639" s="55">
        <v>-23.529647000000001</v>
      </c>
      <c r="H1639" s="55">
        <v>-46.588999999999999</v>
      </c>
      <c r="I1639" s="55">
        <v>-23.363858</v>
      </c>
      <c r="J1639" s="55">
        <v>-46.223891000000002</v>
      </c>
      <c r="L1639" s="61" t="str">
        <f t="shared" si="26"/>
        <v>Cliente28-Cliente14</v>
      </c>
      <c r="M1639">
        <v>64.550064000000006</v>
      </c>
    </row>
    <row r="1640" spans="1:13" x14ac:dyDescent="0.25">
      <c r="A1640" s="15" t="s">
        <v>4298</v>
      </c>
      <c r="B1640" s="15" t="s">
        <v>4285</v>
      </c>
      <c r="C1640" s="52">
        <v>66.928679000000002</v>
      </c>
      <c r="D1640" s="25">
        <v>7.3611111111111113E-2</v>
      </c>
      <c r="E1640" s="53">
        <v>-23.574434</v>
      </c>
      <c r="F1640" s="53">
        <v>-46.641179000000001</v>
      </c>
      <c r="G1640" s="53">
        <v>-23.491246</v>
      </c>
      <c r="H1640" s="53">
        <v>-46.549405999999998</v>
      </c>
      <c r="I1640" s="53">
        <v>-23.340577</v>
      </c>
      <c r="J1640" s="53">
        <v>-46.153419</v>
      </c>
      <c r="L1640" s="61" t="str">
        <f t="shared" si="26"/>
        <v>Cliente28-Cliente15</v>
      </c>
      <c r="M1640">
        <v>66.928679000000002</v>
      </c>
    </row>
    <row r="1641" spans="1:13" x14ac:dyDescent="0.25">
      <c r="A1641" s="15" t="s">
        <v>4298</v>
      </c>
      <c r="B1641" s="15" t="s">
        <v>4286</v>
      </c>
      <c r="C1641" s="54">
        <v>65.859296000000001</v>
      </c>
      <c r="D1641" s="26">
        <v>7.2222222222222229E-2</v>
      </c>
      <c r="E1641" s="55">
        <v>-23.574434</v>
      </c>
      <c r="F1641" s="55">
        <v>-46.641179000000001</v>
      </c>
      <c r="G1641" s="55">
        <v>-23.491246</v>
      </c>
      <c r="H1641" s="55">
        <v>-46.549405999999998</v>
      </c>
      <c r="I1641" s="55">
        <v>-23.340577</v>
      </c>
      <c r="J1641" s="55">
        <v>-46.153419</v>
      </c>
      <c r="L1641" s="61" t="str">
        <f t="shared" si="26"/>
        <v>Cliente28-Cliente16</v>
      </c>
      <c r="M1641">
        <v>65.859296000000001</v>
      </c>
    </row>
    <row r="1642" spans="1:13" x14ac:dyDescent="0.25">
      <c r="A1642" s="15" t="s">
        <v>4298</v>
      </c>
      <c r="B1642" s="15" t="s">
        <v>4287</v>
      </c>
      <c r="C1642" s="52">
        <v>66.915008999999998</v>
      </c>
      <c r="D1642" s="25">
        <v>7.0833333333333331E-2</v>
      </c>
      <c r="E1642" s="53">
        <v>-23.574434</v>
      </c>
      <c r="F1642" s="53">
        <v>-46.641179000000001</v>
      </c>
      <c r="G1642" s="53">
        <v>-23.491246</v>
      </c>
      <c r="H1642" s="53">
        <v>-46.549405999999998</v>
      </c>
      <c r="I1642" s="53">
        <v>-23.340577</v>
      </c>
      <c r="J1642" s="53">
        <v>-46.153419</v>
      </c>
      <c r="L1642" s="61" t="str">
        <f t="shared" si="26"/>
        <v>Cliente28-Cliente17</v>
      </c>
      <c r="M1642">
        <v>66.915008999999998</v>
      </c>
    </row>
    <row r="1643" spans="1:13" x14ac:dyDescent="0.25">
      <c r="A1643" s="15" t="s">
        <v>4298</v>
      </c>
      <c r="B1643" s="15" t="s">
        <v>4288</v>
      </c>
      <c r="C1643" s="54">
        <v>71.743075000000005</v>
      </c>
      <c r="D1643" s="26">
        <v>7.4999999999999997E-2</v>
      </c>
      <c r="E1643" s="55">
        <v>-23.583801999999999</v>
      </c>
      <c r="F1643" s="55">
        <v>-46.652897000000003</v>
      </c>
      <c r="G1643" s="55">
        <v>-23.509595000000001</v>
      </c>
      <c r="H1643" s="55">
        <v>-46.572921000000001</v>
      </c>
      <c r="I1643" s="55">
        <v>-23.352087999999998</v>
      </c>
      <c r="J1643" s="55">
        <v>-46.199134999999998</v>
      </c>
      <c r="L1643" s="61" t="str">
        <f t="shared" si="26"/>
        <v>Cliente28-Cliente18</v>
      </c>
      <c r="M1643">
        <v>71.743075000000005</v>
      </c>
    </row>
    <row r="1644" spans="1:13" x14ac:dyDescent="0.25">
      <c r="A1644" s="15" t="s">
        <v>4298</v>
      </c>
      <c r="B1644" s="15" t="s">
        <v>4289</v>
      </c>
      <c r="C1644" s="52">
        <v>15.812072000000001</v>
      </c>
      <c r="D1644" s="25">
        <v>2.9166666666666664E-2</v>
      </c>
      <c r="E1644" s="53">
        <v>-23.641569</v>
      </c>
      <c r="F1644" s="53">
        <v>-46.673043999999997</v>
      </c>
      <c r="G1644" s="53">
        <v>-23.583801999999999</v>
      </c>
      <c r="H1644" s="53">
        <v>-46.652897000000003</v>
      </c>
      <c r="I1644" s="53">
        <v>-23.524187000000001</v>
      </c>
      <c r="J1644" s="53">
        <v>-46.630889000000003</v>
      </c>
      <c r="L1644" s="61" t="str">
        <f t="shared" si="26"/>
        <v>Cliente28-Cliente19</v>
      </c>
      <c r="M1644">
        <v>15.812072000000001</v>
      </c>
    </row>
    <row r="1645" spans="1:13" x14ac:dyDescent="0.25">
      <c r="A1645" s="15" t="s">
        <v>4298</v>
      </c>
      <c r="B1645" s="15" t="s">
        <v>4290</v>
      </c>
      <c r="C1645" s="54">
        <v>13.836107</v>
      </c>
      <c r="D1645" s="26">
        <v>2.5694444444444447E-2</v>
      </c>
      <c r="E1645" s="55">
        <v>-23.644009</v>
      </c>
      <c r="F1645" s="55">
        <v>-46.672359999999998</v>
      </c>
      <c r="G1645" s="55">
        <v>-23.616432</v>
      </c>
      <c r="H1645" s="55">
        <v>-46.686394</v>
      </c>
      <c r="I1645" s="55">
        <v>-23.563230000000001</v>
      </c>
      <c r="J1645" s="55">
        <v>-46.704087999999999</v>
      </c>
      <c r="L1645" s="61" t="str">
        <f t="shared" si="26"/>
        <v>Cliente28-Cliente20</v>
      </c>
      <c r="M1645">
        <v>13.836107</v>
      </c>
    </row>
    <row r="1646" spans="1:13" x14ac:dyDescent="0.25">
      <c r="A1646" s="15" t="s">
        <v>4298</v>
      </c>
      <c r="B1646" s="15" t="s">
        <v>4291</v>
      </c>
      <c r="C1646" s="52">
        <v>12.688431</v>
      </c>
      <c r="D1646" s="25">
        <v>2.2916666666666669E-2</v>
      </c>
      <c r="E1646" s="53">
        <v>-23.647251000000001</v>
      </c>
      <c r="F1646" s="53">
        <v>-46.67069</v>
      </c>
      <c r="G1646" s="53">
        <v>-23.628664000000001</v>
      </c>
      <c r="H1646" s="53">
        <v>-46.674219999999998</v>
      </c>
      <c r="I1646" s="53">
        <v>-23.584275000000002</v>
      </c>
      <c r="J1646" s="53">
        <v>-46.691324000000002</v>
      </c>
      <c r="L1646" s="61" t="str">
        <f t="shared" si="26"/>
        <v>Cliente28-Cliente21</v>
      </c>
      <c r="M1646">
        <v>12.688431</v>
      </c>
    </row>
    <row r="1647" spans="1:13" x14ac:dyDescent="0.25">
      <c r="A1647" s="15" t="s">
        <v>4298</v>
      </c>
      <c r="B1647" s="15" t="s">
        <v>4292</v>
      </c>
      <c r="C1647" s="54">
        <v>11.906744</v>
      </c>
      <c r="D1647" s="26">
        <v>2.4999999999999998E-2</v>
      </c>
      <c r="E1647" s="55">
        <v>-23.644727</v>
      </c>
      <c r="F1647" s="55">
        <v>-46.672058999999997</v>
      </c>
      <c r="G1647" s="55" t="s">
        <v>7296</v>
      </c>
      <c r="H1647" s="55">
        <v>-46.677588</v>
      </c>
      <c r="I1647" s="55">
        <v>-23.575994000000001</v>
      </c>
      <c r="J1647" s="55">
        <v>-46.695777</v>
      </c>
      <c r="L1647" s="61" t="str">
        <f t="shared" si="26"/>
        <v>Cliente28-Cliente22</v>
      </c>
      <c r="M1647">
        <v>11.906744</v>
      </c>
    </row>
    <row r="1648" spans="1:13" x14ac:dyDescent="0.25">
      <c r="A1648" s="15" t="s">
        <v>4298</v>
      </c>
      <c r="B1648" s="15" t="s">
        <v>4293</v>
      </c>
      <c r="C1648" s="52">
        <v>14.203338</v>
      </c>
      <c r="D1648" s="25">
        <v>3.125E-2</v>
      </c>
      <c r="E1648" s="53">
        <v>-23.639811000000002</v>
      </c>
      <c r="F1648" s="53">
        <v>-46.673521000000001</v>
      </c>
      <c r="G1648" s="53">
        <v>-23.595918999999999</v>
      </c>
      <c r="H1648" s="53">
        <v>-46.691768000000003</v>
      </c>
      <c r="I1648" s="53">
        <v>-23.572989</v>
      </c>
      <c r="J1648" s="53">
        <v>-46.711342999999999</v>
      </c>
      <c r="L1648" s="61" t="str">
        <f t="shared" si="26"/>
        <v>Cliente28-Cliente23</v>
      </c>
      <c r="M1648">
        <v>14.203338</v>
      </c>
    </row>
    <row r="1649" spans="1:13" x14ac:dyDescent="0.25">
      <c r="A1649" s="15" t="s">
        <v>4298</v>
      </c>
      <c r="B1649" s="15" t="s">
        <v>4294</v>
      </c>
      <c r="C1649" s="54">
        <v>12.278325000000001</v>
      </c>
      <c r="D1649" s="26">
        <v>3.0555555555555555E-2</v>
      </c>
      <c r="E1649" s="55">
        <v>-23.644010999999999</v>
      </c>
      <c r="F1649" s="55">
        <v>-46.672620999999999</v>
      </c>
      <c r="G1649" s="55">
        <v>-23.617906000000001</v>
      </c>
      <c r="H1649" s="55">
        <v>-46.701909000000001</v>
      </c>
      <c r="I1649" s="55">
        <v>-23.580051999999998</v>
      </c>
      <c r="J1649" s="55">
        <v>-46.705872999999997</v>
      </c>
      <c r="L1649" s="61" t="str">
        <f t="shared" si="26"/>
        <v>Cliente28-Cliente24</v>
      </c>
      <c r="M1649">
        <v>12.278325000000001</v>
      </c>
    </row>
    <row r="1650" spans="1:13" x14ac:dyDescent="0.25">
      <c r="A1650" s="15" t="s">
        <v>4298</v>
      </c>
      <c r="B1650" s="15" t="s">
        <v>4295</v>
      </c>
      <c r="C1650" s="52">
        <v>12.993525</v>
      </c>
      <c r="D1650" s="25">
        <v>3.0555555555555555E-2</v>
      </c>
      <c r="E1650" s="53">
        <v>-23.640091999999999</v>
      </c>
      <c r="F1650" s="53">
        <v>-46.673656999999999</v>
      </c>
      <c r="G1650" s="53">
        <v>-23.623881000000001</v>
      </c>
      <c r="H1650" s="53">
        <v>-46.709968000000003</v>
      </c>
      <c r="I1650" s="53">
        <v>-23.627886</v>
      </c>
      <c r="J1650" s="53">
        <v>-46.744123000000002</v>
      </c>
      <c r="L1650" s="61" t="str">
        <f t="shared" si="26"/>
        <v>Cliente28-Cliente25</v>
      </c>
      <c r="M1650">
        <v>12.993525</v>
      </c>
    </row>
    <row r="1651" spans="1:13" x14ac:dyDescent="0.25">
      <c r="A1651" s="15" t="s">
        <v>4298</v>
      </c>
      <c r="B1651" s="15" t="s">
        <v>4296</v>
      </c>
      <c r="C1651" s="54">
        <v>18.690892000000002</v>
      </c>
      <c r="D1651" s="26">
        <v>3.3333333333333333E-2</v>
      </c>
      <c r="E1651" s="55">
        <v>-23.634058</v>
      </c>
      <c r="F1651" s="55">
        <v>-46.668664999999997</v>
      </c>
      <c r="G1651" s="55">
        <v>-23.571897</v>
      </c>
      <c r="H1651" s="55">
        <v>-46.701847999999998</v>
      </c>
      <c r="I1651" s="55">
        <v>-23.58306</v>
      </c>
      <c r="J1651" s="55">
        <v>-46.770561000000001</v>
      </c>
      <c r="L1651" s="61" t="str">
        <f t="shared" si="26"/>
        <v>Cliente28-Cliente26</v>
      </c>
      <c r="M1651">
        <v>18.690892000000002</v>
      </c>
    </row>
    <row r="1652" spans="1:13" x14ac:dyDescent="0.25">
      <c r="A1652" s="15" t="s">
        <v>4298</v>
      </c>
      <c r="B1652" s="15" t="s">
        <v>4297</v>
      </c>
      <c r="C1652" s="52">
        <v>11.011968</v>
      </c>
      <c r="D1652" s="25">
        <v>2.6388888888888889E-2</v>
      </c>
      <c r="E1652" s="53">
        <v>-23.652359000000001</v>
      </c>
      <c r="F1652" s="53">
        <v>-46.669125000000001</v>
      </c>
      <c r="G1652" s="53">
        <v>-23.631653</v>
      </c>
      <c r="H1652" s="53">
        <v>-46.691422000000003</v>
      </c>
      <c r="I1652" s="53">
        <v>-23.638746000000001</v>
      </c>
      <c r="J1652" s="53">
        <v>-46.736707000000003</v>
      </c>
      <c r="L1652" s="61" t="str">
        <f t="shared" si="26"/>
        <v>Cliente28-Cliente27</v>
      </c>
      <c r="M1652">
        <v>11.011968</v>
      </c>
    </row>
    <row r="1653" spans="1:13" x14ac:dyDescent="0.25">
      <c r="A1653" s="15" t="s">
        <v>4298</v>
      </c>
      <c r="B1653" s="15" t="s">
        <v>4298</v>
      </c>
      <c r="C1653" s="54">
        <v>0</v>
      </c>
      <c r="D1653" s="26">
        <v>0</v>
      </c>
      <c r="E1653" s="55">
        <f>'1. Locais'!D32</f>
        <v>-23.670500000000001</v>
      </c>
      <c r="F1653" s="55">
        <f>'1. Locais'!E32</f>
        <v>-46.647849999999998</v>
      </c>
      <c r="G1653" s="55">
        <f>'1. Locais'!D32</f>
        <v>-23.670500000000001</v>
      </c>
      <c r="H1653" s="55">
        <f>'1. Locais'!E32</f>
        <v>-46.647849999999998</v>
      </c>
      <c r="I1653" s="55">
        <f>'1. Locais'!D32</f>
        <v>-23.670500000000001</v>
      </c>
      <c r="J1653" s="55">
        <f>'1. Locais'!E32</f>
        <v>-46.647849999999998</v>
      </c>
      <c r="L1653" s="61" t="str">
        <f t="shared" si="26"/>
        <v>Cliente28-Cliente28</v>
      </c>
      <c r="M1653">
        <v>0</v>
      </c>
    </row>
    <row r="1654" spans="1:13" x14ac:dyDescent="0.25">
      <c r="A1654" s="15" t="s">
        <v>4298</v>
      </c>
      <c r="B1654" s="15" t="s">
        <v>4299</v>
      </c>
      <c r="C1654" s="52">
        <v>6.3672060000000004</v>
      </c>
      <c r="D1654" s="25">
        <v>1.4583333333333332E-2</v>
      </c>
      <c r="E1654" s="53">
        <v>-23.685452000000002</v>
      </c>
      <c r="F1654" s="53">
        <v>-46.625535999999997</v>
      </c>
      <c r="G1654" s="53">
        <v>-23.680337000000002</v>
      </c>
      <c r="H1654" s="53">
        <v>-46.596226000000001</v>
      </c>
      <c r="I1654" s="53">
        <v>-23.671811999999999</v>
      </c>
      <c r="J1654" s="53">
        <v>-46.577339000000002</v>
      </c>
      <c r="L1654" s="61" t="str">
        <f t="shared" si="26"/>
        <v>Cliente28-Cliente29</v>
      </c>
      <c r="M1654">
        <v>6.3672060000000004</v>
      </c>
    </row>
    <row r="1655" spans="1:13" x14ac:dyDescent="0.25">
      <c r="A1655" s="15" t="s">
        <v>4298</v>
      </c>
      <c r="B1655" s="15" t="s">
        <v>4300</v>
      </c>
      <c r="C1655" s="54">
        <v>13.600606000000001</v>
      </c>
      <c r="D1655" s="26">
        <v>2.6388888888888889E-2</v>
      </c>
      <c r="E1655" s="55">
        <v>-23.680337000000002</v>
      </c>
      <c r="F1655" s="55">
        <v>-46.596226000000001</v>
      </c>
      <c r="G1655" s="55">
        <v>-23.659096000000002</v>
      </c>
      <c r="H1655" s="55">
        <v>-46.553829999999998</v>
      </c>
      <c r="I1655" s="55">
        <v>-23.652085</v>
      </c>
      <c r="J1655" s="55">
        <v>-46.521093</v>
      </c>
      <c r="L1655" s="61" t="str">
        <f t="shared" si="26"/>
        <v>Cliente28-Cliente30</v>
      </c>
      <c r="M1655">
        <v>13.600606000000001</v>
      </c>
    </row>
    <row r="1656" spans="1:13" x14ac:dyDescent="0.25">
      <c r="A1656" s="15" t="s">
        <v>4298</v>
      </c>
      <c r="B1656" s="15" t="s">
        <v>4301</v>
      </c>
      <c r="C1656" s="52">
        <v>19.245156000000001</v>
      </c>
      <c r="D1656" s="25">
        <v>3.4027777777777775E-2</v>
      </c>
      <c r="E1656" s="53">
        <v>-23.635697</v>
      </c>
      <c r="F1656" s="53">
        <v>-46.669466999999997</v>
      </c>
      <c r="G1656" s="53">
        <v>-23.569907000000001</v>
      </c>
      <c r="H1656" s="53">
        <v>-46.701593000000003</v>
      </c>
      <c r="I1656" s="53">
        <v>-23.521504</v>
      </c>
      <c r="J1656" s="53">
        <v>-46.783349000000001</v>
      </c>
      <c r="L1656" s="61" t="str">
        <f t="shared" si="26"/>
        <v>Cliente28-Cliente31</v>
      </c>
      <c r="M1656">
        <v>19.245156000000001</v>
      </c>
    </row>
    <row r="1657" spans="1:13" x14ac:dyDescent="0.25">
      <c r="A1657" s="15" t="s">
        <v>4298</v>
      </c>
      <c r="B1657" s="15" t="s">
        <v>4302</v>
      </c>
      <c r="C1657" s="54">
        <v>19.176805000000002</v>
      </c>
      <c r="D1657" s="26">
        <v>3.4722222222222224E-2</v>
      </c>
      <c r="E1657" s="55">
        <v>-23.629663999999998</v>
      </c>
      <c r="F1657" s="55">
        <v>-46.667755999999997</v>
      </c>
      <c r="G1657" s="55">
        <v>-23.572965</v>
      </c>
      <c r="H1657" s="55">
        <v>-46.699219999999997</v>
      </c>
      <c r="I1657" s="55">
        <v>-23.518218000000001</v>
      </c>
      <c r="J1657" s="55">
        <v>-46.731389999999998</v>
      </c>
      <c r="L1657" s="61" t="str">
        <f t="shared" si="26"/>
        <v>Cliente28-Cliente32</v>
      </c>
      <c r="M1657">
        <v>19.176805000000002</v>
      </c>
    </row>
    <row r="1658" spans="1:13" x14ac:dyDescent="0.25">
      <c r="A1658" s="15" t="s">
        <v>4298</v>
      </c>
      <c r="B1658" s="15" t="s">
        <v>4303</v>
      </c>
      <c r="C1658" s="52">
        <v>17.788036999999999</v>
      </c>
      <c r="D1658" s="25">
        <v>3.5416666666666666E-2</v>
      </c>
      <c r="E1658" s="53">
        <v>-23.634575000000002</v>
      </c>
      <c r="F1658" s="53">
        <v>-46.669040000000003</v>
      </c>
      <c r="G1658" s="53">
        <v>-23.554307999999999</v>
      </c>
      <c r="H1658" s="53">
        <v>-46.636699</v>
      </c>
      <c r="I1658" s="53">
        <v>-23.501902000000001</v>
      </c>
      <c r="J1658" s="53">
        <v>-46.615867999999999</v>
      </c>
      <c r="L1658" s="61" t="str">
        <f t="shared" si="26"/>
        <v>Cliente28-Cliente33</v>
      </c>
      <c r="M1658">
        <v>17.788036999999999</v>
      </c>
    </row>
    <row r="1659" spans="1:13" x14ac:dyDescent="0.25">
      <c r="A1659" s="15" t="s">
        <v>4298</v>
      </c>
      <c r="B1659" s="15" t="s">
        <v>4304</v>
      </c>
      <c r="C1659" s="54">
        <v>24.797122000000002</v>
      </c>
      <c r="D1659" s="26">
        <v>4.0972222222222222E-2</v>
      </c>
      <c r="E1659" s="55">
        <v>-23.618926999999999</v>
      </c>
      <c r="F1659" s="55">
        <v>-46.662072000000002</v>
      </c>
      <c r="G1659" s="55">
        <v>-23.549467</v>
      </c>
      <c r="H1659" s="55">
        <v>-46.727350000000001</v>
      </c>
      <c r="I1659" s="55">
        <v>-23.494495000000001</v>
      </c>
      <c r="J1659" s="55">
        <v>-46.830891000000001</v>
      </c>
      <c r="L1659" s="61" t="str">
        <f t="shared" si="26"/>
        <v>Cliente28-Cliente34</v>
      </c>
      <c r="M1659">
        <v>24.797122000000002</v>
      </c>
    </row>
    <row r="1660" spans="1:13" x14ac:dyDescent="0.25">
      <c r="A1660" s="15" t="s">
        <v>4298</v>
      </c>
      <c r="B1660" s="15" t="s">
        <v>4305</v>
      </c>
      <c r="C1660" s="52">
        <v>25.393018000000001</v>
      </c>
      <c r="D1660" s="25">
        <v>4.027777777777778E-2</v>
      </c>
      <c r="E1660" s="53">
        <v>-23.626995000000001</v>
      </c>
      <c r="F1660" s="53">
        <v>-46.661374000000002</v>
      </c>
      <c r="G1660" s="53">
        <v>-23.551601999999999</v>
      </c>
      <c r="H1660" s="53">
        <v>-46.723599999999998</v>
      </c>
      <c r="I1660" s="53">
        <v>-23.498597</v>
      </c>
      <c r="J1660" s="53">
        <v>-46.848030999999999</v>
      </c>
      <c r="L1660" s="61" t="str">
        <f t="shared" si="26"/>
        <v>Cliente28-Cliente35</v>
      </c>
      <c r="M1660">
        <v>25.393018000000001</v>
      </c>
    </row>
    <row r="1661" spans="1:13" x14ac:dyDescent="0.25">
      <c r="A1661" s="15" t="s">
        <v>4298</v>
      </c>
      <c r="B1661" s="15" t="s">
        <v>4306</v>
      </c>
      <c r="C1661" s="54">
        <v>154.38689199999999</v>
      </c>
      <c r="D1661" s="26">
        <v>0.14097222222222222</v>
      </c>
      <c r="E1661" s="55">
        <v>-23.507712999999999</v>
      </c>
      <c r="F1661" s="55">
        <v>-46.720557999999997</v>
      </c>
      <c r="G1661" s="55">
        <v>-23.081302999999998</v>
      </c>
      <c r="H1661" s="55">
        <v>-47.024233000000002</v>
      </c>
      <c r="I1661" s="55">
        <v>-22.521398999999999</v>
      </c>
      <c r="J1661" s="55">
        <v>-47.392366000000003</v>
      </c>
      <c r="L1661" s="61" t="str">
        <f t="shared" si="26"/>
        <v>Cliente28-Cliente36</v>
      </c>
      <c r="M1661">
        <v>154.38689199999999</v>
      </c>
    </row>
    <row r="1662" spans="1:13" x14ac:dyDescent="0.25">
      <c r="A1662" s="15" t="s">
        <v>4298</v>
      </c>
      <c r="B1662" s="15" t="s">
        <v>4307</v>
      </c>
      <c r="C1662" s="52">
        <v>153.29016899999999</v>
      </c>
      <c r="D1662" s="25">
        <v>0.13958333333333334</v>
      </c>
      <c r="E1662" s="53">
        <v>-23.506629</v>
      </c>
      <c r="F1662" s="53">
        <v>-46.721688999999998</v>
      </c>
      <c r="G1662" s="53">
        <v>-23.070166</v>
      </c>
      <c r="H1662" s="53">
        <v>-47.030828</v>
      </c>
      <c r="I1662" s="53">
        <v>-22.503412999999998</v>
      </c>
      <c r="J1662" s="53">
        <v>-47.399394999999998</v>
      </c>
      <c r="L1662" s="61" t="str">
        <f t="shared" si="26"/>
        <v>Cliente28-Cliente37</v>
      </c>
      <c r="M1662">
        <v>153.29016899999999</v>
      </c>
    </row>
    <row r="1663" spans="1:13" x14ac:dyDescent="0.25">
      <c r="A1663" s="15" t="s">
        <v>4298</v>
      </c>
      <c r="B1663" s="15" t="s">
        <v>4308</v>
      </c>
      <c r="C1663" s="54">
        <v>151.51366400000001</v>
      </c>
      <c r="D1663" s="26">
        <v>0.13749999999999998</v>
      </c>
      <c r="E1663" s="55">
        <v>-23.508662999999999</v>
      </c>
      <c r="F1663" s="55">
        <v>-46.720061999999999</v>
      </c>
      <c r="G1663" s="55">
        <v>-23.090139000000001</v>
      </c>
      <c r="H1663" s="55">
        <v>-47.017932000000002</v>
      </c>
      <c r="I1663" s="55">
        <v>-22.560054000000001</v>
      </c>
      <c r="J1663" s="55">
        <v>-47.366478999999998</v>
      </c>
      <c r="L1663" s="61" t="str">
        <f t="shared" si="26"/>
        <v>Cliente28-Cliente38</v>
      </c>
      <c r="M1663">
        <v>151.51366400000001</v>
      </c>
    </row>
    <row r="1664" spans="1:13" x14ac:dyDescent="0.25">
      <c r="A1664" s="15" t="s">
        <v>4298</v>
      </c>
      <c r="B1664" s="15" t="s">
        <v>4309</v>
      </c>
      <c r="C1664" s="52">
        <v>92.749201999999997</v>
      </c>
      <c r="D1664" s="25">
        <v>9.4444444444444442E-2</v>
      </c>
      <c r="E1664" s="53">
        <v>-23.560130999999998</v>
      </c>
      <c r="F1664" s="53">
        <v>-46.639353999999997</v>
      </c>
      <c r="G1664" s="53">
        <v>-23.415243</v>
      </c>
      <c r="H1664" s="53">
        <v>-46.368104000000002</v>
      </c>
      <c r="I1664" s="53">
        <v>-23.308183</v>
      </c>
      <c r="J1664" s="53">
        <v>-46.056043000000003</v>
      </c>
      <c r="L1664" s="61" t="str">
        <f t="shared" si="26"/>
        <v>Cliente28-Cliente39</v>
      </c>
      <c r="M1664">
        <v>92.749201999999997</v>
      </c>
    </row>
    <row r="1665" spans="1:13" x14ac:dyDescent="0.25">
      <c r="A1665" s="15" t="s">
        <v>4298</v>
      </c>
      <c r="B1665" s="15" t="s">
        <v>4310</v>
      </c>
      <c r="C1665" s="54">
        <v>93.763282000000004</v>
      </c>
      <c r="D1665" s="26">
        <v>9.8611111111111108E-2</v>
      </c>
      <c r="E1665" s="55">
        <v>-23.558278999999999</v>
      </c>
      <c r="F1665" s="55">
        <v>-46.638223000000004</v>
      </c>
      <c r="G1665" s="55">
        <v>-23.407972999999998</v>
      </c>
      <c r="H1665" s="55">
        <v>-46.338434999999997</v>
      </c>
      <c r="I1665" s="55">
        <v>-23.300267999999999</v>
      </c>
      <c r="J1665" s="55">
        <v>-46.015464000000001</v>
      </c>
      <c r="L1665" s="61" t="str">
        <f t="shared" si="26"/>
        <v>Cliente28-Cliente40</v>
      </c>
      <c r="M1665">
        <v>93.763282000000004</v>
      </c>
    </row>
    <row r="1666" spans="1:13" x14ac:dyDescent="0.25">
      <c r="A1666" s="15" t="s">
        <v>4298</v>
      </c>
      <c r="B1666" s="15" t="s">
        <v>4311</v>
      </c>
      <c r="C1666" s="52">
        <v>83.787763999999996</v>
      </c>
      <c r="D1666" s="25">
        <v>8.9583333333333334E-2</v>
      </c>
      <c r="E1666" s="53">
        <v>-23.553581999999999</v>
      </c>
      <c r="F1666" s="53">
        <v>-46.636557000000003</v>
      </c>
      <c r="G1666" s="53">
        <v>-23.409220999999999</v>
      </c>
      <c r="H1666" s="53">
        <v>-46.341467999999999</v>
      </c>
      <c r="I1666" s="53">
        <v>-23.300267999999999</v>
      </c>
      <c r="J1666" s="53">
        <v>-46.015464000000001</v>
      </c>
      <c r="L1666" s="61" t="str">
        <f t="shared" si="26"/>
        <v>Cliente28-Cliente41</v>
      </c>
      <c r="M1666">
        <v>83.787763999999996</v>
      </c>
    </row>
    <row r="1667" spans="1:13" x14ac:dyDescent="0.25">
      <c r="A1667" s="15" t="s">
        <v>4298</v>
      </c>
      <c r="B1667" s="15" t="s">
        <v>4312</v>
      </c>
      <c r="C1667" s="54">
        <v>80.316776000000004</v>
      </c>
      <c r="D1667" s="26">
        <v>8.1944444444444445E-2</v>
      </c>
      <c r="E1667" s="55">
        <v>-23.582844999999999</v>
      </c>
      <c r="F1667" s="55">
        <v>-46.651977000000002</v>
      </c>
      <c r="G1667" s="55">
        <v>-23.508891999999999</v>
      </c>
      <c r="H1667" s="55">
        <v>-46.572512000000003</v>
      </c>
      <c r="I1667" s="55">
        <v>-23.351811999999999</v>
      </c>
      <c r="J1667" s="55">
        <v>-46.188622000000002</v>
      </c>
      <c r="L1667" s="61" t="str">
        <f t="shared" si="26"/>
        <v>Cliente28-Cliente42</v>
      </c>
      <c r="M1667">
        <v>80.316776000000004</v>
      </c>
    </row>
    <row r="1668" spans="1:13" x14ac:dyDescent="0.25">
      <c r="A1668" s="15" t="s">
        <v>4298</v>
      </c>
      <c r="B1668" s="15" t="s">
        <v>4313</v>
      </c>
      <c r="C1668" s="52">
        <v>102.96953999999999</v>
      </c>
      <c r="D1668" s="25">
        <v>0.10208333333333335</v>
      </c>
      <c r="E1668" s="53">
        <v>-23.549047999999999</v>
      </c>
      <c r="F1668" s="53">
        <v>-46.638815999999998</v>
      </c>
      <c r="G1668" s="53">
        <v>-23.402197000000001</v>
      </c>
      <c r="H1668" s="53">
        <v>-46.313864000000002</v>
      </c>
      <c r="I1668" s="53">
        <v>-23.201416999999999</v>
      </c>
      <c r="J1668" s="53">
        <v>-45.880322999999997</v>
      </c>
      <c r="L1668" s="61" t="str">
        <f t="shared" si="26"/>
        <v>Cliente28-Cliente43</v>
      </c>
      <c r="M1668">
        <v>102.96953999999999</v>
      </c>
    </row>
    <row r="1669" spans="1:13" x14ac:dyDescent="0.25">
      <c r="A1669" s="15" t="s">
        <v>4298</v>
      </c>
      <c r="B1669" s="15" t="s">
        <v>4314</v>
      </c>
      <c r="C1669" s="54">
        <v>67.912932999999995</v>
      </c>
      <c r="D1669" s="26">
        <v>7.4999999999999997E-2</v>
      </c>
      <c r="E1669" s="55">
        <v>-23.595721999999999</v>
      </c>
      <c r="F1669" s="55">
        <v>-46.692570000000003</v>
      </c>
      <c r="G1669" s="55">
        <v>-23.516086000000001</v>
      </c>
      <c r="H1669" s="55">
        <v>-46.961962</v>
      </c>
      <c r="I1669" s="55">
        <v>-23.414155000000001</v>
      </c>
      <c r="J1669" s="55">
        <v>-47.269866</v>
      </c>
      <c r="L1669" s="61" t="str">
        <f t="shared" si="26"/>
        <v>Cliente28-Cliente44</v>
      </c>
      <c r="M1669">
        <v>67.912932999999995</v>
      </c>
    </row>
    <row r="1670" spans="1:13" x14ac:dyDescent="0.25">
      <c r="A1670" s="15" t="s">
        <v>4298</v>
      </c>
      <c r="B1670" s="15" t="s">
        <v>4315</v>
      </c>
      <c r="C1670" s="52">
        <v>68.690892000000005</v>
      </c>
      <c r="D1670" s="25">
        <v>7.7777777777777779E-2</v>
      </c>
      <c r="E1670" s="53">
        <v>-23.573374999999999</v>
      </c>
      <c r="F1670" s="53">
        <v>-46.698605000000001</v>
      </c>
      <c r="G1670" s="53">
        <v>-23.464064</v>
      </c>
      <c r="H1670" s="53">
        <v>-47.029637000000001</v>
      </c>
      <c r="I1670" s="53">
        <v>-23.475899999999999</v>
      </c>
      <c r="J1670" s="53">
        <v>-47.436031</v>
      </c>
      <c r="L1670" s="61" t="str">
        <f t="shared" si="26"/>
        <v>Cliente28-Cliente45</v>
      </c>
      <c r="M1670">
        <v>68.690892000000005</v>
      </c>
    </row>
    <row r="1671" spans="1:13" x14ac:dyDescent="0.25">
      <c r="A1671" s="15" t="s">
        <v>4298</v>
      </c>
      <c r="B1671" s="15" t="s">
        <v>4316</v>
      </c>
      <c r="C1671" s="54">
        <v>66.829881</v>
      </c>
      <c r="D1671" s="26">
        <v>7.3611111111111113E-2</v>
      </c>
      <c r="E1671" s="55">
        <v>-23.603646000000001</v>
      </c>
      <c r="F1671" s="55">
        <v>-46.679895000000002</v>
      </c>
      <c r="G1671" s="55">
        <v>-23.517067000000001</v>
      </c>
      <c r="H1671" s="55">
        <v>-46.931342999999998</v>
      </c>
      <c r="I1671" s="55">
        <v>-23.421302000000001</v>
      </c>
      <c r="J1671" s="55">
        <v>-47.247945999999999</v>
      </c>
      <c r="L1671" s="61" t="str">
        <f t="shared" si="26"/>
        <v>Cliente28-Cliente46</v>
      </c>
      <c r="M1671">
        <v>66.829881</v>
      </c>
    </row>
    <row r="1672" spans="1:13" x14ac:dyDescent="0.25">
      <c r="A1672" s="15" t="s">
        <v>4298</v>
      </c>
      <c r="B1672" s="15" t="s">
        <v>4317</v>
      </c>
      <c r="C1672" s="52">
        <v>200.84320299999999</v>
      </c>
      <c r="D1672" s="25">
        <v>0.17569444444444446</v>
      </c>
      <c r="E1672" s="53">
        <v>-23.488368999999999</v>
      </c>
      <c r="F1672" s="53">
        <v>-46.736564000000001</v>
      </c>
      <c r="G1672" s="53">
        <v>-23.024046999999999</v>
      </c>
      <c r="H1672" s="53">
        <v>-47.075871999999997</v>
      </c>
      <c r="I1672" s="53">
        <v>-22.397145999999999</v>
      </c>
      <c r="J1672" s="53">
        <v>-47.390210000000003</v>
      </c>
      <c r="L1672" s="61" t="str">
        <f t="shared" si="26"/>
        <v>Cliente28-Cliente47</v>
      </c>
      <c r="M1672">
        <v>200.84320299999999</v>
      </c>
    </row>
    <row r="1673" spans="1:13" x14ac:dyDescent="0.25">
      <c r="A1673" s="15" t="s">
        <v>4298</v>
      </c>
      <c r="B1673" s="15" t="s">
        <v>4318</v>
      </c>
      <c r="C1673" s="54">
        <v>209.95439099999999</v>
      </c>
      <c r="D1673" s="26">
        <v>0.18402777777777779</v>
      </c>
      <c r="E1673" s="55">
        <v>-23.463417</v>
      </c>
      <c r="F1673" s="55">
        <v>-46.751761000000002</v>
      </c>
      <c r="G1673" s="55">
        <v>-22.927233000000001</v>
      </c>
      <c r="H1673" s="55">
        <v>-47.129334999999998</v>
      </c>
      <c r="I1673" s="55">
        <v>-22.149125000000002</v>
      </c>
      <c r="J1673" s="55">
        <v>-47.401997999999999</v>
      </c>
      <c r="L1673" s="61" t="str">
        <f t="shared" si="26"/>
        <v>Cliente28-Cliente48</v>
      </c>
      <c r="M1673">
        <v>209.95439099999999</v>
      </c>
    </row>
    <row r="1674" spans="1:13" x14ac:dyDescent="0.25">
      <c r="A1674" s="15" t="s">
        <v>4298</v>
      </c>
      <c r="B1674" s="15" t="s">
        <v>4319</v>
      </c>
      <c r="C1674" s="52">
        <v>203.59215599999999</v>
      </c>
      <c r="D1674" s="25">
        <v>0.17986111111111111</v>
      </c>
      <c r="E1674" s="53">
        <v>-23.476095999999998</v>
      </c>
      <c r="F1674" s="53">
        <v>-46.742280999999998</v>
      </c>
      <c r="G1674" s="53">
        <v>-22.977644999999999</v>
      </c>
      <c r="H1674" s="53">
        <v>-47.112226999999997</v>
      </c>
      <c r="I1674" s="53">
        <v>-22.254455</v>
      </c>
      <c r="J1674" s="53">
        <v>-47.389657</v>
      </c>
      <c r="L1674" s="61" t="str">
        <f t="shared" si="26"/>
        <v>Cliente28-Cliente49</v>
      </c>
      <c r="M1674">
        <v>203.59215599999999</v>
      </c>
    </row>
    <row r="1675" spans="1:13" x14ac:dyDescent="0.25">
      <c r="A1675" s="15" t="s">
        <v>4298</v>
      </c>
      <c r="B1675" s="15" t="s">
        <v>4320</v>
      </c>
      <c r="C1675" s="54">
        <v>212.20811</v>
      </c>
      <c r="D1675" s="26">
        <v>0.18402777777777779</v>
      </c>
      <c r="E1675" s="55">
        <v>-23.520489999999999</v>
      </c>
      <c r="F1675" s="55">
        <v>-46.774707999999997</v>
      </c>
      <c r="G1675" s="55">
        <v>-23.31185</v>
      </c>
      <c r="H1675" s="55">
        <v>-47.646073000000001</v>
      </c>
      <c r="I1675" s="55">
        <v>-22.906078000000001</v>
      </c>
      <c r="J1675" s="55">
        <v>-48.451943999999997</v>
      </c>
      <c r="L1675" s="61" t="str">
        <f t="shared" si="26"/>
        <v>Cliente28-Cliente50</v>
      </c>
      <c r="M1675">
        <v>212.20811</v>
      </c>
    </row>
    <row r="1676" spans="1:13" x14ac:dyDescent="0.25">
      <c r="A1676" s="15" t="s">
        <v>4298</v>
      </c>
      <c r="B1676" s="15" t="s">
        <v>4321</v>
      </c>
      <c r="C1676" s="52">
        <v>215.65672900000001</v>
      </c>
      <c r="D1676" s="25">
        <v>0.18958333333333333</v>
      </c>
      <c r="E1676" s="53">
        <v>-23.515968999999998</v>
      </c>
      <c r="F1676" s="53">
        <v>-46.655366000000001</v>
      </c>
      <c r="G1676" s="53">
        <v>-23.423221000000002</v>
      </c>
      <c r="H1676" s="53">
        <v>-47.239508999999998</v>
      </c>
      <c r="I1676" s="53">
        <v>-23.091407</v>
      </c>
      <c r="J1676" s="53">
        <v>-48.505184999999997</v>
      </c>
      <c r="L1676" s="61" t="str">
        <f t="shared" si="26"/>
        <v>Cliente28-Cliente51</v>
      </c>
      <c r="M1676">
        <v>215.65672900000001</v>
      </c>
    </row>
    <row r="1677" spans="1:13" x14ac:dyDescent="0.25">
      <c r="A1677" s="15" t="s">
        <v>4299</v>
      </c>
      <c r="B1677" s="15" t="s">
        <v>4268</v>
      </c>
      <c r="C1677" s="54">
        <v>72.200405000000003</v>
      </c>
      <c r="D1677" s="26">
        <v>7.2222222222222229E-2</v>
      </c>
      <c r="E1677" s="55">
        <v>-23.629572</v>
      </c>
      <c r="F1677" s="55">
        <v>-46.633034000000002</v>
      </c>
      <c r="G1677" s="55">
        <v>-23.524452</v>
      </c>
      <c r="H1677" s="55">
        <v>-46.755083999999997</v>
      </c>
      <c r="I1677" s="55">
        <v>-23.428775000000002</v>
      </c>
      <c r="J1677" s="55">
        <v>-47.138109</v>
      </c>
      <c r="L1677" s="61" t="str">
        <f t="shared" si="26"/>
        <v>Cliente29-depósito A</v>
      </c>
      <c r="M1677">
        <v>72.200405000000003</v>
      </c>
    </row>
    <row r="1678" spans="1:13" x14ac:dyDescent="0.25">
      <c r="A1678" s="15" t="s">
        <v>4299</v>
      </c>
      <c r="B1678" s="15" t="s">
        <v>4269</v>
      </c>
      <c r="C1678" s="52">
        <v>179.16909999999999</v>
      </c>
      <c r="D1678" s="25">
        <v>0.15694444444444444</v>
      </c>
      <c r="E1678" s="53">
        <v>-23.476851</v>
      </c>
      <c r="F1678" s="53">
        <v>-46.740920000000003</v>
      </c>
      <c r="G1678" s="53">
        <v>-23.038608</v>
      </c>
      <c r="H1678" s="53">
        <v>-47.068247</v>
      </c>
      <c r="I1678" s="53">
        <v>-22.500796999999999</v>
      </c>
      <c r="J1678" s="53">
        <v>-47.397385</v>
      </c>
      <c r="L1678" s="61" t="str">
        <f t="shared" si="26"/>
        <v>Cliente29-depósito B</v>
      </c>
      <c r="M1678">
        <v>179.16909999999999</v>
      </c>
    </row>
    <row r="1679" spans="1:13" x14ac:dyDescent="0.25">
      <c r="A1679" s="15" t="s">
        <v>4299</v>
      </c>
      <c r="B1679" s="15" t="s">
        <v>4270</v>
      </c>
      <c r="C1679" s="54">
        <v>67.824077000000003</v>
      </c>
      <c r="D1679" s="26">
        <v>6.1805555555555558E-2</v>
      </c>
      <c r="E1679" s="55">
        <v>-23.723037000000001</v>
      </c>
      <c r="F1679" s="55">
        <v>-46.486488999999999</v>
      </c>
      <c r="G1679" s="55">
        <v>-23.533512000000002</v>
      </c>
      <c r="H1679" s="55">
        <v>-46.331527000000001</v>
      </c>
      <c r="I1679" s="55">
        <v>-23.384436999999998</v>
      </c>
      <c r="J1679" s="55">
        <v>-46.265642</v>
      </c>
      <c r="L1679" s="61" t="str">
        <f t="shared" si="26"/>
        <v>Cliente29-depósito C</v>
      </c>
      <c r="M1679">
        <v>67.824077000000003</v>
      </c>
    </row>
    <row r="1680" spans="1:13" x14ac:dyDescent="0.25">
      <c r="A1680" s="15" t="s">
        <v>4299</v>
      </c>
      <c r="B1680" s="15" t="s">
        <v>4271</v>
      </c>
      <c r="C1680" s="52">
        <v>69.254476999999994</v>
      </c>
      <c r="D1680" s="25">
        <v>7.1527777777777787E-2</v>
      </c>
      <c r="E1680" s="53">
        <v>-23.544172</v>
      </c>
      <c r="F1680" s="53">
        <v>-46.628864999999998</v>
      </c>
      <c r="G1680" s="53">
        <v>-23.372620000000001</v>
      </c>
      <c r="H1680" s="53">
        <v>-46.778390000000002</v>
      </c>
      <c r="I1680" s="53">
        <v>-23.135629999999999</v>
      </c>
      <c r="J1680" s="53">
        <v>-46.978529000000002</v>
      </c>
      <c r="L1680" s="61" t="str">
        <f t="shared" si="26"/>
        <v>Cliente29-Cliente1</v>
      </c>
      <c r="M1680">
        <v>69.254476999999994</v>
      </c>
    </row>
    <row r="1681" spans="1:13" x14ac:dyDescent="0.25">
      <c r="A1681" s="15" t="s">
        <v>4299</v>
      </c>
      <c r="B1681" s="15" t="s">
        <v>4272</v>
      </c>
      <c r="C1681" s="54">
        <v>73.022480999999999</v>
      </c>
      <c r="D1681" s="26">
        <v>7.7083333333333337E-2</v>
      </c>
      <c r="E1681" s="55">
        <v>-23.533113</v>
      </c>
      <c r="F1681" s="55">
        <v>-46.625078999999999</v>
      </c>
      <c r="G1681" s="55">
        <v>-23.348537</v>
      </c>
      <c r="H1681" s="55">
        <v>-46.811100000000003</v>
      </c>
      <c r="I1681" s="55">
        <v>-23.053681000000001</v>
      </c>
      <c r="J1681" s="55">
        <v>-47.048341000000001</v>
      </c>
      <c r="L1681" s="61" t="str">
        <f t="shared" si="26"/>
        <v>Cliente29-Cliente2</v>
      </c>
      <c r="M1681">
        <v>73.022480999999999</v>
      </c>
    </row>
    <row r="1682" spans="1:13" x14ac:dyDescent="0.25">
      <c r="A1682" s="15" t="s">
        <v>4299</v>
      </c>
      <c r="B1682" s="15" t="s">
        <v>4273</v>
      </c>
      <c r="C1682" s="52">
        <v>71.001777000000004</v>
      </c>
      <c r="D1682" s="25">
        <v>7.4305555555555555E-2</v>
      </c>
      <c r="E1682" s="53">
        <v>-23.541978</v>
      </c>
      <c r="F1682" s="53">
        <v>-46.628321999999997</v>
      </c>
      <c r="G1682" s="53">
        <v>-23.356573000000001</v>
      </c>
      <c r="H1682" s="53">
        <v>-46.788603999999999</v>
      </c>
      <c r="I1682" s="53">
        <v>-23.100173999999999</v>
      </c>
      <c r="J1682" s="53">
        <v>-47.012645999999997</v>
      </c>
      <c r="L1682" s="61" t="str">
        <f t="shared" ref="L1682:L1745" si="27">_xlfn.CONCAT(A1682,"-",B1682)</f>
        <v>Cliente29-Cliente3</v>
      </c>
      <c r="M1682">
        <v>71.001777000000004</v>
      </c>
    </row>
    <row r="1683" spans="1:13" x14ac:dyDescent="0.25">
      <c r="A1683" s="15" t="s">
        <v>4299</v>
      </c>
      <c r="B1683" s="15" t="s">
        <v>4274</v>
      </c>
      <c r="C1683" s="54">
        <v>81.158736000000005</v>
      </c>
      <c r="D1683" s="26">
        <v>8.1250000000000003E-2</v>
      </c>
      <c r="E1683" s="55">
        <v>-23.524187000000001</v>
      </c>
      <c r="F1683" s="55">
        <v>-46.630889000000003</v>
      </c>
      <c r="G1683" s="55">
        <v>-23.330997</v>
      </c>
      <c r="H1683" s="55">
        <v>-46.823045999999998</v>
      </c>
      <c r="I1683" s="55">
        <v>-23.018191999999999</v>
      </c>
      <c r="J1683" s="55">
        <v>-47.080711000000001</v>
      </c>
      <c r="L1683" s="61" t="str">
        <f t="shared" si="27"/>
        <v>Cliente29-Cliente4</v>
      </c>
      <c r="M1683">
        <v>81.158736000000005</v>
      </c>
    </row>
    <row r="1684" spans="1:13" x14ac:dyDescent="0.25">
      <c r="A1684" s="15" t="s">
        <v>4299</v>
      </c>
      <c r="B1684" s="15" t="s">
        <v>4275</v>
      </c>
      <c r="C1684" s="52">
        <v>81.251942</v>
      </c>
      <c r="D1684" s="25">
        <v>8.1250000000000003E-2</v>
      </c>
      <c r="E1684" s="53">
        <v>-23.525027000000001</v>
      </c>
      <c r="F1684" s="53">
        <v>-46.629375000000003</v>
      </c>
      <c r="G1684" s="53">
        <v>-23.334250000000001</v>
      </c>
      <c r="H1684" s="53">
        <v>-46.822795999999997</v>
      </c>
      <c r="I1684" s="53">
        <v>-23.036683</v>
      </c>
      <c r="J1684" s="53">
        <v>-47.069716999999997</v>
      </c>
      <c r="L1684" s="61" t="str">
        <f t="shared" si="27"/>
        <v>Cliente29-Cliente5</v>
      </c>
      <c r="M1684">
        <v>81.251942</v>
      </c>
    </row>
    <row r="1685" spans="1:13" x14ac:dyDescent="0.25">
      <c r="A1685" s="15" t="s">
        <v>4299</v>
      </c>
      <c r="B1685" s="15" t="s">
        <v>4276</v>
      </c>
      <c r="C1685" s="54">
        <v>63.627324999999999</v>
      </c>
      <c r="D1685" s="26">
        <v>7.013888888888889E-2</v>
      </c>
      <c r="E1685" s="55">
        <v>-23.542749000000001</v>
      </c>
      <c r="F1685" s="55">
        <v>-46.628628999999997</v>
      </c>
      <c r="G1685" s="55">
        <v>-23.357894000000002</v>
      </c>
      <c r="H1685" s="55">
        <v>-46.786129000000003</v>
      </c>
      <c r="I1685" s="55">
        <v>-23.138016</v>
      </c>
      <c r="J1685" s="55">
        <v>-46.943173999999999</v>
      </c>
      <c r="L1685" s="61" t="str">
        <f t="shared" si="27"/>
        <v>Cliente29-Cliente6</v>
      </c>
      <c r="M1685">
        <v>63.627324999999999</v>
      </c>
    </row>
    <row r="1686" spans="1:13" x14ac:dyDescent="0.25">
      <c r="A1686" s="15" t="s">
        <v>4299</v>
      </c>
      <c r="B1686" s="15" t="s">
        <v>4277</v>
      </c>
      <c r="C1686" s="52">
        <v>68.345409000000004</v>
      </c>
      <c r="D1686" s="25">
        <v>7.0833333333333331E-2</v>
      </c>
      <c r="E1686" s="53">
        <v>-23.55012</v>
      </c>
      <c r="F1686" s="53">
        <v>-46.626643000000001</v>
      </c>
      <c r="G1686" s="53">
        <v>-23.400037999999999</v>
      </c>
      <c r="H1686" s="53">
        <v>-46.767743000000003</v>
      </c>
      <c r="I1686" s="53">
        <v>-23.173127999999998</v>
      </c>
      <c r="J1686" s="53">
        <v>-46.937645000000003</v>
      </c>
      <c r="L1686" s="61" t="str">
        <f t="shared" si="27"/>
        <v>Cliente29-Cliente7</v>
      </c>
      <c r="M1686">
        <v>68.345409000000004</v>
      </c>
    </row>
    <row r="1687" spans="1:13" x14ac:dyDescent="0.25">
      <c r="A1687" s="15" t="s">
        <v>4299</v>
      </c>
      <c r="B1687" s="15" t="s">
        <v>4278</v>
      </c>
      <c r="C1687" s="54">
        <v>77.375197</v>
      </c>
      <c r="D1687" s="26">
        <v>7.8472222222222221E-2</v>
      </c>
      <c r="E1687" s="55">
        <v>-23.521688999999999</v>
      </c>
      <c r="F1687" s="55">
        <v>-46.634466000000003</v>
      </c>
      <c r="G1687" s="55">
        <v>-23.315545</v>
      </c>
      <c r="H1687" s="55">
        <v>-46.823692000000001</v>
      </c>
      <c r="I1687" s="55">
        <v>-23.015474999999999</v>
      </c>
      <c r="J1687" s="55">
        <v>-47.082928000000003</v>
      </c>
      <c r="L1687" s="61" t="str">
        <f t="shared" si="27"/>
        <v>Cliente29-Cliente8</v>
      </c>
      <c r="M1687">
        <v>77.375197</v>
      </c>
    </row>
    <row r="1688" spans="1:13" x14ac:dyDescent="0.25">
      <c r="A1688" s="15" t="s">
        <v>4299</v>
      </c>
      <c r="B1688" s="15" t="s">
        <v>4279</v>
      </c>
      <c r="C1688" s="52">
        <v>89.387574999999998</v>
      </c>
      <c r="D1688" s="25">
        <v>8.9583333333333334E-2</v>
      </c>
      <c r="E1688" s="53">
        <v>-23.521484000000001</v>
      </c>
      <c r="F1688" s="53">
        <v>-46.634791999999997</v>
      </c>
      <c r="G1688" s="53">
        <v>-23.314222000000001</v>
      </c>
      <c r="H1688" s="53">
        <v>-46.824288000000003</v>
      </c>
      <c r="I1688" s="53">
        <v>-23.007933999999999</v>
      </c>
      <c r="J1688" s="53">
        <v>-47.093673000000003</v>
      </c>
      <c r="L1688" s="61" t="str">
        <f t="shared" si="27"/>
        <v>Cliente29-Cliente9</v>
      </c>
      <c r="M1688">
        <v>89.387574999999998</v>
      </c>
    </row>
    <row r="1689" spans="1:13" x14ac:dyDescent="0.25">
      <c r="A1689" s="15" t="s">
        <v>4299</v>
      </c>
      <c r="B1689" s="15" t="s">
        <v>4280</v>
      </c>
      <c r="C1689" s="54">
        <v>21.073235</v>
      </c>
      <c r="D1689" s="26">
        <v>3.7499999999999999E-2</v>
      </c>
      <c r="E1689" s="55">
        <v>-23.604496999999999</v>
      </c>
      <c r="F1689" s="55">
        <v>-46.599770999999997</v>
      </c>
      <c r="G1689" s="55">
        <v>-23.548940999999999</v>
      </c>
      <c r="H1689" s="55">
        <v>-46.627262999999999</v>
      </c>
      <c r="I1689" s="55">
        <v>-23.508483999999999</v>
      </c>
      <c r="J1689" s="55">
        <v>-46.687676000000003</v>
      </c>
      <c r="L1689" s="61" t="str">
        <f t="shared" si="27"/>
        <v>Cliente29-Cliente10</v>
      </c>
      <c r="M1689">
        <v>21.073235</v>
      </c>
    </row>
    <row r="1690" spans="1:13" x14ac:dyDescent="0.25">
      <c r="A1690" s="15" t="s">
        <v>4299</v>
      </c>
      <c r="B1690" s="15" t="s">
        <v>4281</v>
      </c>
      <c r="C1690" s="52">
        <v>106.60892</v>
      </c>
      <c r="D1690" s="25">
        <v>9.7916666666666666E-2</v>
      </c>
      <c r="E1690" s="53">
        <v>-23.515984</v>
      </c>
      <c r="F1690" s="53">
        <v>-46.656632000000002</v>
      </c>
      <c r="G1690" s="53">
        <v>-23.273016999999999</v>
      </c>
      <c r="H1690" s="53">
        <v>-46.853833000000002</v>
      </c>
      <c r="I1690" s="53">
        <v>-22.916912</v>
      </c>
      <c r="J1690" s="53">
        <v>-47.154179999999997</v>
      </c>
      <c r="L1690" s="61" t="str">
        <f t="shared" si="27"/>
        <v>Cliente29-Cliente11</v>
      </c>
      <c r="M1690">
        <v>106.60892</v>
      </c>
    </row>
    <row r="1691" spans="1:13" x14ac:dyDescent="0.25">
      <c r="A1691" s="15" t="s">
        <v>4299</v>
      </c>
      <c r="B1691" s="15" t="s">
        <v>4282</v>
      </c>
      <c r="C1691" s="54">
        <v>65.673506000000003</v>
      </c>
      <c r="D1691" s="26">
        <v>6.0416666666666667E-2</v>
      </c>
      <c r="E1691" s="55">
        <v>-23.717483999999999</v>
      </c>
      <c r="F1691" s="55">
        <v>-46.468519000000001</v>
      </c>
      <c r="G1691" s="55">
        <v>-23.501456999999998</v>
      </c>
      <c r="H1691" s="55">
        <v>-46.336038000000002</v>
      </c>
      <c r="I1691" s="55">
        <v>-23.365641</v>
      </c>
      <c r="J1691" s="55">
        <v>-46.131276</v>
      </c>
      <c r="L1691" s="61" t="str">
        <f t="shared" si="27"/>
        <v>Cliente29-Cliente12</v>
      </c>
      <c r="M1691">
        <v>65.673506000000003</v>
      </c>
    </row>
    <row r="1692" spans="1:13" x14ac:dyDescent="0.25">
      <c r="A1692" s="15" t="s">
        <v>4299</v>
      </c>
      <c r="B1692" s="15" t="s">
        <v>4283</v>
      </c>
      <c r="C1692" s="52">
        <v>74.749275999999995</v>
      </c>
      <c r="D1692" s="25">
        <v>6.7361111111111108E-2</v>
      </c>
      <c r="E1692" s="53">
        <v>-23.718889999999998</v>
      </c>
      <c r="F1692" s="53">
        <v>-46.471277000000001</v>
      </c>
      <c r="G1692" s="53">
        <v>-23.505320000000001</v>
      </c>
      <c r="H1692" s="53">
        <v>-46.331364000000001</v>
      </c>
      <c r="I1692" s="53">
        <v>-23.363319000000001</v>
      </c>
      <c r="J1692" s="53">
        <v>-46.222892000000002</v>
      </c>
      <c r="L1692" s="61" t="str">
        <f t="shared" si="27"/>
        <v>Cliente29-Cliente13</v>
      </c>
      <c r="M1692">
        <v>74.749275999999995</v>
      </c>
    </row>
    <row r="1693" spans="1:13" x14ac:dyDescent="0.25">
      <c r="A1693" s="15" t="s">
        <v>4299</v>
      </c>
      <c r="B1693" s="15" t="s">
        <v>4284</v>
      </c>
      <c r="C1693" s="54">
        <v>72.811836</v>
      </c>
      <c r="D1693" s="26">
        <v>6.3888888888888884E-2</v>
      </c>
      <c r="E1693" s="55">
        <v>-23.723713</v>
      </c>
      <c r="F1693" s="55">
        <v>-46.487268</v>
      </c>
      <c r="G1693" s="55">
        <v>-23.544927000000001</v>
      </c>
      <c r="H1693" s="55">
        <v>-46.337249</v>
      </c>
      <c r="I1693" s="55">
        <v>-23.396858000000002</v>
      </c>
      <c r="J1693" s="55">
        <v>-46.292222000000002</v>
      </c>
      <c r="L1693" s="61" t="str">
        <f t="shared" si="27"/>
        <v>Cliente29-Cliente14</v>
      </c>
      <c r="M1693">
        <v>72.811836</v>
      </c>
    </row>
    <row r="1694" spans="1:13" x14ac:dyDescent="0.25">
      <c r="A1694" s="15" t="s">
        <v>4299</v>
      </c>
      <c r="B1694" s="15" t="s">
        <v>4285</v>
      </c>
      <c r="C1694" s="52">
        <v>75.190450999999996</v>
      </c>
      <c r="D1694" s="25">
        <v>7.013888888888889E-2</v>
      </c>
      <c r="E1694" s="53">
        <v>-23.718889999999998</v>
      </c>
      <c r="F1694" s="53">
        <v>-46.471277000000001</v>
      </c>
      <c r="G1694" s="53">
        <v>-23.505320000000001</v>
      </c>
      <c r="H1694" s="53">
        <v>-46.331364000000001</v>
      </c>
      <c r="I1694" s="53">
        <v>-23.363319000000001</v>
      </c>
      <c r="J1694" s="53">
        <v>-46.222892000000002</v>
      </c>
      <c r="L1694" s="61" t="str">
        <f t="shared" si="27"/>
        <v>Cliente29-Cliente15</v>
      </c>
      <c r="M1694">
        <v>75.190450999999996</v>
      </c>
    </row>
    <row r="1695" spans="1:13" x14ac:dyDescent="0.25">
      <c r="A1695" s="15" t="s">
        <v>4299</v>
      </c>
      <c r="B1695" s="15" t="s">
        <v>4286</v>
      </c>
      <c r="C1695" s="54">
        <v>74.121067999999994</v>
      </c>
      <c r="D1695" s="26">
        <v>6.8749999999999992E-2</v>
      </c>
      <c r="E1695" s="55">
        <v>-23.717551</v>
      </c>
      <c r="F1695" s="55">
        <v>-46.468640999999998</v>
      </c>
      <c r="G1695" s="55">
        <v>-23.502244999999998</v>
      </c>
      <c r="H1695" s="55">
        <v>-46.335326000000002</v>
      </c>
      <c r="I1695" s="55">
        <v>-23.359110999999999</v>
      </c>
      <c r="J1695" s="55">
        <v>-46.216082</v>
      </c>
      <c r="L1695" s="61" t="str">
        <f t="shared" si="27"/>
        <v>Cliente29-Cliente16</v>
      </c>
      <c r="M1695">
        <v>74.121067999999994</v>
      </c>
    </row>
    <row r="1696" spans="1:13" x14ac:dyDescent="0.25">
      <c r="A1696" s="15" t="s">
        <v>4299</v>
      </c>
      <c r="B1696" s="15" t="s">
        <v>4287</v>
      </c>
      <c r="C1696" s="52">
        <v>75.176781000000005</v>
      </c>
      <c r="D1696" s="25">
        <v>6.6666666666666666E-2</v>
      </c>
      <c r="E1696" s="53">
        <v>-23.718889999999998</v>
      </c>
      <c r="F1696" s="53">
        <v>-46.471277000000001</v>
      </c>
      <c r="G1696" s="53">
        <v>-23.505320000000001</v>
      </c>
      <c r="H1696" s="53">
        <v>-46.331364000000001</v>
      </c>
      <c r="I1696" s="53">
        <v>-23.363319000000001</v>
      </c>
      <c r="J1696" s="53">
        <v>-46.222892000000002</v>
      </c>
      <c r="L1696" s="61" t="str">
        <f t="shared" si="27"/>
        <v>Cliente29-Cliente17</v>
      </c>
      <c r="M1696">
        <v>75.176781000000005</v>
      </c>
    </row>
    <row r="1697" spans="1:13" x14ac:dyDescent="0.25">
      <c r="A1697" s="15" t="s">
        <v>4299</v>
      </c>
      <c r="B1697" s="15" t="s">
        <v>4288</v>
      </c>
      <c r="C1697" s="54">
        <v>80.004846999999998</v>
      </c>
      <c r="D1697" s="26">
        <v>7.1527777777777787E-2</v>
      </c>
      <c r="E1697" s="55">
        <v>-23.720969</v>
      </c>
      <c r="F1697" s="55">
        <v>-46.481698999999999</v>
      </c>
      <c r="G1697" s="55">
        <v>-23.516950000000001</v>
      </c>
      <c r="H1697" s="55">
        <v>-46.328375000000001</v>
      </c>
      <c r="I1697" s="55">
        <v>-23.370768000000002</v>
      </c>
      <c r="J1697" s="55">
        <v>-46.242114000000001</v>
      </c>
      <c r="L1697" s="61" t="str">
        <f t="shared" si="27"/>
        <v>Cliente29-Cliente18</v>
      </c>
      <c r="M1697">
        <v>80.004846999999998</v>
      </c>
    </row>
    <row r="1698" spans="1:13" x14ac:dyDescent="0.25">
      <c r="A1698" s="15" t="s">
        <v>4299</v>
      </c>
      <c r="B1698" s="15" t="s">
        <v>4289</v>
      </c>
      <c r="C1698" s="52">
        <v>16.24579</v>
      </c>
      <c r="D1698" s="25">
        <v>2.8472222222222222E-2</v>
      </c>
      <c r="E1698" s="53">
        <v>-23.633392000000001</v>
      </c>
      <c r="F1698" s="53">
        <v>-46.595857000000002</v>
      </c>
      <c r="G1698" s="53">
        <v>-23.570782000000001</v>
      </c>
      <c r="H1698" s="53">
        <v>-46.604334000000001</v>
      </c>
      <c r="I1698" s="53">
        <v>-23.521688999999999</v>
      </c>
      <c r="J1698" s="53">
        <v>-46.634466000000003</v>
      </c>
      <c r="L1698" s="61" t="str">
        <f t="shared" si="27"/>
        <v>Cliente29-Cliente19</v>
      </c>
      <c r="M1698">
        <v>16.24579</v>
      </c>
    </row>
    <row r="1699" spans="1:13" x14ac:dyDescent="0.25">
      <c r="A1699" s="15" t="s">
        <v>4299</v>
      </c>
      <c r="B1699" s="15" t="s">
        <v>4290</v>
      </c>
      <c r="C1699" s="54">
        <v>19.926181</v>
      </c>
      <c r="D1699" s="26">
        <v>3.1944444444444449E-2</v>
      </c>
      <c r="E1699" s="55">
        <v>-23.683375000000002</v>
      </c>
      <c r="F1699" s="55">
        <v>-46.606481000000002</v>
      </c>
      <c r="G1699" s="55">
        <v>-23.629505000000002</v>
      </c>
      <c r="H1699" s="55">
        <v>-46.632624999999997</v>
      </c>
      <c r="I1699" s="55">
        <v>-23.585747999999999</v>
      </c>
      <c r="J1699" s="55">
        <v>-46.690835999999997</v>
      </c>
      <c r="L1699" s="61" t="str">
        <f t="shared" si="27"/>
        <v>Cliente29-Cliente20</v>
      </c>
      <c r="M1699">
        <v>19.926181</v>
      </c>
    </row>
    <row r="1700" spans="1:13" x14ac:dyDescent="0.25">
      <c r="A1700" s="15" t="s">
        <v>4299</v>
      </c>
      <c r="B1700" s="15" t="s">
        <v>4291</v>
      </c>
      <c r="C1700" s="52">
        <v>18.778504999999999</v>
      </c>
      <c r="D1700" s="25">
        <v>2.9166666666666664E-2</v>
      </c>
      <c r="E1700" s="53">
        <v>-23.67923</v>
      </c>
      <c r="F1700" s="53">
        <v>-46.598242999999997</v>
      </c>
      <c r="G1700" s="53">
        <v>-23.627925999999999</v>
      </c>
      <c r="H1700" s="53">
        <v>-46.628475999999999</v>
      </c>
      <c r="I1700" s="53">
        <v>-23.596208000000001</v>
      </c>
      <c r="J1700" s="53">
        <v>-46.691747999999997</v>
      </c>
      <c r="L1700" s="61" t="str">
        <f t="shared" si="27"/>
        <v>Cliente29-Cliente21</v>
      </c>
      <c r="M1700">
        <v>18.778504999999999</v>
      </c>
    </row>
    <row r="1701" spans="1:13" x14ac:dyDescent="0.25">
      <c r="A1701" s="15" t="s">
        <v>4299</v>
      </c>
      <c r="B1701" s="15" t="s">
        <v>4292</v>
      </c>
      <c r="C1701" s="54">
        <v>18.003032000000001</v>
      </c>
      <c r="D1701" s="26">
        <v>3.0555555555555555E-2</v>
      </c>
      <c r="E1701" s="55">
        <v>-23.67923</v>
      </c>
      <c r="F1701" s="55">
        <v>-46.598242999999997</v>
      </c>
      <c r="G1701" s="55">
        <v>-23.627925999999999</v>
      </c>
      <c r="H1701" s="55">
        <v>-46.628475999999999</v>
      </c>
      <c r="I1701" s="55">
        <v>-23.595918999999999</v>
      </c>
      <c r="J1701" s="55">
        <v>-46.691768000000003</v>
      </c>
      <c r="L1701" s="61" t="str">
        <f t="shared" si="27"/>
        <v>Cliente29-Cliente22</v>
      </c>
      <c r="M1701">
        <v>18.003032000000001</v>
      </c>
    </row>
    <row r="1702" spans="1:13" x14ac:dyDescent="0.25">
      <c r="A1702" s="15" t="s">
        <v>4299</v>
      </c>
      <c r="B1702" s="15" t="s">
        <v>4293</v>
      </c>
      <c r="C1702" s="52">
        <v>19.448967</v>
      </c>
      <c r="D1702" s="25">
        <v>3.5416666666666666E-2</v>
      </c>
      <c r="E1702" s="53">
        <v>-23.677195999999999</v>
      </c>
      <c r="F1702" s="53">
        <v>-46.618105</v>
      </c>
      <c r="G1702" s="53">
        <v>-23.615731</v>
      </c>
      <c r="H1702" s="53">
        <v>-46.666327000000003</v>
      </c>
      <c r="I1702" s="53">
        <v>-23.571452000000001</v>
      </c>
      <c r="J1702" s="53">
        <v>-46.707773000000003</v>
      </c>
      <c r="L1702" s="61" t="str">
        <f t="shared" si="27"/>
        <v>Cliente29-Cliente23</v>
      </c>
      <c r="M1702">
        <v>19.448967</v>
      </c>
    </row>
    <row r="1703" spans="1:13" x14ac:dyDescent="0.25">
      <c r="A1703" s="15" t="s">
        <v>4299</v>
      </c>
      <c r="B1703" s="15" t="s">
        <v>4294</v>
      </c>
      <c r="C1703" s="54">
        <v>19.947928999999998</v>
      </c>
      <c r="D1703" s="26">
        <v>3.6805555555555557E-2</v>
      </c>
      <c r="E1703" s="55">
        <v>-23.679939999999998</v>
      </c>
      <c r="F1703" s="55">
        <v>-46.611944000000001</v>
      </c>
      <c r="G1703" s="55">
        <v>-23.630113999999999</v>
      </c>
      <c r="H1703" s="55">
        <v>-46.646773000000003</v>
      </c>
      <c r="I1703" s="55">
        <v>-23.571300999999998</v>
      </c>
      <c r="J1703" s="55">
        <v>-46.699311999999999</v>
      </c>
      <c r="L1703" s="61" t="str">
        <f t="shared" si="27"/>
        <v>Cliente29-Cliente24</v>
      </c>
      <c r="M1703">
        <v>19.947928999999998</v>
      </c>
    </row>
    <row r="1704" spans="1:13" x14ac:dyDescent="0.25">
      <c r="A1704" s="15" t="s">
        <v>4299</v>
      </c>
      <c r="B1704" s="15" t="s">
        <v>4295</v>
      </c>
      <c r="C1704" s="52">
        <v>21.598915999999999</v>
      </c>
      <c r="D1704" s="25">
        <v>4.0972222222222222E-2</v>
      </c>
      <c r="E1704" s="53">
        <v>-23.672898</v>
      </c>
      <c r="F1704" s="53">
        <v>-46.630313000000001</v>
      </c>
      <c r="G1704" s="53">
        <v>-23.604873999999999</v>
      </c>
      <c r="H1704" s="53">
        <v>-46.678330000000003</v>
      </c>
      <c r="I1704" s="53">
        <v>-23.636773999999999</v>
      </c>
      <c r="J1704" s="53">
        <v>-46.736975999999999</v>
      </c>
      <c r="L1704" s="61" t="str">
        <f t="shared" si="27"/>
        <v>Cliente29-Cliente25</v>
      </c>
      <c r="M1704">
        <v>21.598915999999999</v>
      </c>
    </row>
    <row r="1705" spans="1:13" x14ac:dyDescent="0.25">
      <c r="A1705" s="15" t="s">
        <v>4299</v>
      </c>
      <c r="B1705" s="15" t="s">
        <v>4296</v>
      </c>
      <c r="C1705" s="54">
        <v>24.787179999999999</v>
      </c>
      <c r="D1705" s="26">
        <v>3.9583333333333331E-2</v>
      </c>
      <c r="E1705" s="55">
        <v>-23.668067000000001</v>
      </c>
      <c r="F1705" s="55">
        <v>-46.632606000000003</v>
      </c>
      <c r="G1705" s="55">
        <v>-23.588370000000001</v>
      </c>
      <c r="H1705" s="55">
        <v>-46.690621</v>
      </c>
      <c r="I1705" s="55">
        <v>-23.585173999999999</v>
      </c>
      <c r="J1705" s="55">
        <v>-46.746119</v>
      </c>
      <c r="L1705" s="61" t="str">
        <f t="shared" si="27"/>
        <v>Cliente29-Cliente26</v>
      </c>
      <c r="M1705">
        <v>24.787179999999999</v>
      </c>
    </row>
    <row r="1706" spans="1:13" x14ac:dyDescent="0.25">
      <c r="A1706" s="15" t="s">
        <v>4299</v>
      </c>
      <c r="B1706" s="15" t="s">
        <v>4297</v>
      </c>
      <c r="C1706" s="52">
        <v>20.476717000000001</v>
      </c>
      <c r="D1706" s="25">
        <v>3.7499999999999999E-2</v>
      </c>
      <c r="E1706" s="53">
        <v>-23.674030999999999</v>
      </c>
      <c r="F1706" s="53">
        <v>-46.629047999999997</v>
      </c>
      <c r="G1706" s="53">
        <v>-23.604095999999998</v>
      </c>
      <c r="H1706" s="53">
        <v>-46.679622999999999</v>
      </c>
      <c r="I1706" s="53">
        <v>-23.595703</v>
      </c>
      <c r="J1706" s="53">
        <v>-46.708080000000002</v>
      </c>
      <c r="L1706" s="61" t="str">
        <f t="shared" si="27"/>
        <v>Cliente29-Cliente27</v>
      </c>
      <c r="M1706">
        <v>20.476717000000001</v>
      </c>
    </row>
    <row r="1707" spans="1:13" x14ac:dyDescent="0.25">
      <c r="A1707" s="15" t="s">
        <v>4299</v>
      </c>
      <c r="B1707" s="15" t="s">
        <v>4298</v>
      </c>
      <c r="C1707" s="54">
        <v>6.9121499999999996</v>
      </c>
      <c r="D1707" s="26">
        <v>1.8055555555555557E-2</v>
      </c>
      <c r="E1707" s="55">
        <v>-23.672181999999999</v>
      </c>
      <c r="F1707" s="55">
        <v>-46.578836000000003</v>
      </c>
      <c r="G1707" s="55">
        <v>-23.681135999999999</v>
      </c>
      <c r="H1707" s="55">
        <v>-46.599148999999997</v>
      </c>
      <c r="I1707" s="55">
        <v>-23.683140000000002</v>
      </c>
      <c r="J1707" s="55">
        <v>-46.634836</v>
      </c>
      <c r="L1707" s="61" t="str">
        <f t="shared" si="27"/>
        <v>Cliente29-Cliente28</v>
      </c>
      <c r="M1707">
        <v>6.9121499999999996</v>
      </c>
    </row>
    <row r="1708" spans="1:13" x14ac:dyDescent="0.25">
      <c r="A1708" s="15" t="s">
        <v>4299</v>
      </c>
      <c r="B1708" s="15" t="s">
        <v>4299</v>
      </c>
      <c r="C1708" s="52">
        <v>0</v>
      </c>
      <c r="D1708" s="25">
        <v>0</v>
      </c>
      <c r="E1708" s="53">
        <f>'1. Locais'!D33</f>
        <v>-23.67408</v>
      </c>
      <c r="F1708" s="53">
        <f>'1. Locais'!E33</f>
        <v>-46.57141</v>
      </c>
      <c r="G1708" s="53">
        <f>'1. Locais'!D33</f>
        <v>-23.67408</v>
      </c>
      <c r="H1708" s="53">
        <f>'1. Locais'!E33</f>
        <v>-46.57141</v>
      </c>
      <c r="I1708" s="53">
        <f>'1. Locais'!D33</f>
        <v>-23.67408</v>
      </c>
      <c r="J1708" s="53">
        <f>'1. Locais'!E33</f>
        <v>-46.57141</v>
      </c>
      <c r="L1708" s="61" t="str">
        <f t="shared" si="27"/>
        <v>Cliente29-Cliente29</v>
      </c>
      <c r="M1708">
        <v>0</v>
      </c>
    </row>
    <row r="1709" spans="1:13" x14ac:dyDescent="0.25">
      <c r="A1709" s="15" t="s">
        <v>4299</v>
      </c>
      <c r="B1709" s="15" t="s">
        <v>4300</v>
      </c>
      <c r="C1709" s="54">
        <v>7.9249879999999999</v>
      </c>
      <c r="D1709" s="26">
        <v>1.6666666666666666E-2</v>
      </c>
      <c r="E1709" s="55">
        <v>-23.660066</v>
      </c>
      <c r="F1709" s="55">
        <v>-46.555722000000003</v>
      </c>
      <c r="G1709" s="55">
        <v>-23.660311</v>
      </c>
      <c r="H1709" s="55">
        <v>-46.541550000000001</v>
      </c>
      <c r="I1709" s="55">
        <v>-23.664462</v>
      </c>
      <c r="J1709" s="55">
        <v>-46.510466999999998</v>
      </c>
      <c r="L1709" s="61" t="str">
        <f t="shared" si="27"/>
        <v>Cliente29-Cliente30</v>
      </c>
      <c r="M1709">
        <v>7.9249879999999999</v>
      </c>
    </row>
    <row r="1710" spans="1:13" x14ac:dyDescent="0.25">
      <c r="A1710" s="15" t="s">
        <v>4299</v>
      </c>
      <c r="B1710" s="15" t="s">
        <v>4301</v>
      </c>
      <c r="C1710" s="52">
        <v>25.335231</v>
      </c>
      <c r="D1710" s="25">
        <v>4.027777777777778E-2</v>
      </c>
      <c r="E1710" s="53">
        <v>-23.671704999999999</v>
      </c>
      <c r="F1710" s="53">
        <v>-46.631253999999998</v>
      </c>
      <c r="G1710" s="53">
        <v>-23.598085999999999</v>
      </c>
      <c r="H1710" s="53">
        <v>-46.687945999999997</v>
      </c>
      <c r="I1710" s="53">
        <v>-23.520609</v>
      </c>
      <c r="J1710" s="53">
        <v>-46.767462000000002</v>
      </c>
      <c r="L1710" s="61" t="str">
        <f t="shared" si="27"/>
        <v>Cliente29-Cliente31</v>
      </c>
      <c r="M1710">
        <v>25.335231</v>
      </c>
    </row>
    <row r="1711" spans="1:13" x14ac:dyDescent="0.25">
      <c r="A1711" s="15" t="s">
        <v>4299</v>
      </c>
      <c r="B1711" s="15" t="s">
        <v>4302</v>
      </c>
      <c r="C1711" s="54">
        <v>21.544857</v>
      </c>
      <c r="D1711" s="26">
        <v>3.6111111111111115E-2</v>
      </c>
      <c r="E1711" s="55">
        <v>-23.606307000000001</v>
      </c>
      <c r="F1711" s="55">
        <v>-46.599187999999998</v>
      </c>
      <c r="G1711" s="55">
        <v>-23.551684000000002</v>
      </c>
      <c r="H1711" s="55">
        <v>-46.625993999999999</v>
      </c>
      <c r="I1711" s="55">
        <v>-23.507504000000001</v>
      </c>
      <c r="J1711" s="55">
        <v>-46.697887000000001</v>
      </c>
      <c r="L1711" s="61" t="str">
        <f t="shared" si="27"/>
        <v>Cliente29-Cliente32</v>
      </c>
      <c r="M1711">
        <v>21.544857</v>
      </c>
    </row>
    <row r="1712" spans="1:13" x14ac:dyDescent="0.25">
      <c r="A1712" s="15" t="s">
        <v>4299</v>
      </c>
      <c r="B1712" s="15" t="s">
        <v>4303</v>
      </c>
      <c r="C1712" s="52">
        <v>20.647594999999999</v>
      </c>
      <c r="D1712" s="25">
        <v>3.4027777777777775E-2</v>
      </c>
      <c r="E1712" s="53">
        <v>-23.606788000000002</v>
      </c>
      <c r="F1712" s="53">
        <v>-46.599155000000003</v>
      </c>
      <c r="G1712" s="53">
        <v>-23.582943</v>
      </c>
      <c r="H1712" s="53">
        <v>-46.573196000000003</v>
      </c>
      <c r="I1712" s="53">
        <v>-23.50074</v>
      </c>
      <c r="J1712" s="53">
        <v>-46.559711999999998</v>
      </c>
      <c r="L1712" s="61" t="str">
        <f t="shared" si="27"/>
        <v>Cliente29-Cliente33</v>
      </c>
      <c r="M1712">
        <v>20.647594999999999</v>
      </c>
    </row>
    <row r="1713" spans="1:13" x14ac:dyDescent="0.25">
      <c r="A1713" s="15" t="s">
        <v>4299</v>
      </c>
      <c r="B1713" s="15" t="s">
        <v>4304</v>
      </c>
      <c r="C1713" s="54">
        <v>30.042750000000002</v>
      </c>
      <c r="D1713" s="26">
        <v>4.5138888888888888E-2</v>
      </c>
      <c r="E1713" s="55">
        <v>-23.645409000000001</v>
      </c>
      <c r="F1713" s="55">
        <v>-46.631176000000004</v>
      </c>
      <c r="G1713" s="55">
        <v>-23.569907000000001</v>
      </c>
      <c r="H1713" s="55">
        <v>-46.701593000000003</v>
      </c>
      <c r="I1713" s="55">
        <v>-23.495732</v>
      </c>
      <c r="J1713" s="55">
        <v>-46.829521999999997</v>
      </c>
      <c r="L1713" s="61" t="str">
        <f t="shared" si="27"/>
        <v>Cliente29-Cliente34</v>
      </c>
      <c r="M1713">
        <v>30.042750000000002</v>
      </c>
    </row>
    <row r="1714" spans="1:13" x14ac:dyDescent="0.25">
      <c r="A1714" s="15" t="s">
        <v>4299</v>
      </c>
      <c r="B1714" s="15" t="s">
        <v>4305</v>
      </c>
      <c r="C1714" s="52">
        <v>30.638646999999999</v>
      </c>
      <c r="D1714" s="25">
        <v>4.4444444444444446E-2</v>
      </c>
      <c r="E1714" s="53">
        <v>-23.652415999999999</v>
      </c>
      <c r="F1714" s="53">
        <v>-46.633842999999999</v>
      </c>
      <c r="G1714" s="53">
        <v>-23.575051999999999</v>
      </c>
      <c r="H1714" s="53">
        <v>-46.696800000000003</v>
      </c>
      <c r="I1714" s="53">
        <v>-23.505306000000001</v>
      </c>
      <c r="J1714" s="53">
        <v>-46.845967999999999</v>
      </c>
      <c r="L1714" s="61" t="str">
        <f t="shared" si="27"/>
        <v>Cliente29-Cliente35</v>
      </c>
      <c r="M1714">
        <v>30.638646999999999</v>
      </c>
    </row>
    <row r="1715" spans="1:13" x14ac:dyDescent="0.25">
      <c r="A1715" s="15" t="s">
        <v>4299</v>
      </c>
      <c r="B1715" s="15" t="s">
        <v>4306</v>
      </c>
      <c r="C1715" s="54">
        <v>156.10498699999999</v>
      </c>
      <c r="D1715" s="26">
        <v>0.14166666666666666</v>
      </c>
      <c r="E1715" s="55">
        <v>-23.480018000000001</v>
      </c>
      <c r="F1715" s="55">
        <v>-46.738311000000003</v>
      </c>
      <c r="G1715" s="55">
        <v>-23.049875</v>
      </c>
      <c r="H1715" s="55">
        <v>-47.052557</v>
      </c>
      <c r="I1715" s="55">
        <v>-22.505077</v>
      </c>
      <c r="J1715" s="55">
        <v>-47.399107999999998</v>
      </c>
      <c r="L1715" s="61" t="str">
        <f t="shared" si="27"/>
        <v>Cliente29-Cliente36</v>
      </c>
      <c r="M1715">
        <v>156.10498699999999</v>
      </c>
    </row>
    <row r="1716" spans="1:13" x14ac:dyDescent="0.25">
      <c r="A1716" s="15" t="s">
        <v>4299</v>
      </c>
      <c r="B1716" s="15" t="s">
        <v>4307</v>
      </c>
      <c r="C1716" s="52">
        <v>155.008264</v>
      </c>
      <c r="D1716" s="25">
        <v>0.14027777777777778</v>
      </c>
      <c r="E1716" s="53">
        <v>-23.476851</v>
      </c>
      <c r="F1716" s="53">
        <v>-46.740920000000003</v>
      </c>
      <c r="G1716" s="53">
        <v>-23.038608</v>
      </c>
      <c r="H1716" s="53">
        <v>-47.068247</v>
      </c>
      <c r="I1716" s="53">
        <v>-22.500796999999999</v>
      </c>
      <c r="J1716" s="53">
        <v>-47.397385</v>
      </c>
      <c r="L1716" s="61" t="str">
        <f t="shared" si="27"/>
        <v>Cliente29-Cliente37</v>
      </c>
      <c r="M1716">
        <v>155.008264</v>
      </c>
    </row>
    <row r="1717" spans="1:13" x14ac:dyDescent="0.25">
      <c r="A1717" s="15" t="s">
        <v>4299</v>
      </c>
      <c r="B1717" s="15" t="s">
        <v>4308</v>
      </c>
      <c r="C1717" s="54">
        <v>153.23176000000001</v>
      </c>
      <c r="D1717" s="26">
        <v>0.13819444444444443</v>
      </c>
      <c r="E1717" s="55">
        <v>-23.481657999999999</v>
      </c>
      <c r="F1717" s="55">
        <v>-46.737855000000003</v>
      </c>
      <c r="G1717" s="55">
        <v>-23.068556999999998</v>
      </c>
      <c r="H1717" s="55">
        <v>-47.032440999999999</v>
      </c>
      <c r="I1717" s="55">
        <v>-22.556640999999999</v>
      </c>
      <c r="J1717" s="55">
        <v>-47.368212</v>
      </c>
      <c r="L1717" s="61" t="str">
        <f t="shared" si="27"/>
        <v>Cliente29-Cliente38</v>
      </c>
      <c r="M1717">
        <v>153.23176000000001</v>
      </c>
    </row>
    <row r="1718" spans="1:13" x14ac:dyDescent="0.25">
      <c r="A1718" s="15" t="s">
        <v>4299</v>
      </c>
      <c r="B1718" s="15" t="s">
        <v>4309</v>
      </c>
      <c r="C1718" s="52">
        <v>102.660718</v>
      </c>
      <c r="D1718" s="25">
        <v>9.0972222222222218E-2</v>
      </c>
      <c r="E1718" s="53">
        <v>-23.662500999999999</v>
      </c>
      <c r="F1718" s="53">
        <v>-46.394075999999998</v>
      </c>
      <c r="G1718" s="53">
        <v>-23.407758999999999</v>
      </c>
      <c r="H1718" s="53">
        <v>-46.184426000000002</v>
      </c>
      <c r="I1718" s="53">
        <v>-23.261626</v>
      </c>
      <c r="J1718" s="53">
        <v>-45.806120999999997</v>
      </c>
      <c r="L1718" s="61" t="str">
        <f t="shared" si="27"/>
        <v>Cliente29-Cliente39</v>
      </c>
      <c r="M1718">
        <v>102.660718</v>
      </c>
    </row>
    <row r="1719" spans="1:13" x14ac:dyDescent="0.25">
      <c r="A1719" s="15" t="s">
        <v>4299</v>
      </c>
      <c r="B1719" s="15" t="s">
        <v>4310</v>
      </c>
      <c r="C1719" s="54">
        <v>104.222228</v>
      </c>
      <c r="D1719" s="26">
        <v>9.4444444444444442E-2</v>
      </c>
      <c r="E1719" s="55">
        <v>-23.654318</v>
      </c>
      <c r="F1719" s="55">
        <v>-46.395127000000002</v>
      </c>
      <c r="G1719" s="55">
        <v>-23.392071999999999</v>
      </c>
      <c r="H1719" s="55">
        <v>-46.169362999999997</v>
      </c>
      <c r="I1719" s="55">
        <v>-23.222106</v>
      </c>
      <c r="J1719" s="55">
        <v>-45.764702</v>
      </c>
      <c r="L1719" s="61" t="str">
        <f t="shared" si="27"/>
        <v>Cliente29-Cliente40</v>
      </c>
      <c r="M1719">
        <v>104.222228</v>
      </c>
    </row>
    <row r="1720" spans="1:13" x14ac:dyDescent="0.25">
      <c r="A1720" s="15" t="s">
        <v>4299</v>
      </c>
      <c r="B1720" s="15" t="s">
        <v>4311</v>
      </c>
      <c r="C1720" s="52">
        <v>81.242621</v>
      </c>
      <c r="D1720" s="25">
        <v>8.5416666666666655E-2</v>
      </c>
      <c r="E1720" s="53">
        <v>-23.584325</v>
      </c>
      <c r="F1720" s="53">
        <v>-46.576974999999997</v>
      </c>
      <c r="G1720" s="53">
        <v>-23.397918000000001</v>
      </c>
      <c r="H1720" s="53">
        <v>-46.295113999999998</v>
      </c>
      <c r="I1720" s="53">
        <v>-23.297141</v>
      </c>
      <c r="J1720" s="53">
        <v>-46.007691000000001</v>
      </c>
      <c r="L1720" s="61" t="str">
        <f t="shared" si="27"/>
        <v>Cliente29-Cliente41</v>
      </c>
      <c r="M1720">
        <v>81.242621</v>
      </c>
    </row>
    <row r="1721" spans="1:13" x14ac:dyDescent="0.25">
      <c r="A1721" s="15" t="s">
        <v>4299</v>
      </c>
      <c r="B1721" s="15" t="s">
        <v>4312</v>
      </c>
      <c r="C1721" s="54">
        <v>88.578547999999998</v>
      </c>
      <c r="D1721" s="26">
        <v>7.7777777777777779E-2</v>
      </c>
      <c r="E1721" s="55">
        <v>-23.719982000000002</v>
      </c>
      <c r="F1721" s="55">
        <v>-46.475090999999999</v>
      </c>
      <c r="G1721" s="55">
        <v>-23.511490999999999</v>
      </c>
      <c r="H1721" s="55">
        <v>-46.328721000000002</v>
      </c>
      <c r="I1721" s="55">
        <v>-23.369465000000002</v>
      </c>
      <c r="J1721" s="55">
        <v>-46.239342999999998</v>
      </c>
      <c r="L1721" s="61" t="str">
        <f t="shared" si="27"/>
        <v>Cliente29-Cliente42</v>
      </c>
      <c r="M1721">
        <v>88.578547999999998</v>
      </c>
    </row>
    <row r="1722" spans="1:13" x14ac:dyDescent="0.25">
      <c r="A1722" s="15" t="s">
        <v>4299</v>
      </c>
      <c r="B1722" s="15" t="s">
        <v>4313</v>
      </c>
      <c r="C1722" s="52">
        <v>112.881057</v>
      </c>
      <c r="D1722" s="25">
        <v>9.8611111111111108E-2</v>
      </c>
      <c r="E1722" s="53">
        <v>-23.643930000000001</v>
      </c>
      <c r="F1722" s="53">
        <v>-46.391418999999999</v>
      </c>
      <c r="G1722" s="53">
        <v>-23.367947999999998</v>
      </c>
      <c r="H1722" s="53">
        <v>-46.133062000000002</v>
      </c>
      <c r="I1722" s="53">
        <v>-23.180402000000001</v>
      </c>
      <c r="J1722" s="53">
        <v>-45.72654</v>
      </c>
      <c r="L1722" s="61" t="str">
        <f t="shared" si="27"/>
        <v>Cliente29-Cliente43</v>
      </c>
      <c r="M1722">
        <v>112.881057</v>
      </c>
    </row>
    <row r="1723" spans="1:13" x14ac:dyDescent="0.25">
      <c r="A1723" s="15" t="s">
        <v>4299</v>
      </c>
      <c r="B1723" s="15" t="s">
        <v>4314</v>
      </c>
      <c r="C1723" s="54">
        <v>73.994308000000004</v>
      </c>
      <c r="D1723" s="26">
        <v>8.1250000000000003E-2</v>
      </c>
      <c r="E1723" s="55">
        <v>-23.630537</v>
      </c>
      <c r="F1723" s="55">
        <v>-46.643956000000003</v>
      </c>
      <c r="G1723" s="55">
        <v>-23.511906</v>
      </c>
      <c r="H1723" s="55">
        <v>-46.802810000000001</v>
      </c>
      <c r="I1723" s="55">
        <v>-23.422993000000002</v>
      </c>
      <c r="J1723" s="55">
        <v>-47.242744999999999</v>
      </c>
      <c r="L1723" s="61" t="str">
        <f t="shared" si="27"/>
        <v>Cliente29-Cliente44</v>
      </c>
      <c r="M1723">
        <v>73.994308000000004</v>
      </c>
    </row>
    <row r="1724" spans="1:13" x14ac:dyDescent="0.25">
      <c r="A1724" s="15" t="s">
        <v>4299</v>
      </c>
      <c r="B1724" s="15" t="s">
        <v>4315</v>
      </c>
      <c r="C1724" s="52">
        <v>75.951010999999994</v>
      </c>
      <c r="D1724" s="25">
        <v>8.6805555555555566E-2</v>
      </c>
      <c r="E1724" s="53">
        <v>-23.541827999999999</v>
      </c>
      <c r="F1724" s="53">
        <v>-46.628259</v>
      </c>
      <c r="G1724" s="53">
        <v>-23.518930000000001</v>
      </c>
      <c r="H1724" s="53">
        <v>-46.954248</v>
      </c>
      <c r="I1724" s="53">
        <v>-23.408667000000001</v>
      </c>
      <c r="J1724" s="53">
        <v>-47.339815000000002</v>
      </c>
      <c r="L1724" s="61" t="str">
        <f t="shared" si="27"/>
        <v>Cliente29-Cliente45</v>
      </c>
      <c r="M1724">
        <v>75.951010999999994</v>
      </c>
    </row>
    <row r="1725" spans="1:13" x14ac:dyDescent="0.25">
      <c r="A1725" s="15" t="s">
        <v>4299</v>
      </c>
      <c r="B1725" s="15" t="s">
        <v>4316</v>
      </c>
      <c r="C1725" s="54">
        <v>72.066810000000004</v>
      </c>
      <c r="D1725" s="26">
        <v>7.8472222222222221E-2</v>
      </c>
      <c r="E1725" s="55">
        <v>-23.629389</v>
      </c>
      <c r="F1725" s="55">
        <v>-46.642266999999997</v>
      </c>
      <c r="G1725" s="55">
        <v>-23.516774999999999</v>
      </c>
      <c r="H1725" s="55">
        <v>-46.790005999999998</v>
      </c>
      <c r="I1725" s="55">
        <v>-23.422944999999999</v>
      </c>
      <c r="J1725" s="55">
        <v>-47.237206999999998</v>
      </c>
      <c r="L1725" s="61" t="str">
        <f t="shared" si="27"/>
        <v>Cliente29-Cliente46</v>
      </c>
      <c r="M1725">
        <v>72.066810000000004</v>
      </c>
    </row>
    <row r="1726" spans="1:13" x14ac:dyDescent="0.25">
      <c r="A1726" s="15" t="s">
        <v>4299</v>
      </c>
      <c r="B1726" s="15" t="s">
        <v>4317</v>
      </c>
      <c r="C1726" s="52">
        <v>202.56129799999999</v>
      </c>
      <c r="D1726" s="25">
        <v>0.1763888888888889</v>
      </c>
      <c r="E1726" s="53">
        <v>-23.464638999999998</v>
      </c>
      <c r="F1726" s="53">
        <v>-46.751261999999997</v>
      </c>
      <c r="G1726" s="53">
        <v>-22.996547</v>
      </c>
      <c r="H1726" s="53">
        <v>-47.104295</v>
      </c>
      <c r="I1726" s="53">
        <v>-22.354861</v>
      </c>
      <c r="J1726" s="53">
        <v>-47.394795999999999</v>
      </c>
      <c r="L1726" s="61" t="str">
        <f t="shared" si="27"/>
        <v>Cliente29-Cliente47</v>
      </c>
      <c r="M1726">
        <v>202.56129799999999</v>
      </c>
    </row>
    <row r="1727" spans="1:13" x14ac:dyDescent="0.25">
      <c r="A1727" s="15" t="s">
        <v>4299</v>
      </c>
      <c r="B1727" s="15" t="s">
        <v>4318</v>
      </c>
      <c r="C1727" s="54">
        <v>211.67248699999999</v>
      </c>
      <c r="D1727" s="26">
        <v>0.18472222222222223</v>
      </c>
      <c r="E1727" s="55">
        <v>-23.400037999999999</v>
      </c>
      <c r="F1727" s="55">
        <v>-46.767743000000003</v>
      </c>
      <c r="G1727" s="55">
        <v>-22.918247000000001</v>
      </c>
      <c r="H1727" s="55">
        <v>-47.134307999999997</v>
      </c>
      <c r="I1727" s="55">
        <v>-22.132878000000002</v>
      </c>
      <c r="J1727" s="55">
        <v>-47.409267</v>
      </c>
      <c r="L1727" s="61" t="str">
        <f t="shared" si="27"/>
        <v>Cliente29-Cliente48</v>
      </c>
      <c r="M1727">
        <v>211.67248699999999</v>
      </c>
    </row>
    <row r="1728" spans="1:13" x14ac:dyDescent="0.25">
      <c r="A1728" s="15" t="s">
        <v>4299</v>
      </c>
      <c r="B1728" s="15" t="s">
        <v>4319</v>
      </c>
      <c r="C1728" s="52">
        <v>205.31025099999999</v>
      </c>
      <c r="D1728" s="25">
        <v>0.17986111111111111</v>
      </c>
      <c r="E1728" s="53">
        <v>-23.421851</v>
      </c>
      <c r="F1728" s="53">
        <v>-46.761364999999998</v>
      </c>
      <c r="G1728" s="53">
        <v>-22.939596999999999</v>
      </c>
      <c r="H1728" s="53">
        <v>-47.126145999999999</v>
      </c>
      <c r="I1728" s="53">
        <v>-22.247682999999999</v>
      </c>
      <c r="J1728" s="53">
        <v>-47.390053000000002</v>
      </c>
      <c r="L1728" s="61" t="str">
        <f t="shared" si="27"/>
        <v>Cliente29-Cliente49</v>
      </c>
      <c r="M1728">
        <v>205.31025099999999</v>
      </c>
    </row>
    <row r="1729" spans="1:13" x14ac:dyDescent="0.25">
      <c r="A1729" s="15" t="s">
        <v>4299</v>
      </c>
      <c r="B1729" s="15" t="s">
        <v>4320</v>
      </c>
      <c r="C1729" s="54">
        <v>218.3597</v>
      </c>
      <c r="D1729" s="26">
        <v>0.18958333333333333</v>
      </c>
      <c r="E1729" s="55">
        <v>-23.533448</v>
      </c>
      <c r="F1729" s="55">
        <v>-46.747261000000002</v>
      </c>
      <c r="G1729" s="55">
        <v>-23.321283999999999</v>
      </c>
      <c r="H1729" s="55">
        <v>-47.577620000000003</v>
      </c>
      <c r="I1729" s="55">
        <v>-22.905007000000001</v>
      </c>
      <c r="J1729" s="55">
        <v>-48.453077</v>
      </c>
      <c r="L1729" s="61" t="str">
        <f t="shared" si="27"/>
        <v>Cliente29-Cliente50</v>
      </c>
      <c r="M1729">
        <v>218.3597</v>
      </c>
    </row>
    <row r="1730" spans="1:13" x14ac:dyDescent="0.25">
      <c r="A1730" s="15" t="s">
        <v>4299</v>
      </c>
      <c r="B1730" s="15" t="s">
        <v>4321</v>
      </c>
      <c r="C1730" s="52">
        <v>215.164602</v>
      </c>
      <c r="D1730" s="25">
        <v>0.1875</v>
      </c>
      <c r="E1730" s="53">
        <v>-23.511538999999999</v>
      </c>
      <c r="F1730" s="53">
        <v>-46.722845999999997</v>
      </c>
      <c r="G1730" s="53">
        <v>-23.409223999999998</v>
      </c>
      <c r="H1730" s="53">
        <v>-47.280293999999998</v>
      </c>
      <c r="I1730" s="53">
        <v>-23.074086000000001</v>
      </c>
      <c r="J1730" s="53">
        <v>-48.528989000000003</v>
      </c>
      <c r="L1730" s="61" t="str">
        <f t="shared" si="27"/>
        <v>Cliente29-Cliente51</v>
      </c>
      <c r="M1730">
        <v>215.164602</v>
      </c>
    </row>
    <row r="1731" spans="1:13" x14ac:dyDescent="0.25">
      <c r="A1731" s="15" t="s">
        <v>4300</v>
      </c>
      <c r="B1731" s="15" t="s">
        <v>4268</v>
      </c>
      <c r="C1731" s="54">
        <v>76.862565000000004</v>
      </c>
      <c r="D1731" s="26">
        <v>8.1250000000000003E-2</v>
      </c>
      <c r="E1731" s="55">
        <v>-23.584171999999999</v>
      </c>
      <c r="F1731" s="55">
        <v>-46.599378000000002</v>
      </c>
      <c r="G1731" s="55">
        <v>-23.516981000000001</v>
      </c>
      <c r="H1731" s="55">
        <v>-46.741700000000002</v>
      </c>
      <c r="I1731" s="55">
        <v>-23.439218</v>
      </c>
      <c r="J1731" s="55">
        <v>-47.111420000000003</v>
      </c>
      <c r="L1731" s="61" t="str">
        <f t="shared" si="27"/>
        <v>Cliente30-depósito A</v>
      </c>
      <c r="M1731">
        <v>76.862565000000004</v>
      </c>
    </row>
    <row r="1732" spans="1:13" x14ac:dyDescent="0.25">
      <c r="A1732" s="15" t="s">
        <v>4300</v>
      </c>
      <c r="B1732" s="15" t="s">
        <v>4269</v>
      </c>
      <c r="C1732" s="52">
        <v>182.538183</v>
      </c>
      <c r="D1732" s="25">
        <v>0.16319444444444445</v>
      </c>
      <c r="E1732" s="53">
        <v>-23.507849</v>
      </c>
      <c r="F1732" s="53">
        <v>-46.711339000000002</v>
      </c>
      <c r="G1732" s="53">
        <v>-23.083221999999999</v>
      </c>
      <c r="H1732" s="53">
        <v>-47.022857999999999</v>
      </c>
      <c r="I1732" s="53">
        <v>-22.505077</v>
      </c>
      <c r="J1732" s="53">
        <v>-47.399107999999998</v>
      </c>
      <c r="L1732" s="61" t="str">
        <f t="shared" si="27"/>
        <v>Cliente30-depósito B</v>
      </c>
      <c r="M1732">
        <v>182.538183</v>
      </c>
    </row>
    <row r="1733" spans="1:13" x14ac:dyDescent="0.25">
      <c r="A1733" s="15" t="s">
        <v>4300</v>
      </c>
      <c r="B1733" s="15" t="s">
        <v>4270</v>
      </c>
      <c r="C1733" s="54">
        <v>58.180371999999998</v>
      </c>
      <c r="D1733" s="26">
        <v>5.347222222222222E-2</v>
      </c>
      <c r="E1733" s="55">
        <v>-23.69237</v>
      </c>
      <c r="F1733" s="55">
        <v>-46.409764000000003</v>
      </c>
      <c r="G1733" s="55">
        <v>-23.48828</v>
      </c>
      <c r="H1733" s="55">
        <v>-46.331266999999997</v>
      </c>
      <c r="I1733" s="55">
        <v>-23.369211</v>
      </c>
      <c r="J1733" s="55">
        <v>-46.236528</v>
      </c>
      <c r="L1733" s="61" t="str">
        <f t="shared" si="27"/>
        <v>Cliente30-depósito C</v>
      </c>
      <c r="M1733">
        <v>58.180371999999998</v>
      </c>
    </row>
    <row r="1734" spans="1:13" x14ac:dyDescent="0.25">
      <c r="A1734" s="15" t="s">
        <v>4300</v>
      </c>
      <c r="B1734" s="15" t="s">
        <v>4271</v>
      </c>
      <c r="C1734" s="52">
        <v>72.623559999999998</v>
      </c>
      <c r="D1734" s="25">
        <v>7.7777777777777779E-2</v>
      </c>
      <c r="E1734" s="53">
        <v>-23.567961</v>
      </c>
      <c r="F1734" s="53">
        <v>-46.608752000000003</v>
      </c>
      <c r="G1734" s="53">
        <v>-23.412851</v>
      </c>
      <c r="H1734" s="53">
        <v>-46.766370000000002</v>
      </c>
      <c r="I1734" s="53">
        <v>-23.147780999999998</v>
      </c>
      <c r="J1734" s="53">
        <v>-46.962352000000003</v>
      </c>
      <c r="L1734" s="61" t="str">
        <f t="shared" si="27"/>
        <v>Cliente30-Cliente1</v>
      </c>
      <c r="M1734">
        <v>72.623559999999998</v>
      </c>
    </row>
    <row r="1735" spans="1:13" x14ac:dyDescent="0.25">
      <c r="A1735" s="15" t="s">
        <v>4300</v>
      </c>
      <c r="B1735" s="15" t="s">
        <v>4272</v>
      </c>
      <c r="C1735" s="54">
        <v>76.391564000000002</v>
      </c>
      <c r="D1735" s="26">
        <v>8.3333333333333329E-2</v>
      </c>
      <c r="E1735" s="55">
        <v>-23.558264000000001</v>
      </c>
      <c r="F1735" s="55">
        <v>-46.615848</v>
      </c>
      <c r="G1735" s="55">
        <v>-23.363074999999998</v>
      </c>
      <c r="H1735" s="55">
        <v>-46.783805999999998</v>
      </c>
      <c r="I1735" s="55">
        <v>-23.083221999999999</v>
      </c>
      <c r="J1735" s="55">
        <v>-47.022857999999999</v>
      </c>
      <c r="L1735" s="61" t="str">
        <f t="shared" si="27"/>
        <v>Cliente30-Cliente2</v>
      </c>
      <c r="M1735">
        <v>76.391564000000002</v>
      </c>
    </row>
    <row r="1736" spans="1:13" x14ac:dyDescent="0.25">
      <c r="A1736" s="15" t="s">
        <v>4300</v>
      </c>
      <c r="B1736" s="15" t="s">
        <v>4273</v>
      </c>
      <c r="C1736" s="52">
        <v>74.370859999999993</v>
      </c>
      <c r="D1736" s="25">
        <v>8.0555555555555561E-2</v>
      </c>
      <c r="E1736" s="53">
        <v>-23.564052</v>
      </c>
      <c r="F1736" s="53">
        <v>-46.611063999999999</v>
      </c>
      <c r="G1736" s="53">
        <v>-23.383544000000001</v>
      </c>
      <c r="H1736" s="53">
        <v>-46.769224000000001</v>
      </c>
      <c r="I1736" s="53">
        <v>-23.129175</v>
      </c>
      <c r="J1736" s="53">
        <v>-46.981051999999998</v>
      </c>
      <c r="L1736" s="61" t="str">
        <f t="shared" si="27"/>
        <v>Cliente30-Cliente3</v>
      </c>
      <c r="M1736">
        <v>74.370859999999993</v>
      </c>
    </row>
    <row r="1737" spans="1:13" x14ac:dyDescent="0.25">
      <c r="A1737" s="15" t="s">
        <v>4300</v>
      </c>
      <c r="B1737" s="15" t="s">
        <v>4274</v>
      </c>
      <c r="C1737" s="54">
        <v>84.527818999999994</v>
      </c>
      <c r="D1737" s="26">
        <v>8.7500000000000008E-2</v>
      </c>
      <c r="E1737" s="55">
        <v>-23.554407999999999</v>
      </c>
      <c r="F1737" s="55">
        <v>-46.624673000000001</v>
      </c>
      <c r="G1737" s="55">
        <v>-23.352052</v>
      </c>
      <c r="H1737" s="55">
        <v>-46.796871000000003</v>
      </c>
      <c r="I1737" s="55">
        <v>-23.039185</v>
      </c>
      <c r="J1737" s="55">
        <v>-47.067613999999999</v>
      </c>
      <c r="L1737" s="61" t="str">
        <f t="shared" si="27"/>
        <v>Cliente30-Cliente4</v>
      </c>
      <c r="M1737">
        <v>84.527818999999994</v>
      </c>
    </row>
    <row r="1738" spans="1:13" x14ac:dyDescent="0.25">
      <c r="A1738" s="15" t="s">
        <v>4300</v>
      </c>
      <c r="B1738" s="15" t="s">
        <v>4275</v>
      </c>
      <c r="C1738" s="52">
        <v>84.621025000000003</v>
      </c>
      <c r="D1738" s="25">
        <v>8.7500000000000008E-2</v>
      </c>
      <c r="E1738" s="53">
        <v>-23.555008000000001</v>
      </c>
      <c r="F1738" s="53">
        <v>-46.624065000000002</v>
      </c>
      <c r="G1738" s="53">
        <v>-23.355286</v>
      </c>
      <c r="H1738" s="53">
        <v>-46.792445000000001</v>
      </c>
      <c r="I1738" s="53">
        <v>-23.043104</v>
      </c>
      <c r="J1738" s="53">
        <v>-47.060861000000003</v>
      </c>
      <c r="L1738" s="61" t="str">
        <f t="shared" si="27"/>
        <v>Cliente30-Cliente5</v>
      </c>
      <c r="M1738">
        <v>84.621025000000003</v>
      </c>
    </row>
    <row r="1739" spans="1:13" x14ac:dyDescent="0.25">
      <c r="A1739" s="15" t="s">
        <v>4300</v>
      </c>
      <c r="B1739" s="15" t="s">
        <v>4276</v>
      </c>
      <c r="C1739" s="54">
        <v>66.996408000000002</v>
      </c>
      <c r="D1739" s="26">
        <v>7.6388888888888895E-2</v>
      </c>
      <c r="E1739" s="55">
        <v>-23.564655999999999</v>
      </c>
      <c r="F1739" s="55">
        <v>-46.610629000000003</v>
      </c>
      <c r="G1739" s="55">
        <v>-23.400532999999999</v>
      </c>
      <c r="H1739" s="55">
        <v>-46.767702999999997</v>
      </c>
      <c r="I1739" s="55">
        <v>-23.173909999999999</v>
      </c>
      <c r="J1739" s="55">
        <v>-46.920355000000001</v>
      </c>
      <c r="L1739" s="61" t="str">
        <f t="shared" si="27"/>
        <v>Cliente30-Cliente6</v>
      </c>
      <c r="M1739">
        <v>66.996408000000002</v>
      </c>
    </row>
    <row r="1740" spans="1:13" x14ac:dyDescent="0.25">
      <c r="A1740" s="15" t="s">
        <v>4300</v>
      </c>
      <c r="B1740" s="15" t="s">
        <v>4277</v>
      </c>
      <c r="C1740" s="52">
        <v>71.714492000000007</v>
      </c>
      <c r="D1740" s="25">
        <v>7.7083333333333337E-2</v>
      </c>
      <c r="E1740" s="53">
        <v>-23.573409000000002</v>
      </c>
      <c r="F1740" s="53">
        <v>-46.60369</v>
      </c>
      <c r="G1740" s="53">
        <v>-23.463417</v>
      </c>
      <c r="H1740" s="53">
        <v>-46.751761000000002</v>
      </c>
      <c r="I1740" s="53">
        <v>-23.208411000000002</v>
      </c>
      <c r="J1740" s="53">
        <v>-46.924393999999999</v>
      </c>
      <c r="L1740" s="61" t="str">
        <f t="shared" si="27"/>
        <v>Cliente30-Cliente7</v>
      </c>
      <c r="M1740">
        <v>71.714492000000007</v>
      </c>
    </row>
    <row r="1741" spans="1:13" x14ac:dyDescent="0.25">
      <c r="A1741" s="15" t="s">
        <v>4300</v>
      </c>
      <c r="B1741" s="15" t="s">
        <v>4278</v>
      </c>
      <c r="C1741" s="54">
        <v>80.744280000000003</v>
      </c>
      <c r="D1741" s="26">
        <v>8.4722222222222213E-2</v>
      </c>
      <c r="E1741" s="55">
        <v>-23.553308999999999</v>
      </c>
      <c r="F1741" s="55">
        <v>-46.625494000000003</v>
      </c>
      <c r="G1741" s="55">
        <v>-23.350467999999999</v>
      </c>
      <c r="H1741" s="55">
        <v>-46.806269</v>
      </c>
      <c r="I1741" s="55">
        <v>-23.036683</v>
      </c>
      <c r="J1741" s="55">
        <v>-47.069716999999997</v>
      </c>
      <c r="L1741" s="61" t="str">
        <f t="shared" si="27"/>
        <v>Cliente30-Cliente8</v>
      </c>
      <c r="M1741">
        <v>80.744280000000003</v>
      </c>
    </row>
    <row r="1742" spans="1:13" x14ac:dyDescent="0.25">
      <c r="A1742" s="15" t="s">
        <v>4300</v>
      </c>
      <c r="B1742" s="15" t="s">
        <v>4279</v>
      </c>
      <c r="C1742" s="52">
        <v>92.756658000000002</v>
      </c>
      <c r="D1742" s="25">
        <v>9.5833333333333326E-2</v>
      </c>
      <c r="E1742" s="53">
        <v>-23.553308999999999</v>
      </c>
      <c r="F1742" s="53">
        <v>-46.625494000000003</v>
      </c>
      <c r="G1742" s="53">
        <v>-23.350467999999999</v>
      </c>
      <c r="H1742" s="53">
        <v>-46.806269</v>
      </c>
      <c r="I1742" s="53">
        <v>-23.038608</v>
      </c>
      <c r="J1742" s="53">
        <v>-47.068247</v>
      </c>
      <c r="L1742" s="61" t="str">
        <f t="shared" si="27"/>
        <v>Cliente30-Cliente9</v>
      </c>
      <c r="M1742">
        <v>92.756658000000002</v>
      </c>
    </row>
    <row r="1743" spans="1:13" x14ac:dyDescent="0.25">
      <c r="A1743" s="15" t="s">
        <v>4300</v>
      </c>
      <c r="B1743" s="15" t="s">
        <v>4280</v>
      </c>
      <c r="C1743" s="54">
        <v>24.442318</v>
      </c>
      <c r="D1743" s="26">
        <v>4.4444444444444446E-2</v>
      </c>
      <c r="E1743" s="55">
        <v>-23.605636000000001</v>
      </c>
      <c r="F1743" s="55">
        <v>-46.548315000000002</v>
      </c>
      <c r="G1743" s="55">
        <v>-23.560331000000001</v>
      </c>
      <c r="H1743" s="55">
        <v>-46.613190000000003</v>
      </c>
      <c r="I1743" s="55">
        <v>-23.510822999999998</v>
      </c>
      <c r="J1743" s="55">
        <v>-46.680970000000002</v>
      </c>
      <c r="L1743" s="61" t="str">
        <f t="shared" si="27"/>
        <v>Cliente30-Cliente10</v>
      </c>
      <c r="M1743">
        <v>24.442318</v>
      </c>
    </row>
    <row r="1744" spans="1:13" x14ac:dyDescent="0.25">
      <c r="A1744" s="15" t="s">
        <v>4300</v>
      </c>
      <c r="B1744" s="15" t="s">
        <v>4281</v>
      </c>
      <c r="C1744" s="52">
        <v>109.978003</v>
      </c>
      <c r="D1744" s="25">
        <v>0.10416666666666667</v>
      </c>
      <c r="E1744" s="53">
        <v>-23.541827999999999</v>
      </c>
      <c r="F1744" s="53">
        <v>-46.628259</v>
      </c>
      <c r="G1744" s="53">
        <v>-23.302479999999999</v>
      </c>
      <c r="H1744" s="53">
        <v>-46.840218</v>
      </c>
      <c r="I1744" s="53">
        <v>-22.921006999999999</v>
      </c>
      <c r="J1744" s="53">
        <v>-47.134573000000003</v>
      </c>
      <c r="L1744" s="61" t="str">
        <f t="shared" si="27"/>
        <v>Cliente30-Cliente11</v>
      </c>
      <c r="M1744">
        <v>109.978003</v>
      </c>
    </row>
    <row r="1745" spans="1:13" x14ac:dyDescent="0.25">
      <c r="A1745" s="15" t="s">
        <v>4300</v>
      </c>
      <c r="B1745" s="15" t="s">
        <v>4282</v>
      </c>
      <c r="C1745" s="54">
        <v>56.029800999999999</v>
      </c>
      <c r="D1745" s="26">
        <v>5.2777777777777778E-2</v>
      </c>
      <c r="E1745" s="55">
        <v>-23.663715</v>
      </c>
      <c r="F1745" s="55">
        <v>-46.393942000000003</v>
      </c>
      <c r="G1745" s="55">
        <v>-23.461731</v>
      </c>
      <c r="H1745" s="55">
        <v>-46.346238</v>
      </c>
      <c r="I1745" s="55">
        <v>-23.358716999999999</v>
      </c>
      <c r="J1745" s="55">
        <v>-46.108499000000002</v>
      </c>
      <c r="L1745" s="61" t="str">
        <f t="shared" si="27"/>
        <v>Cliente30-Cliente12</v>
      </c>
      <c r="M1745">
        <v>56.029800999999999</v>
      </c>
    </row>
    <row r="1746" spans="1:13" x14ac:dyDescent="0.25">
      <c r="A1746" s="15" t="s">
        <v>4300</v>
      </c>
      <c r="B1746" s="15" t="s">
        <v>4283</v>
      </c>
      <c r="C1746" s="52">
        <v>65.105570999999998</v>
      </c>
      <c r="D1746" s="25">
        <v>5.9027777777777783E-2</v>
      </c>
      <c r="E1746" s="53">
        <v>-23.668769000000001</v>
      </c>
      <c r="F1746" s="53">
        <v>-46.395359999999997</v>
      </c>
      <c r="G1746" s="53">
        <v>-23.462399999999999</v>
      </c>
      <c r="H1746" s="53">
        <v>-46.345382999999998</v>
      </c>
      <c r="I1746" s="53">
        <v>-23.35247</v>
      </c>
      <c r="J1746" s="53">
        <v>-46.183019000000002</v>
      </c>
      <c r="L1746" s="61" t="str">
        <f t="shared" ref="L1746:L1809" si="28">_xlfn.CONCAT(A1746,"-",B1746)</f>
        <v>Cliente30-Cliente13</v>
      </c>
      <c r="M1746">
        <v>65.105570999999998</v>
      </c>
    </row>
    <row r="1747" spans="1:13" x14ac:dyDescent="0.25">
      <c r="A1747" s="15" t="s">
        <v>4300</v>
      </c>
      <c r="B1747" s="15" t="s">
        <v>4284</v>
      </c>
      <c r="C1747" s="54">
        <v>63.168131000000002</v>
      </c>
      <c r="D1747" s="26">
        <v>5.5555555555555552E-2</v>
      </c>
      <c r="E1747" s="55">
        <v>-23.692898</v>
      </c>
      <c r="F1747" s="55">
        <v>-46.410958999999998</v>
      </c>
      <c r="G1747" s="55">
        <v>-23.490445000000001</v>
      </c>
      <c r="H1747" s="55">
        <v>-46.332633999999999</v>
      </c>
      <c r="I1747" s="55">
        <v>-23.370108999999999</v>
      </c>
      <c r="J1747" s="55">
        <v>-46.241131000000003</v>
      </c>
      <c r="L1747" s="61" t="str">
        <f t="shared" si="28"/>
        <v>Cliente30-Cliente14</v>
      </c>
      <c r="M1747">
        <v>63.168131000000002</v>
      </c>
    </row>
    <row r="1748" spans="1:13" x14ac:dyDescent="0.25">
      <c r="A1748" s="15" t="s">
        <v>4300</v>
      </c>
      <c r="B1748" s="15" t="s">
        <v>4285</v>
      </c>
      <c r="C1748" s="52">
        <v>65.546745999999999</v>
      </c>
      <c r="D1748" s="25">
        <v>6.1805555555555558E-2</v>
      </c>
      <c r="E1748" s="53">
        <v>-23.668769000000001</v>
      </c>
      <c r="F1748" s="53">
        <v>-46.395359999999997</v>
      </c>
      <c r="G1748" s="53">
        <v>-23.462399999999999</v>
      </c>
      <c r="H1748" s="53">
        <v>-46.345382999999998</v>
      </c>
      <c r="I1748" s="53">
        <v>-23.35247</v>
      </c>
      <c r="J1748" s="53">
        <v>-46.183019000000002</v>
      </c>
      <c r="L1748" s="61" t="str">
        <f t="shared" si="28"/>
        <v>Cliente30-Cliente15</v>
      </c>
      <c r="M1748">
        <v>65.546745999999999</v>
      </c>
    </row>
    <row r="1749" spans="1:13" x14ac:dyDescent="0.25">
      <c r="A1749" s="15" t="s">
        <v>4300</v>
      </c>
      <c r="B1749" s="15" t="s">
        <v>4286</v>
      </c>
      <c r="C1749" s="54">
        <v>64.477362999999997</v>
      </c>
      <c r="D1749" s="26">
        <v>6.0416666666666667E-2</v>
      </c>
      <c r="E1749" s="55">
        <v>-23.668769000000001</v>
      </c>
      <c r="F1749" s="55">
        <v>-46.395359999999997</v>
      </c>
      <c r="G1749" s="55">
        <v>-23.462399999999999</v>
      </c>
      <c r="H1749" s="55">
        <v>-46.345382999999998</v>
      </c>
      <c r="I1749" s="55">
        <v>-23.35247</v>
      </c>
      <c r="J1749" s="55">
        <v>-46.183019000000002</v>
      </c>
      <c r="L1749" s="61" t="str">
        <f t="shared" si="28"/>
        <v>Cliente30-Cliente16</v>
      </c>
      <c r="M1749">
        <v>64.477362999999997</v>
      </c>
    </row>
    <row r="1750" spans="1:13" x14ac:dyDescent="0.25">
      <c r="A1750" s="15" t="s">
        <v>4300</v>
      </c>
      <c r="B1750" s="15" t="s">
        <v>4287</v>
      </c>
      <c r="C1750" s="52">
        <v>65.533075999999994</v>
      </c>
      <c r="D1750" s="25">
        <v>5.8333333333333327E-2</v>
      </c>
      <c r="E1750" s="53">
        <v>-23.668769000000001</v>
      </c>
      <c r="F1750" s="53">
        <v>-46.395359999999997</v>
      </c>
      <c r="G1750" s="53">
        <v>-23.462399999999999</v>
      </c>
      <c r="H1750" s="53">
        <v>-46.345382999999998</v>
      </c>
      <c r="I1750" s="53">
        <v>-23.35247</v>
      </c>
      <c r="J1750" s="53">
        <v>-46.183019000000002</v>
      </c>
      <c r="L1750" s="61" t="str">
        <f t="shared" si="28"/>
        <v>Cliente30-Cliente17</v>
      </c>
      <c r="M1750">
        <v>65.533075999999994</v>
      </c>
    </row>
    <row r="1751" spans="1:13" x14ac:dyDescent="0.25">
      <c r="A1751" s="15" t="s">
        <v>4300</v>
      </c>
      <c r="B1751" s="15" t="s">
        <v>4288</v>
      </c>
      <c r="C1751" s="54">
        <v>70.361142000000001</v>
      </c>
      <c r="D1751" s="26">
        <v>6.3194444444444442E-2</v>
      </c>
      <c r="E1751" s="55">
        <v>-23.689845999999999</v>
      </c>
      <c r="F1751" s="55">
        <v>-46.406471000000003</v>
      </c>
      <c r="G1751" s="55">
        <v>-23.473651</v>
      </c>
      <c r="H1751" s="55">
        <v>-46.330503999999998</v>
      </c>
      <c r="I1751" s="55">
        <v>-23.358464000000001</v>
      </c>
      <c r="J1751" s="55">
        <v>-46.214089999999999</v>
      </c>
      <c r="L1751" s="61" t="str">
        <f t="shared" si="28"/>
        <v>Cliente30-Cliente18</v>
      </c>
      <c r="M1751">
        <v>70.361142000000001</v>
      </c>
    </row>
    <row r="1752" spans="1:13" x14ac:dyDescent="0.25">
      <c r="A1752" s="15" t="s">
        <v>4300</v>
      </c>
      <c r="B1752" s="15" t="s">
        <v>4289</v>
      </c>
      <c r="C1752" s="52">
        <v>19.614872999999999</v>
      </c>
      <c r="D1752" s="25">
        <v>3.4722222222222224E-2</v>
      </c>
      <c r="E1752" s="53">
        <v>-23.64066</v>
      </c>
      <c r="F1752" s="53">
        <v>-46.533586999999997</v>
      </c>
      <c r="G1752" s="53">
        <v>-23.586542000000001</v>
      </c>
      <c r="H1752" s="53">
        <v>-46.597830000000002</v>
      </c>
      <c r="I1752" s="53">
        <v>-23.533595999999999</v>
      </c>
      <c r="J1752" s="53">
        <v>-46.624983999999998</v>
      </c>
      <c r="L1752" s="61" t="str">
        <f t="shared" si="28"/>
        <v>Cliente30-Cliente19</v>
      </c>
      <c r="M1752">
        <v>19.614872999999999</v>
      </c>
    </row>
    <row r="1753" spans="1:13" x14ac:dyDescent="0.25">
      <c r="A1753" s="15" t="s">
        <v>4300</v>
      </c>
      <c r="B1753" s="15" t="s">
        <v>4290</v>
      </c>
      <c r="C1753" s="54">
        <v>26.257968999999999</v>
      </c>
      <c r="D1753" s="26">
        <v>4.3055555555555562E-2</v>
      </c>
      <c r="E1753" s="55">
        <v>-23.660571000000001</v>
      </c>
      <c r="F1753" s="55">
        <v>-46.544699999999999</v>
      </c>
      <c r="G1753" s="55">
        <v>-23.609984000000001</v>
      </c>
      <c r="H1753" s="55">
        <v>-46.59986</v>
      </c>
      <c r="I1753" s="55">
        <v>-23.603646000000001</v>
      </c>
      <c r="J1753" s="55">
        <v>-46.679895000000002</v>
      </c>
      <c r="L1753" s="61" t="str">
        <f t="shared" si="28"/>
        <v>Cliente30-Cliente20</v>
      </c>
      <c r="M1753">
        <v>26.257968999999999</v>
      </c>
    </row>
    <row r="1754" spans="1:13" x14ac:dyDescent="0.25">
      <c r="A1754" s="15" t="s">
        <v>4300</v>
      </c>
      <c r="B1754" s="15" t="s">
        <v>4291</v>
      </c>
      <c r="C1754" s="52">
        <v>25.110294</v>
      </c>
      <c r="D1754" s="25">
        <v>3.9583333333333331E-2</v>
      </c>
      <c r="E1754" s="53">
        <v>-23.660402999999999</v>
      </c>
      <c r="F1754" s="53">
        <v>-46.542332999999999</v>
      </c>
      <c r="G1754" s="53">
        <v>-23.625222000000001</v>
      </c>
      <c r="H1754" s="53">
        <v>-46.599077000000001</v>
      </c>
      <c r="I1754" s="53">
        <v>-23.615731</v>
      </c>
      <c r="J1754" s="53">
        <v>-46.666327000000003</v>
      </c>
      <c r="L1754" s="61" t="str">
        <f t="shared" si="28"/>
        <v>Cliente30-Cliente21</v>
      </c>
      <c r="M1754">
        <v>25.110294</v>
      </c>
    </row>
    <row r="1755" spans="1:13" x14ac:dyDescent="0.25">
      <c r="A1755" s="15" t="s">
        <v>4300</v>
      </c>
      <c r="B1755" s="15" t="s">
        <v>4292</v>
      </c>
      <c r="C1755" s="54">
        <v>23.484783</v>
      </c>
      <c r="D1755" s="26">
        <v>4.1666666666666664E-2</v>
      </c>
      <c r="E1755" s="55">
        <v>-23.605636000000001</v>
      </c>
      <c r="F1755" s="55">
        <v>-46.548315000000002</v>
      </c>
      <c r="G1755" s="55">
        <v>-23.560331000000001</v>
      </c>
      <c r="H1755" s="55">
        <v>-46.613190000000003</v>
      </c>
      <c r="I1755" s="55">
        <v>-23.510822999999998</v>
      </c>
      <c r="J1755" s="55">
        <v>-46.680970000000002</v>
      </c>
      <c r="L1755" s="61" t="str">
        <f t="shared" si="28"/>
        <v>Cliente30-Cliente22</v>
      </c>
      <c r="M1755">
        <v>23.484783</v>
      </c>
    </row>
    <row r="1756" spans="1:13" x14ac:dyDescent="0.25">
      <c r="A1756" s="15" t="s">
        <v>4300</v>
      </c>
      <c r="B1756" s="15" t="s">
        <v>4293</v>
      </c>
      <c r="C1756" s="52">
        <v>25.780754999999999</v>
      </c>
      <c r="D1756" s="25">
        <v>4.5833333333333337E-2</v>
      </c>
      <c r="E1756" s="53">
        <v>-23.659953999999999</v>
      </c>
      <c r="F1756" s="53">
        <v>-46.552312000000001</v>
      </c>
      <c r="G1756" s="53">
        <v>-23.605931000000002</v>
      </c>
      <c r="H1756" s="53">
        <v>-46.605134</v>
      </c>
      <c r="I1756" s="53">
        <v>-23.570491000000001</v>
      </c>
      <c r="J1756" s="53">
        <v>-46.700150999999998</v>
      </c>
      <c r="L1756" s="61" t="str">
        <f t="shared" si="28"/>
        <v>Cliente30-Cliente23</v>
      </c>
      <c r="M1756">
        <v>25.780754999999999</v>
      </c>
    </row>
    <row r="1757" spans="1:13" x14ac:dyDescent="0.25">
      <c r="A1757" s="15" t="s">
        <v>4300</v>
      </c>
      <c r="B1757" s="15" t="s">
        <v>4294</v>
      </c>
      <c r="C1757" s="54">
        <v>23.683622</v>
      </c>
      <c r="D1757" s="26">
        <v>4.7222222222222221E-2</v>
      </c>
      <c r="E1757" s="55">
        <v>-23.609919999999999</v>
      </c>
      <c r="F1757" s="55">
        <v>-46.545127999999998</v>
      </c>
      <c r="G1757" s="55">
        <v>-23.567961</v>
      </c>
      <c r="H1757" s="55">
        <v>-46.608752000000003</v>
      </c>
      <c r="I1757" s="55">
        <v>-23.556035999999999</v>
      </c>
      <c r="J1757" s="55">
        <v>-46.663559999999997</v>
      </c>
      <c r="L1757" s="61" t="str">
        <f t="shared" si="28"/>
        <v>Cliente30-Cliente24</v>
      </c>
      <c r="M1757">
        <v>23.683622</v>
      </c>
    </row>
    <row r="1758" spans="1:13" x14ac:dyDescent="0.25">
      <c r="A1758" s="15" t="s">
        <v>4300</v>
      </c>
      <c r="B1758" s="15" t="s">
        <v>4295</v>
      </c>
      <c r="C1758" s="52">
        <v>28.040686999999998</v>
      </c>
      <c r="D1758" s="25">
        <v>5.1388888888888894E-2</v>
      </c>
      <c r="E1758" s="53">
        <v>-23.659932999999999</v>
      </c>
      <c r="F1758" s="53">
        <v>-46.555652000000002</v>
      </c>
      <c r="G1758" s="53">
        <v>-23.627925999999999</v>
      </c>
      <c r="H1758" s="53">
        <v>-46.628475999999999</v>
      </c>
      <c r="I1758" s="53">
        <v>-23.572362999999999</v>
      </c>
      <c r="J1758" s="53">
        <v>-46.708607000000001</v>
      </c>
      <c r="L1758" s="61" t="str">
        <f t="shared" si="28"/>
        <v>Cliente30-Cliente25</v>
      </c>
      <c r="M1758">
        <v>28.040686999999998</v>
      </c>
    </row>
    <row r="1759" spans="1:13" x14ac:dyDescent="0.25">
      <c r="A1759" s="15" t="s">
        <v>4300</v>
      </c>
      <c r="B1759" s="15" t="s">
        <v>4296</v>
      </c>
      <c r="C1759" s="54">
        <v>31.003392999999999</v>
      </c>
      <c r="D1759" s="26">
        <v>4.8611111111111112E-2</v>
      </c>
      <c r="E1759" s="55">
        <v>-23.659896</v>
      </c>
      <c r="F1759" s="55">
        <v>-46.558416000000001</v>
      </c>
      <c r="G1759" s="55">
        <v>-23.629007999999999</v>
      </c>
      <c r="H1759" s="55">
        <v>-46.629325000000001</v>
      </c>
      <c r="I1759" s="55">
        <v>-23.574950999999999</v>
      </c>
      <c r="J1759" s="55">
        <v>-46.716940999999998</v>
      </c>
      <c r="L1759" s="61" t="str">
        <f t="shared" si="28"/>
        <v>Cliente30-Cliente26</v>
      </c>
      <c r="M1759">
        <v>31.003392999999999</v>
      </c>
    </row>
    <row r="1760" spans="1:13" x14ac:dyDescent="0.25">
      <c r="A1760" s="15" t="s">
        <v>4300</v>
      </c>
      <c r="B1760" s="15" t="s">
        <v>4297</v>
      </c>
      <c r="C1760" s="52">
        <v>24.636185999999999</v>
      </c>
      <c r="D1760" s="25">
        <v>4.8611111111111112E-2</v>
      </c>
      <c r="E1760" s="53">
        <v>-23.659210000000002</v>
      </c>
      <c r="F1760" s="53">
        <v>-46.552371000000001</v>
      </c>
      <c r="G1760" s="53">
        <v>-23.684107999999998</v>
      </c>
      <c r="H1760" s="53">
        <v>-46.632984999999998</v>
      </c>
      <c r="I1760" s="53">
        <v>-23.614315999999999</v>
      </c>
      <c r="J1760" s="53">
        <v>-46.692315000000001</v>
      </c>
      <c r="L1760" s="61" t="str">
        <f t="shared" si="28"/>
        <v>Cliente30-Cliente27</v>
      </c>
      <c r="M1760">
        <v>24.636185999999999</v>
      </c>
    </row>
    <row r="1761" spans="1:13" x14ac:dyDescent="0.25">
      <c r="A1761" s="15" t="s">
        <v>4300</v>
      </c>
      <c r="B1761" s="15" t="s">
        <v>4298</v>
      </c>
      <c r="C1761" s="54">
        <v>13.128363</v>
      </c>
      <c r="D1761" s="26">
        <v>2.7777777777777776E-2</v>
      </c>
      <c r="E1761" s="55">
        <v>-23.657522</v>
      </c>
      <c r="F1761" s="55">
        <v>-46.534104999999997</v>
      </c>
      <c r="G1761" s="55">
        <v>-23.659708999999999</v>
      </c>
      <c r="H1761" s="55">
        <v>-46.554853000000001</v>
      </c>
      <c r="I1761" s="55">
        <v>-23.680669999999999</v>
      </c>
      <c r="J1761" s="55">
        <v>-46.597602000000002</v>
      </c>
      <c r="L1761" s="61" t="str">
        <f t="shared" si="28"/>
        <v>Cliente30-Cliente28</v>
      </c>
      <c r="M1761">
        <v>13.128363</v>
      </c>
    </row>
    <row r="1762" spans="1:13" x14ac:dyDescent="0.25">
      <c r="A1762" s="15" t="s">
        <v>4300</v>
      </c>
      <c r="B1762" s="15" t="s">
        <v>4299</v>
      </c>
      <c r="C1762" s="52">
        <v>7.9131819999999999</v>
      </c>
      <c r="D1762" s="25">
        <v>1.5277777777777777E-2</v>
      </c>
      <c r="E1762" s="53">
        <v>-23.666246999999998</v>
      </c>
      <c r="F1762" s="53">
        <v>-46.521351000000003</v>
      </c>
      <c r="G1762" s="53">
        <v>-23.660249</v>
      </c>
      <c r="H1762" s="53">
        <v>-46.541727999999999</v>
      </c>
      <c r="I1762" s="53">
        <v>-23.659952000000001</v>
      </c>
      <c r="J1762" s="53">
        <v>-46.555912999999997</v>
      </c>
      <c r="L1762" s="61" t="str">
        <f t="shared" si="28"/>
        <v>Cliente30-Cliente29</v>
      </c>
      <c r="M1762">
        <v>7.9131819999999999</v>
      </c>
    </row>
    <row r="1763" spans="1:13" x14ac:dyDescent="0.25">
      <c r="A1763" s="15" t="s">
        <v>4300</v>
      </c>
      <c r="B1763" s="15" t="s">
        <v>4300</v>
      </c>
      <c r="C1763" s="54">
        <v>0</v>
      </c>
      <c r="D1763" s="26">
        <v>0</v>
      </c>
      <c r="E1763" s="55">
        <f>'1. Locais'!D34</f>
        <v>-23.662890000000001</v>
      </c>
      <c r="F1763" s="55">
        <f>'1. Locais'!E34</f>
        <v>-46.482230000000001</v>
      </c>
      <c r="G1763" s="55">
        <f>'1. Locais'!D34</f>
        <v>-23.662890000000001</v>
      </c>
      <c r="H1763" s="55">
        <f>'1. Locais'!E34</f>
        <v>-46.482230000000001</v>
      </c>
      <c r="I1763" s="55">
        <f>'1. Locais'!D34</f>
        <v>-23.662890000000001</v>
      </c>
      <c r="J1763" s="55">
        <f>'1. Locais'!E34</f>
        <v>-46.482230000000001</v>
      </c>
      <c r="L1763" s="61" t="str">
        <f t="shared" si="28"/>
        <v>Cliente30-Cliente30</v>
      </c>
      <c r="M1763">
        <v>0</v>
      </c>
    </row>
    <row r="1764" spans="1:13" x14ac:dyDescent="0.25">
      <c r="A1764" s="15" t="s">
        <v>4300</v>
      </c>
      <c r="B1764" s="15" t="s">
        <v>4301</v>
      </c>
      <c r="C1764" s="52">
        <v>29.883057999999998</v>
      </c>
      <c r="D1764" s="25">
        <v>4.9305555555555554E-2</v>
      </c>
      <c r="E1764" s="53">
        <v>-23.611723000000001</v>
      </c>
      <c r="F1764" s="53">
        <v>-46.557763999999999</v>
      </c>
      <c r="G1764" s="53">
        <v>-23.535057999999999</v>
      </c>
      <c r="H1764" s="53">
        <v>-46.625216999999999</v>
      </c>
      <c r="I1764" s="53">
        <v>-23.524422999999999</v>
      </c>
      <c r="J1764" s="53">
        <v>-46.751249999999999</v>
      </c>
      <c r="L1764" s="61" t="str">
        <f t="shared" si="28"/>
        <v>Cliente30-Cliente31</v>
      </c>
      <c r="M1764">
        <v>29.883057999999998</v>
      </c>
    </row>
    <row r="1765" spans="1:13" x14ac:dyDescent="0.25">
      <c r="A1765" s="15" t="s">
        <v>4300</v>
      </c>
      <c r="B1765" s="15" t="s">
        <v>4302</v>
      </c>
      <c r="C1765" s="54">
        <v>24.91394</v>
      </c>
      <c r="D1765" s="26">
        <v>4.2361111111111106E-2</v>
      </c>
      <c r="E1765" s="55">
        <v>-23.609919999999999</v>
      </c>
      <c r="F1765" s="55">
        <v>-46.545127999999998</v>
      </c>
      <c r="G1765" s="55">
        <v>-23.567961</v>
      </c>
      <c r="H1765" s="55">
        <v>-46.608752000000003</v>
      </c>
      <c r="I1765" s="55">
        <v>-23.51305</v>
      </c>
      <c r="J1765" s="55">
        <v>-46.678190999999998</v>
      </c>
      <c r="L1765" s="61" t="str">
        <f t="shared" si="28"/>
        <v>Cliente30-Cliente32</v>
      </c>
      <c r="M1765">
        <v>24.91394</v>
      </c>
    </row>
    <row r="1766" spans="1:13" x14ac:dyDescent="0.25">
      <c r="A1766" s="15" t="s">
        <v>4300</v>
      </c>
      <c r="B1766" s="15" t="s">
        <v>4303</v>
      </c>
      <c r="C1766" s="52">
        <v>21.274560000000001</v>
      </c>
      <c r="D1766" s="25">
        <v>3.6805555555555557E-2</v>
      </c>
      <c r="E1766" s="53">
        <v>-23.619213999999999</v>
      </c>
      <c r="F1766" s="53">
        <v>-46.478116</v>
      </c>
      <c r="G1766" s="53">
        <v>-23.578621999999999</v>
      </c>
      <c r="H1766" s="53">
        <v>-46.494976999999999</v>
      </c>
      <c r="I1766" s="53">
        <v>-23.522061000000001</v>
      </c>
      <c r="J1766" s="53">
        <v>-46.558767000000003</v>
      </c>
      <c r="L1766" s="61" t="str">
        <f t="shared" si="28"/>
        <v>Cliente30-Cliente33</v>
      </c>
      <c r="M1766">
        <v>21.274560000000001</v>
      </c>
    </row>
    <row r="1767" spans="1:13" x14ac:dyDescent="0.25">
      <c r="A1767" s="15" t="s">
        <v>4300</v>
      </c>
      <c r="B1767" s="15" t="s">
        <v>4304</v>
      </c>
      <c r="C1767" s="54">
        <v>34.590578000000001</v>
      </c>
      <c r="D1767" s="26">
        <v>5.4166666666666669E-2</v>
      </c>
      <c r="E1767" s="55">
        <v>-23.597308000000002</v>
      </c>
      <c r="F1767" s="55">
        <v>-46.580736999999999</v>
      </c>
      <c r="G1767" s="55">
        <v>-23.515984</v>
      </c>
      <c r="H1767" s="55">
        <v>-46.656632000000002</v>
      </c>
      <c r="I1767" s="55">
        <v>-23.505832000000002</v>
      </c>
      <c r="J1767" s="55">
        <v>-46.832042000000001</v>
      </c>
      <c r="L1767" s="61" t="str">
        <f t="shared" si="28"/>
        <v>Cliente30-Cliente34</v>
      </c>
      <c r="M1767">
        <v>34.590578000000001</v>
      </c>
    </row>
    <row r="1768" spans="1:13" x14ac:dyDescent="0.25">
      <c r="A1768" s="15" t="s">
        <v>4300</v>
      </c>
      <c r="B1768" s="15" t="s">
        <v>4305</v>
      </c>
      <c r="C1768" s="52">
        <v>35.186473999999997</v>
      </c>
      <c r="D1768" s="25">
        <v>5.347222222222222E-2</v>
      </c>
      <c r="E1768" s="53">
        <v>-23.600404999999999</v>
      </c>
      <c r="F1768" s="53">
        <v>-46.576892000000001</v>
      </c>
      <c r="G1768" s="53">
        <v>-23.517734999999998</v>
      </c>
      <c r="H1768" s="53">
        <v>-46.641914</v>
      </c>
      <c r="I1768" s="53">
        <v>-23.509923000000001</v>
      </c>
      <c r="J1768" s="53">
        <v>-46.811323000000002</v>
      </c>
      <c r="L1768" s="61" t="str">
        <f t="shared" si="28"/>
        <v>Cliente30-Cliente35</v>
      </c>
      <c r="M1768">
        <v>35.186473999999997</v>
      </c>
    </row>
    <row r="1769" spans="1:13" x14ac:dyDescent="0.25">
      <c r="A1769" s="15" t="s">
        <v>4300</v>
      </c>
      <c r="B1769" s="15" t="s">
        <v>4306</v>
      </c>
      <c r="C1769" s="54">
        <v>159.47407000000001</v>
      </c>
      <c r="D1769" s="26">
        <v>0.14791666666666667</v>
      </c>
      <c r="E1769" s="55">
        <v>-23.508161000000001</v>
      </c>
      <c r="F1769" s="55">
        <v>-46.708806000000003</v>
      </c>
      <c r="G1769" s="55">
        <v>-23.094947000000001</v>
      </c>
      <c r="H1769" s="55">
        <v>-47.016382</v>
      </c>
      <c r="I1769" s="55">
        <v>-22.556640999999999</v>
      </c>
      <c r="J1769" s="55">
        <v>-47.368212</v>
      </c>
      <c r="L1769" s="61" t="str">
        <f t="shared" si="28"/>
        <v>Cliente30-Cliente36</v>
      </c>
      <c r="M1769">
        <v>159.47407000000001</v>
      </c>
    </row>
    <row r="1770" spans="1:13" x14ac:dyDescent="0.25">
      <c r="A1770" s="15" t="s">
        <v>4300</v>
      </c>
      <c r="B1770" s="15" t="s">
        <v>4307</v>
      </c>
      <c r="C1770" s="52">
        <v>158.37734699999999</v>
      </c>
      <c r="D1770" s="25">
        <v>0.14722222222222223</v>
      </c>
      <c r="E1770" s="53">
        <v>-23.507849</v>
      </c>
      <c r="F1770" s="53">
        <v>-46.711339000000002</v>
      </c>
      <c r="G1770" s="53">
        <v>-23.083221999999999</v>
      </c>
      <c r="H1770" s="53">
        <v>-47.022857999999999</v>
      </c>
      <c r="I1770" s="53">
        <v>-22.505077</v>
      </c>
      <c r="J1770" s="53">
        <v>-47.399107999999998</v>
      </c>
      <c r="L1770" s="61" t="str">
        <f t="shared" si="28"/>
        <v>Cliente30-Cliente37</v>
      </c>
      <c r="M1770">
        <v>158.37734699999999</v>
      </c>
    </row>
    <row r="1771" spans="1:13" x14ac:dyDescent="0.25">
      <c r="A1771" s="15" t="s">
        <v>4300</v>
      </c>
      <c r="B1771" s="15" t="s">
        <v>4308</v>
      </c>
      <c r="C1771" s="54">
        <v>156.600843</v>
      </c>
      <c r="D1771" s="26">
        <v>0.14444444444444446</v>
      </c>
      <c r="E1771" s="55">
        <v>-23.507439000000002</v>
      </c>
      <c r="F1771" s="55">
        <v>-46.696139000000002</v>
      </c>
      <c r="G1771" s="55">
        <v>-23.114035000000001</v>
      </c>
      <c r="H1771" s="55">
        <v>-46.998390000000001</v>
      </c>
      <c r="I1771" s="55">
        <v>-22.5883</v>
      </c>
      <c r="J1771" s="55">
        <v>-47.367502000000002</v>
      </c>
      <c r="L1771" s="61" t="str">
        <f t="shared" si="28"/>
        <v>Cliente30-Cliente38</v>
      </c>
      <c r="M1771">
        <v>156.600843</v>
      </c>
    </row>
    <row r="1772" spans="1:13" x14ac:dyDescent="0.25">
      <c r="A1772" s="15" t="s">
        <v>4300</v>
      </c>
      <c r="B1772" s="15" t="s">
        <v>4309</v>
      </c>
      <c r="C1772" s="52">
        <v>93.017013000000006</v>
      </c>
      <c r="D1772" s="25">
        <v>8.2638888888888887E-2</v>
      </c>
      <c r="E1772" s="53">
        <v>-23.547865000000002</v>
      </c>
      <c r="F1772" s="53">
        <v>-46.339753999999999</v>
      </c>
      <c r="G1772" s="53">
        <v>-23.357136000000001</v>
      </c>
      <c r="H1772" s="53">
        <v>-46.115099000000001</v>
      </c>
      <c r="I1772" s="53">
        <v>-23.211048000000002</v>
      </c>
      <c r="J1772" s="53">
        <v>-45.744512</v>
      </c>
      <c r="L1772" s="61" t="str">
        <f t="shared" si="28"/>
        <v>Cliente30-Cliente39</v>
      </c>
      <c r="M1772">
        <v>93.017013000000006</v>
      </c>
    </row>
    <row r="1773" spans="1:13" x14ac:dyDescent="0.25">
      <c r="A1773" s="15" t="s">
        <v>4300</v>
      </c>
      <c r="B1773" s="15" t="s">
        <v>4310</v>
      </c>
      <c r="C1773" s="54">
        <v>94.578523000000004</v>
      </c>
      <c r="D1773" s="26">
        <v>8.6111111111111124E-2</v>
      </c>
      <c r="E1773" s="55">
        <v>-23.533512000000002</v>
      </c>
      <c r="F1773" s="55">
        <v>-46.331527000000001</v>
      </c>
      <c r="G1773" s="55">
        <v>-23.359487999999999</v>
      </c>
      <c r="H1773" s="55">
        <v>-46.1038</v>
      </c>
      <c r="I1773" s="55">
        <v>-23.179449000000002</v>
      </c>
      <c r="J1773" s="55">
        <v>-45.725306000000003</v>
      </c>
      <c r="L1773" s="61" t="str">
        <f t="shared" si="28"/>
        <v>Cliente30-Cliente40</v>
      </c>
      <c r="M1773">
        <v>94.578523000000004</v>
      </c>
    </row>
    <row r="1774" spans="1:13" x14ac:dyDescent="0.25">
      <c r="A1774" s="15" t="s">
        <v>4300</v>
      </c>
      <c r="B1774" s="15" t="s">
        <v>4311</v>
      </c>
      <c r="C1774" s="52">
        <v>82.222526000000002</v>
      </c>
      <c r="D1774" s="25">
        <v>7.7083333333333337E-2</v>
      </c>
      <c r="E1774" s="53">
        <v>-23.645645999999999</v>
      </c>
      <c r="F1774" s="53">
        <v>-46.392341999999999</v>
      </c>
      <c r="G1774" s="53">
        <v>-23.424336</v>
      </c>
      <c r="H1774" s="53">
        <v>-46.359054</v>
      </c>
      <c r="I1774" s="53">
        <v>-23.309477000000001</v>
      </c>
      <c r="J1774" s="53">
        <v>-46.059258999999997</v>
      </c>
      <c r="L1774" s="61" t="str">
        <f t="shared" si="28"/>
        <v>Cliente30-Cliente41</v>
      </c>
      <c r="M1774">
        <v>82.222526000000002</v>
      </c>
    </row>
    <row r="1775" spans="1:13" x14ac:dyDescent="0.25">
      <c r="A1775" s="15" t="s">
        <v>4300</v>
      </c>
      <c r="B1775" s="15" t="s">
        <v>4312</v>
      </c>
      <c r="C1775" s="54">
        <v>78.934843000000001</v>
      </c>
      <c r="D1775" s="26">
        <v>6.9444444444444434E-2</v>
      </c>
      <c r="E1775" s="55">
        <v>-23.688732000000002</v>
      </c>
      <c r="F1775" s="55">
        <v>-46.405555999999997</v>
      </c>
      <c r="G1775" s="55">
        <v>-23.472206</v>
      </c>
      <c r="H1775" s="55">
        <v>-46.331046000000001</v>
      </c>
      <c r="I1775" s="55">
        <v>-23.356480999999999</v>
      </c>
      <c r="J1775" s="55">
        <v>-46.205931</v>
      </c>
      <c r="L1775" s="61" t="str">
        <f t="shared" si="28"/>
        <v>Cliente30-Cliente42</v>
      </c>
      <c r="M1775">
        <v>78.934843000000001</v>
      </c>
    </row>
    <row r="1776" spans="1:13" x14ac:dyDescent="0.25">
      <c r="A1776" s="15" t="s">
        <v>4300</v>
      </c>
      <c r="B1776" s="15" t="s">
        <v>4313</v>
      </c>
      <c r="C1776" s="52">
        <v>99.258702</v>
      </c>
      <c r="D1776" s="25">
        <v>8.819444444444445E-2</v>
      </c>
      <c r="E1776" s="53">
        <v>-23.516950000000001</v>
      </c>
      <c r="F1776" s="53">
        <v>-46.328375000000001</v>
      </c>
      <c r="G1776" s="53">
        <v>-23.352499000000002</v>
      </c>
      <c r="H1776" s="53">
        <v>-46.052016999999999</v>
      </c>
      <c r="I1776" s="53">
        <v>-23.136925999999999</v>
      </c>
      <c r="J1776" s="53">
        <v>-45.661433000000002</v>
      </c>
      <c r="L1776" s="61" t="str">
        <f t="shared" si="28"/>
        <v>Cliente30-Cliente43</v>
      </c>
      <c r="M1776">
        <v>99.258702</v>
      </c>
    </row>
    <row r="1777" spans="1:13" x14ac:dyDescent="0.25">
      <c r="A1777" s="15" t="s">
        <v>4300</v>
      </c>
      <c r="B1777" s="15" t="s">
        <v>4314</v>
      </c>
      <c r="C1777" s="54">
        <v>78.542135000000002</v>
      </c>
      <c r="D1777" s="26">
        <v>9.0277777777777776E-2</v>
      </c>
      <c r="E1777" s="55">
        <v>-23.575728999999999</v>
      </c>
      <c r="F1777" s="55">
        <v>-46.601528000000002</v>
      </c>
      <c r="G1777" s="55">
        <v>-23.524422999999999</v>
      </c>
      <c r="H1777" s="55">
        <v>-46.751249999999999</v>
      </c>
      <c r="I1777" s="55">
        <v>-23.419445</v>
      </c>
      <c r="J1777" s="55">
        <v>-47.198946999999997</v>
      </c>
      <c r="L1777" s="61" t="str">
        <f t="shared" si="28"/>
        <v>Cliente30-Cliente44</v>
      </c>
      <c r="M1777">
        <v>78.542135000000002</v>
      </c>
    </row>
    <row r="1778" spans="1:13" x14ac:dyDescent="0.25">
      <c r="A1778" s="15" t="s">
        <v>4300</v>
      </c>
      <c r="B1778" s="15" t="s">
        <v>4315</v>
      </c>
      <c r="C1778" s="52">
        <v>79.320093999999997</v>
      </c>
      <c r="D1778" s="25">
        <v>9.3055555555555558E-2</v>
      </c>
      <c r="E1778" s="53">
        <v>-23.559730999999999</v>
      </c>
      <c r="F1778" s="53">
        <v>-46.613669000000002</v>
      </c>
      <c r="G1778" s="53">
        <v>-23.506578000000001</v>
      </c>
      <c r="H1778" s="53">
        <v>-46.898555999999999</v>
      </c>
      <c r="I1778" s="53">
        <v>-23.401671</v>
      </c>
      <c r="J1778" s="53">
        <v>-47.337496000000002</v>
      </c>
      <c r="L1778" s="61" t="str">
        <f t="shared" si="28"/>
        <v>Cliente30-Cliente45</v>
      </c>
      <c r="M1778">
        <v>79.320093999999997</v>
      </c>
    </row>
    <row r="1779" spans="1:13" x14ac:dyDescent="0.25">
      <c r="A1779" s="15" t="s">
        <v>4300</v>
      </c>
      <c r="B1779" s="15" t="s">
        <v>4316</v>
      </c>
      <c r="C1779" s="54">
        <v>76.614637000000002</v>
      </c>
      <c r="D1779" s="26">
        <v>8.7500000000000008E-2</v>
      </c>
      <c r="E1779" s="55">
        <v>-23.577003999999999</v>
      </c>
      <c r="F1779" s="55">
        <v>-46.600637999999996</v>
      </c>
      <c r="G1779" s="55">
        <v>-23.523603000000001</v>
      </c>
      <c r="H1779" s="55">
        <v>-46.749713999999997</v>
      </c>
      <c r="I1779" s="55">
        <v>-23.423518000000001</v>
      </c>
      <c r="J1779" s="55">
        <v>-47.149676999999997</v>
      </c>
      <c r="L1779" s="61" t="str">
        <f t="shared" si="28"/>
        <v>Cliente30-Cliente46</v>
      </c>
      <c r="M1779">
        <v>76.614637000000002</v>
      </c>
    </row>
    <row r="1780" spans="1:13" x14ac:dyDescent="0.25">
      <c r="A1780" s="15" t="s">
        <v>4300</v>
      </c>
      <c r="B1780" s="15" t="s">
        <v>4317</v>
      </c>
      <c r="C1780" s="52">
        <v>205.93038100000001</v>
      </c>
      <c r="D1780" s="25">
        <v>0.18263888888888891</v>
      </c>
      <c r="E1780" s="53">
        <v>-23.506688</v>
      </c>
      <c r="F1780" s="53">
        <v>-46.721615999999997</v>
      </c>
      <c r="G1780" s="53">
        <v>-23.039894</v>
      </c>
      <c r="H1780" s="53">
        <v>-47.066622000000002</v>
      </c>
      <c r="I1780" s="53">
        <v>-22.398916</v>
      </c>
      <c r="J1780" s="53">
        <v>-47.389670000000002</v>
      </c>
      <c r="L1780" s="61" t="str">
        <f t="shared" si="28"/>
        <v>Cliente30-Cliente47</v>
      </c>
      <c r="M1780">
        <v>205.93038100000001</v>
      </c>
    </row>
    <row r="1781" spans="1:13" x14ac:dyDescent="0.25">
      <c r="A1781" s="15" t="s">
        <v>4300</v>
      </c>
      <c r="B1781" s="15" t="s">
        <v>4318</v>
      </c>
      <c r="C1781" s="54">
        <v>215.04157000000001</v>
      </c>
      <c r="D1781" s="26">
        <v>0.19097222222222221</v>
      </c>
      <c r="E1781" s="55">
        <v>-23.477478999999999</v>
      </c>
      <c r="F1781" s="55">
        <v>-46.740135000000002</v>
      </c>
      <c r="G1781" s="55">
        <v>-22.957063999999999</v>
      </c>
      <c r="H1781" s="55">
        <v>-47.125481000000001</v>
      </c>
      <c r="I1781" s="55">
        <v>-22.189637999999999</v>
      </c>
      <c r="J1781" s="55">
        <v>-47.397883999999998</v>
      </c>
      <c r="L1781" s="61" t="str">
        <f t="shared" si="28"/>
        <v>Cliente30-Cliente48</v>
      </c>
      <c r="M1781">
        <v>215.04157000000001</v>
      </c>
    </row>
    <row r="1782" spans="1:13" x14ac:dyDescent="0.25">
      <c r="A1782" s="15" t="s">
        <v>4300</v>
      </c>
      <c r="B1782" s="15" t="s">
        <v>4319</v>
      </c>
      <c r="C1782" s="52">
        <v>208.67933400000001</v>
      </c>
      <c r="D1782" s="25">
        <v>0.18680555555555556</v>
      </c>
      <c r="E1782" s="53">
        <v>-23.487676</v>
      </c>
      <c r="F1782" s="53">
        <v>-46.736913999999999</v>
      </c>
      <c r="G1782" s="53">
        <v>-22.992255</v>
      </c>
      <c r="H1782" s="53">
        <v>-47.110019000000001</v>
      </c>
      <c r="I1782" s="53">
        <v>-22.270962999999998</v>
      </c>
      <c r="J1782" s="53">
        <v>-47.391627999999997</v>
      </c>
      <c r="L1782" s="61" t="str">
        <f t="shared" si="28"/>
        <v>Cliente30-Cliente49</v>
      </c>
      <c r="M1782">
        <v>208.67933400000001</v>
      </c>
    </row>
    <row r="1783" spans="1:13" x14ac:dyDescent="0.25">
      <c r="A1783" s="15" t="s">
        <v>4300</v>
      </c>
      <c r="B1783" s="15" t="s">
        <v>4320</v>
      </c>
      <c r="C1783" s="54">
        <v>222.001566</v>
      </c>
      <c r="D1783" s="26">
        <v>0.19722222222222222</v>
      </c>
      <c r="E1783" s="55">
        <v>-23.510318999999999</v>
      </c>
      <c r="F1783" s="55">
        <v>-46.682270000000003</v>
      </c>
      <c r="G1783" s="55">
        <v>-23.413698</v>
      </c>
      <c r="H1783" s="55">
        <v>-47.271191000000002</v>
      </c>
      <c r="I1783" s="55">
        <v>-23.069741</v>
      </c>
      <c r="J1783" s="55">
        <v>-48.530915</v>
      </c>
      <c r="L1783" s="61" t="str">
        <f t="shared" si="28"/>
        <v>Cliente30-Cliente50</v>
      </c>
      <c r="M1783">
        <v>222.001566</v>
      </c>
    </row>
    <row r="1784" spans="1:13" x14ac:dyDescent="0.25">
      <c r="A1784" s="15" t="s">
        <v>4300</v>
      </c>
      <c r="B1784" s="15" t="s">
        <v>4321</v>
      </c>
      <c r="C1784" s="52">
        <v>218.53368499999999</v>
      </c>
      <c r="D1784" s="25">
        <v>0.19444444444444445</v>
      </c>
      <c r="E1784" s="53">
        <v>-23.515984</v>
      </c>
      <c r="F1784" s="53">
        <v>-46.656632000000002</v>
      </c>
      <c r="G1784" s="53">
        <v>-23.422993000000002</v>
      </c>
      <c r="H1784" s="53">
        <v>-47.242744999999999</v>
      </c>
      <c r="I1784" s="53">
        <v>-23.091407</v>
      </c>
      <c r="J1784" s="53">
        <v>-48.505184999999997</v>
      </c>
      <c r="L1784" s="61" t="str">
        <f t="shared" si="28"/>
        <v>Cliente30-Cliente51</v>
      </c>
      <c r="M1784">
        <v>218.53368499999999</v>
      </c>
    </row>
    <row r="1785" spans="1:13" x14ac:dyDescent="0.25">
      <c r="A1785" s="15" t="s">
        <v>4301</v>
      </c>
      <c r="B1785" s="15" t="s">
        <v>4268</v>
      </c>
      <c r="C1785" s="54">
        <v>53.018006999999997</v>
      </c>
      <c r="D1785" s="26">
        <v>4.9305555555555554E-2</v>
      </c>
      <c r="E1785" s="55">
        <v>-23.516551</v>
      </c>
      <c r="F1785" s="55">
        <v>-46.788580000000003</v>
      </c>
      <c r="G1785" s="55">
        <v>-23.462050000000001</v>
      </c>
      <c r="H1785" s="55">
        <v>-47.03886</v>
      </c>
      <c r="I1785" s="55">
        <v>-23.414155000000001</v>
      </c>
      <c r="J1785" s="55">
        <v>-47.269866</v>
      </c>
      <c r="L1785" s="61" t="str">
        <f t="shared" si="28"/>
        <v>Cliente31-depósito A</v>
      </c>
      <c r="M1785">
        <v>53.018006999999997</v>
      </c>
    </row>
    <row r="1786" spans="1:13" x14ac:dyDescent="0.25">
      <c r="A1786" s="15" t="s">
        <v>4301</v>
      </c>
      <c r="B1786" s="15" t="s">
        <v>4269</v>
      </c>
      <c r="C1786" s="52">
        <v>169.55957100000001</v>
      </c>
      <c r="D1786" s="25">
        <v>0.14652777777777778</v>
      </c>
      <c r="E1786" s="53">
        <v>-23.421851</v>
      </c>
      <c r="F1786" s="53">
        <v>-46.761364999999998</v>
      </c>
      <c r="G1786" s="53">
        <v>-23.007109</v>
      </c>
      <c r="H1786" s="53">
        <v>-47.094681000000001</v>
      </c>
      <c r="I1786" s="53">
        <v>-22.502466999999999</v>
      </c>
      <c r="J1786" s="53">
        <v>-47.398080999999998</v>
      </c>
      <c r="L1786" s="61" t="str">
        <f t="shared" si="28"/>
        <v>Cliente31-depósito B</v>
      </c>
      <c r="M1786">
        <v>169.55957100000001</v>
      </c>
    </row>
    <row r="1787" spans="1:13" x14ac:dyDescent="0.25">
      <c r="A1787" s="15" t="s">
        <v>4301</v>
      </c>
      <c r="B1787" s="15" t="s">
        <v>4270</v>
      </c>
      <c r="C1787" s="54">
        <v>60.365119</v>
      </c>
      <c r="D1787" s="26">
        <v>6.25E-2</v>
      </c>
      <c r="E1787" s="55">
        <v>-23.527127</v>
      </c>
      <c r="F1787" s="55">
        <v>-46.748717999999997</v>
      </c>
      <c r="G1787" s="55">
        <v>-23.529776999999999</v>
      </c>
      <c r="H1787" s="55">
        <v>-46.591180000000001</v>
      </c>
      <c r="I1787" s="55">
        <v>-23.357372999999999</v>
      </c>
      <c r="J1787" s="55">
        <v>-46.208469999999998</v>
      </c>
      <c r="L1787" s="61" t="str">
        <f t="shared" si="28"/>
        <v>Cliente31-depósito C</v>
      </c>
      <c r="M1787">
        <v>60.365119</v>
      </c>
    </row>
    <row r="1788" spans="1:13" x14ac:dyDescent="0.25">
      <c r="A1788" s="15" t="s">
        <v>4301</v>
      </c>
      <c r="B1788" s="15" t="s">
        <v>4271</v>
      </c>
      <c r="C1788" s="52">
        <v>58.185963999999998</v>
      </c>
      <c r="D1788" s="25">
        <v>5.5555555555555552E-2</v>
      </c>
      <c r="E1788" s="53">
        <v>-23.518488000000001</v>
      </c>
      <c r="F1788" s="53">
        <v>-46.734195999999997</v>
      </c>
      <c r="G1788" s="53">
        <v>-23.334250000000001</v>
      </c>
      <c r="H1788" s="53">
        <v>-46.822795999999997</v>
      </c>
      <c r="I1788" s="53">
        <v>-23.096508</v>
      </c>
      <c r="J1788" s="53">
        <v>-47.015532</v>
      </c>
      <c r="L1788" s="61" t="str">
        <f t="shared" si="28"/>
        <v>Cliente31-Cliente1</v>
      </c>
      <c r="M1788">
        <v>58.185963999999998</v>
      </c>
    </row>
    <row r="1789" spans="1:13" x14ac:dyDescent="0.25">
      <c r="A1789" s="15" t="s">
        <v>4301</v>
      </c>
      <c r="B1789" s="15" t="s">
        <v>4272</v>
      </c>
      <c r="C1789" s="54">
        <v>61.953969000000001</v>
      </c>
      <c r="D1789" s="26">
        <v>6.1111111111111116E-2</v>
      </c>
      <c r="E1789" s="55">
        <v>-23.513649000000001</v>
      </c>
      <c r="F1789" s="55">
        <v>-46.723126000000001</v>
      </c>
      <c r="G1789" s="55">
        <v>-23.302479999999999</v>
      </c>
      <c r="H1789" s="55">
        <v>-46.840218</v>
      </c>
      <c r="I1789" s="55">
        <v>-23.024046999999999</v>
      </c>
      <c r="J1789" s="55">
        <v>-47.075871999999997</v>
      </c>
      <c r="L1789" s="61" t="str">
        <f t="shared" si="28"/>
        <v>Cliente31-Cliente2</v>
      </c>
      <c r="M1789">
        <v>61.953969000000001</v>
      </c>
    </row>
    <row r="1790" spans="1:13" x14ac:dyDescent="0.25">
      <c r="A1790" s="15" t="s">
        <v>4301</v>
      </c>
      <c r="B1790" s="15" t="s">
        <v>4273</v>
      </c>
      <c r="C1790" s="52">
        <v>59.933264999999999</v>
      </c>
      <c r="D1790" s="25">
        <v>5.8333333333333327E-2</v>
      </c>
      <c r="E1790" s="53">
        <v>-23.517883999999999</v>
      </c>
      <c r="F1790" s="53">
        <v>-46.730868000000001</v>
      </c>
      <c r="G1790" s="53">
        <v>-23.314222000000001</v>
      </c>
      <c r="H1790" s="53">
        <v>-46.824288000000003</v>
      </c>
      <c r="I1790" s="53">
        <v>-23.070899000000001</v>
      </c>
      <c r="J1790" s="53">
        <v>-47.030242000000001</v>
      </c>
      <c r="L1790" s="61" t="str">
        <f t="shared" si="28"/>
        <v>Cliente31-Cliente3</v>
      </c>
      <c r="M1790">
        <v>59.933264999999999</v>
      </c>
    </row>
    <row r="1791" spans="1:13" x14ac:dyDescent="0.25">
      <c r="A1791" s="15" t="s">
        <v>4301</v>
      </c>
      <c r="B1791" s="15" t="s">
        <v>4274</v>
      </c>
      <c r="C1791" s="54">
        <v>70.090222999999995</v>
      </c>
      <c r="D1791" s="26">
        <v>6.5277777777777782E-2</v>
      </c>
      <c r="E1791" s="55">
        <v>-23.509481999999998</v>
      </c>
      <c r="F1791" s="55">
        <v>-46.720061999999999</v>
      </c>
      <c r="G1791" s="55">
        <v>-23.281606</v>
      </c>
      <c r="H1791" s="55">
        <v>-46.848067</v>
      </c>
      <c r="I1791" s="55">
        <v>-23.008144000000001</v>
      </c>
      <c r="J1791" s="55">
        <v>-47.084125999999998</v>
      </c>
      <c r="L1791" s="61" t="str">
        <f t="shared" si="28"/>
        <v>Cliente31-Cliente4</v>
      </c>
      <c r="M1791">
        <v>70.090222999999995</v>
      </c>
    </row>
    <row r="1792" spans="1:13" x14ac:dyDescent="0.25">
      <c r="A1792" s="15" t="s">
        <v>4301</v>
      </c>
      <c r="B1792" s="15" t="s">
        <v>4275</v>
      </c>
      <c r="C1792" s="52">
        <v>70.183429000000004</v>
      </c>
      <c r="D1792" s="25">
        <v>6.5277777777777782E-2</v>
      </c>
      <c r="E1792" s="53">
        <v>-23.510093000000001</v>
      </c>
      <c r="F1792" s="53">
        <v>-46.720320000000001</v>
      </c>
      <c r="G1792" s="53">
        <v>-23.288824000000002</v>
      </c>
      <c r="H1792" s="53">
        <v>-46.847138000000001</v>
      </c>
      <c r="I1792" s="53">
        <v>-23.011783000000001</v>
      </c>
      <c r="J1792" s="53">
        <v>-47.084417000000002</v>
      </c>
      <c r="L1792" s="61" t="str">
        <f t="shared" si="28"/>
        <v>Cliente31-Cliente5</v>
      </c>
      <c r="M1792">
        <v>70.183429000000004</v>
      </c>
    </row>
    <row r="1793" spans="1:13" x14ac:dyDescent="0.25">
      <c r="A1793" s="15" t="s">
        <v>4301</v>
      </c>
      <c r="B1793" s="15" t="s">
        <v>4276</v>
      </c>
      <c r="C1793" s="54">
        <v>52.558813000000001</v>
      </c>
      <c r="D1793" s="26">
        <v>5.4166666666666669E-2</v>
      </c>
      <c r="E1793" s="55">
        <v>-23.518364999999999</v>
      </c>
      <c r="F1793" s="55">
        <v>-46.732612000000003</v>
      </c>
      <c r="G1793" s="55">
        <v>-23.326228</v>
      </c>
      <c r="H1793" s="55">
        <v>-46.823222000000001</v>
      </c>
      <c r="I1793" s="55">
        <v>-23.114462</v>
      </c>
      <c r="J1793" s="55">
        <v>-46.957011000000001</v>
      </c>
      <c r="L1793" s="61" t="str">
        <f t="shared" si="28"/>
        <v>Cliente31-Cliente6</v>
      </c>
      <c r="M1793">
        <v>52.558813000000001</v>
      </c>
    </row>
    <row r="1794" spans="1:13" x14ac:dyDescent="0.25">
      <c r="A1794" s="15" t="s">
        <v>4301</v>
      </c>
      <c r="B1794" s="15" t="s">
        <v>4277</v>
      </c>
      <c r="C1794" s="52">
        <v>57.276896000000001</v>
      </c>
      <c r="D1794" s="25">
        <v>5.486111111111111E-2</v>
      </c>
      <c r="E1794" s="53">
        <v>-23.519548</v>
      </c>
      <c r="F1794" s="53">
        <v>-46.745331</v>
      </c>
      <c r="G1794" s="53">
        <v>-23.350467999999999</v>
      </c>
      <c r="H1794" s="53">
        <v>-46.806269</v>
      </c>
      <c r="I1794" s="53">
        <v>-23.138171</v>
      </c>
      <c r="J1794" s="53">
        <v>-46.977221999999998</v>
      </c>
      <c r="L1794" s="61" t="str">
        <f t="shared" si="28"/>
        <v>Cliente31-Cliente7</v>
      </c>
      <c r="M1794">
        <v>57.276896000000001</v>
      </c>
    </row>
    <row r="1795" spans="1:13" x14ac:dyDescent="0.25">
      <c r="A1795" s="15" t="s">
        <v>4301</v>
      </c>
      <c r="B1795" s="15" t="s">
        <v>4278</v>
      </c>
      <c r="C1795" s="54">
        <v>66.306685000000002</v>
      </c>
      <c r="D1795" s="26">
        <v>6.25E-2</v>
      </c>
      <c r="E1795" s="55">
        <v>-23.508662999999999</v>
      </c>
      <c r="F1795" s="55">
        <v>-46.720061999999999</v>
      </c>
      <c r="G1795" s="55">
        <v>-23.278013000000001</v>
      </c>
      <c r="H1795" s="55">
        <v>-46.848697000000001</v>
      </c>
      <c r="I1795" s="55">
        <v>-23.003634999999999</v>
      </c>
      <c r="J1795" s="55">
        <v>-47.082053999999999</v>
      </c>
      <c r="L1795" s="61" t="str">
        <f t="shared" si="28"/>
        <v>Cliente31-Cliente8</v>
      </c>
      <c r="M1795">
        <v>66.306685000000002</v>
      </c>
    </row>
    <row r="1796" spans="1:13" x14ac:dyDescent="0.25">
      <c r="A1796" s="15" t="s">
        <v>4301</v>
      </c>
      <c r="B1796" s="15" t="s">
        <v>4279</v>
      </c>
      <c r="C1796" s="52">
        <v>77.030957000000001</v>
      </c>
      <c r="D1796" s="25">
        <v>7.3611111111111113E-2</v>
      </c>
      <c r="E1796" s="53">
        <v>-23.456198000000001</v>
      </c>
      <c r="F1796" s="53">
        <v>-46.791704000000003</v>
      </c>
      <c r="G1796" s="53">
        <v>-23.267243000000001</v>
      </c>
      <c r="H1796" s="53">
        <v>-46.858772999999999</v>
      </c>
      <c r="I1796" s="53">
        <v>-22.967222</v>
      </c>
      <c r="J1796" s="53">
        <v>-47.118684999999999</v>
      </c>
      <c r="L1796" s="61" t="str">
        <f t="shared" si="28"/>
        <v>Cliente31-Cliente9</v>
      </c>
      <c r="M1796">
        <v>77.030957000000001</v>
      </c>
    </row>
    <row r="1797" spans="1:13" x14ac:dyDescent="0.25">
      <c r="A1797" s="15" t="s">
        <v>4301</v>
      </c>
      <c r="B1797" s="15" t="s">
        <v>4280</v>
      </c>
      <c r="C1797" s="54">
        <v>14.127530999999999</v>
      </c>
      <c r="D1797" s="26">
        <v>2.7777777777777776E-2</v>
      </c>
      <c r="E1797" s="55">
        <v>-23.530429999999999</v>
      </c>
      <c r="F1797" s="55">
        <v>-46.790407999999999</v>
      </c>
      <c r="G1797" s="55">
        <v>-23.522352999999999</v>
      </c>
      <c r="H1797" s="55">
        <v>-46.747016000000002</v>
      </c>
      <c r="I1797" s="55">
        <v>-23.498142999999999</v>
      </c>
      <c r="J1797" s="55">
        <v>-46.684795000000001</v>
      </c>
      <c r="L1797" s="61" t="str">
        <f t="shared" si="28"/>
        <v>Cliente31-Cliente10</v>
      </c>
      <c r="M1797">
        <v>14.127530999999999</v>
      </c>
    </row>
    <row r="1798" spans="1:13" x14ac:dyDescent="0.25">
      <c r="A1798" s="15" t="s">
        <v>4301</v>
      </c>
      <c r="B1798" s="15" t="s">
        <v>4281</v>
      </c>
      <c r="C1798" s="52">
        <v>92.300569999999993</v>
      </c>
      <c r="D1798" s="25">
        <v>8.1944444444444445E-2</v>
      </c>
      <c r="E1798" s="53">
        <v>-23.507064</v>
      </c>
      <c r="F1798" s="53">
        <v>-46.900762</v>
      </c>
      <c r="G1798" s="53">
        <v>-23.418265999999999</v>
      </c>
      <c r="H1798" s="53">
        <v>-47.217167000000003</v>
      </c>
      <c r="I1798" s="53">
        <v>-23.085808</v>
      </c>
      <c r="J1798" s="53">
        <v>-47.399475000000002</v>
      </c>
      <c r="L1798" s="61" t="str">
        <f t="shared" si="28"/>
        <v>Cliente31-Cliente11</v>
      </c>
      <c r="M1798">
        <v>92.300569999999993</v>
      </c>
    </row>
    <row r="1799" spans="1:13" x14ac:dyDescent="0.25">
      <c r="A1799" s="15" t="s">
        <v>4301</v>
      </c>
      <c r="B1799" s="15" t="s">
        <v>4282</v>
      </c>
      <c r="C1799" s="54">
        <v>59.499546000000002</v>
      </c>
      <c r="D1799" s="26">
        <v>6.3194444444444442E-2</v>
      </c>
      <c r="E1799" s="55">
        <v>-23.521169</v>
      </c>
      <c r="F1799" s="55">
        <v>-46.746555999999998</v>
      </c>
      <c r="G1799" s="55">
        <v>-23.527336999999999</v>
      </c>
      <c r="H1799" s="55">
        <v>-46.588768000000002</v>
      </c>
      <c r="I1799" s="55">
        <v>-23.357372999999999</v>
      </c>
      <c r="J1799" s="55">
        <v>-46.208469999999998</v>
      </c>
      <c r="L1799" s="61" t="str">
        <f t="shared" si="28"/>
        <v>Cliente31-Cliente12</v>
      </c>
      <c r="M1799">
        <v>59.499546000000002</v>
      </c>
    </row>
    <row r="1800" spans="1:13" x14ac:dyDescent="0.25">
      <c r="A1800" s="15" t="s">
        <v>4301</v>
      </c>
      <c r="B1800" s="15" t="s">
        <v>4283</v>
      </c>
      <c r="C1800" s="52">
        <v>67.290317999999999</v>
      </c>
      <c r="D1800" s="25">
        <v>6.805555555555555E-2</v>
      </c>
      <c r="E1800" s="53">
        <v>-23.521169</v>
      </c>
      <c r="F1800" s="53">
        <v>-46.746555999999998</v>
      </c>
      <c r="G1800" s="53">
        <v>-23.467447</v>
      </c>
      <c r="H1800" s="53">
        <v>-46.505864000000003</v>
      </c>
      <c r="I1800" s="53">
        <v>-23.323340999999999</v>
      </c>
      <c r="J1800" s="53">
        <v>-46.119652000000002</v>
      </c>
      <c r="L1800" s="61" t="str">
        <f t="shared" si="28"/>
        <v>Cliente31-Cliente13</v>
      </c>
      <c r="M1800">
        <v>67.290317999999999</v>
      </c>
    </row>
    <row r="1801" spans="1:13" x14ac:dyDescent="0.25">
      <c r="A1801" s="15" t="s">
        <v>4301</v>
      </c>
      <c r="B1801" s="15" t="s">
        <v>4284</v>
      </c>
      <c r="C1801" s="54">
        <v>65.352878000000004</v>
      </c>
      <c r="D1801" s="26">
        <v>6.458333333333334E-2</v>
      </c>
      <c r="E1801" s="55">
        <v>-23.527311000000001</v>
      </c>
      <c r="F1801" s="55">
        <v>-46.749640999999997</v>
      </c>
      <c r="G1801" s="55">
        <v>-23.530258</v>
      </c>
      <c r="H1801" s="55">
        <v>-46.592292999999998</v>
      </c>
      <c r="I1801" s="55">
        <v>-23.359524</v>
      </c>
      <c r="J1801" s="55">
        <v>-46.217002999999998</v>
      </c>
      <c r="L1801" s="61" t="str">
        <f t="shared" si="28"/>
        <v>Cliente31-Cliente14</v>
      </c>
      <c r="M1801">
        <v>65.352878000000004</v>
      </c>
    </row>
    <row r="1802" spans="1:13" x14ac:dyDescent="0.25">
      <c r="A1802" s="15" t="s">
        <v>4301</v>
      </c>
      <c r="B1802" s="15" t="s">
        <v>4285</v>
      </c>
      <c r="C1802" s="52">
        <v>67.731492000000003</v>
      </c>
      <c r="D1802" s="25">
        <v>7.0833333333333331E-2</v>
      </c>
      <c r="E1802" s="53">
        <v>-23.521169</v>
      </c>
      <c r="F1802" s="53">
        <v>-46.746555999999998</v>
      </c>
      <c r="G1802" s="53">
        <v>-23.467447</v>
      </c>
      <c r="H1802" s="53">
        <v>-46.505864000000003</v>
      </c>
      <c r="I1802" s="53">
        <v>-23.323340999999999</v>
      </c>
      <c r="J1802" s="53">
        <v>-46.119652000000002</v>
      </c>
      <c r="L1802" s="61" t="str">
        <f t="shared" si="28"/>
        <v>Cliente31-Cliente15</v>
      </c>
      <c r="M1802">
        <v>67.731492000000003</v>
      </c>
    </row>
    <row r="1803" spans="1:13" x14ac:dyDescent="0.25">
      <c r="A1803" s="15" t="s">
        <v>4301</v>
      </c>
      <c r="B1803" s="15" t="s">
        <v>4286</v>
      </c>
      <c r="C1803" s="54">
        <v>66.662109999999998</v>
      </c>
      <c r="D1803" s="26">
        <v>6.9444444444444434E-2</v>
      </c>
      <c r="E1803" s="55">
        <v>-23.520249</v>
      </c>
      <c r="F1803" s="55">
        <v>-46.746011000000003</v>
      </c>
      <c r="G1803" s="55">
        <v>-23.461556999999999</v>
      </c>
      <c r="H1803" s="55">
        <v>-46.489685999999999</v>
      </c>
      <c r="I1803" s="55">
        <v>-23.32273</v>
      </c>
      <c r="J1803" s="55">
        <v>-46.118119999999998</v>
      </c>
      <c r="L1803" s="61" t="str">
        <f t="shared" si="28"/>
        <v>Cliente31-Cliente16</v>
      </c>
      <c r="M1803">
        <v>66.662109999999998</v>
      </c>
    </row>
    <row r="1804" spans="1:13" x14ac:dyDescent="0.25">
      <c r="A1804" s="15" t="s">
        <v>4301</v>
      </c>
      <c r="B1804" s="15" t="s">
        <v>4287</v>
      </c>
      <c r="C1804" s="52">
        <v>67.717821999999998</v>
      </c>
      <c r="D1804" s="25">
        <v>6.7361111111111108E-2</v>
      </c>
      <c r="E1804" s="53">
        <v>-23.521169</v>
      </c>
      <c r="F1804" s="53">
        <v>-46.746555999999998</v>
      </c>
      <c r="G1804" s="53">
        <v>-23.467447</v>
      </c>
      <c r="H1804" s="53">
        <v>-46.505864000000003</v>
      </c>
      <c r="I1804" s="53">
        <v>-23.323340999999999</v>
      </c>
      <c r="J1804" s="53">
        <v>-46.119652000000002</v>
      </c>
      <c r="L1804" s="61" t="str">
        <f t="shared" si="28"/>
        <v>Cliente31-Cliente17</v>
      </c>
      <c r="M1804">
        <v>67.717821999999998</v>
      </c>
    </row>
    <row r="1805" spans="1:13" x14ac:dyDescent="0.25">
      <c r="A1805" s="15" t="s">
        <v>4301</v>
      </c>
      <c r="B1805" s="15" t="s">
        <v>4288</v>
      </c>
      <c r="C1805" s="54">
        <v>74.335442</v>
      </c>
      <c r="D1805" s="26">
        <v>7.6388888888888895E-2</v>
      </c>
      <c r="E1805" s="55">
        <v>-23.522765</v>
      </c>
      <c r="F1805" s="55">
        <v>-46.772686</v>
      </c>
      <c r="G1805" s="55">
        <v>-23.524187000000001</v>
      </c>
      <c r="H1805" s="55">
        <v>-46.60219</v>
      </c>
      <c r="I1805" s="55">
        <v>-23.352412000000001</v>
      </c>
      <c r="J1805" s="55">
        <v>-46.200080999999997</v>
      </c>
      <c r="L1805" s="61" t="str">
        <f t="shared" si="28"/>
        <v>Cliente31-Cliente18</v>
      </c>
      <c r="M1805">
        <v>74.335442</v>
      </c>
    </row>
    <row r="1806" spans="1:13" x14ac:dyDescent="0.25">
      <c r="A1806" s="15" t="s">
        <v>4301</v>
      </c>
      <c r="B1806" s="15" t="s">
        <v>4289</v>
      </c>
      <c r="C1806" s="52">
        <v>10.907577</v>
      </c>
      <c r="D1806" s="25">
        <v>1.9444444444444445E-2</v>
      </c>
      <c r="E1806" s="53">
        <v>-23.537123000000001</v>
      </c>
      <c r="F1806" s="53">
        <v>-46.787712999999997</v>
      </c>
      <c r="G1806" s="53">
        <v>-23.522131999999999</v>
      </c>
      <c r="H1806" s="53">
        <v>-46.770584999999997</v>
      </c>
      <c r="I1806" s="53">
        <v>-23.518588000000001</v>
      </c>
      <c r="J1806" s="53">
        <v>-46.732408</v>
      </c>
      <c r="L1806" s="61" t="str">
        <f t="shared" si="28"/>
        <v>Cliente31-Cliente19</v>
      </c>
      <c r="M1806">
        <v>10.907577</v>
      </c>
    </row>
    <row r="1807" spans="1:13" x14ac:dyDescent="0.25">
      <c r="A1807" s="15" t="s">
        <v>4301</v>
      </c>
      <c r="B1807" s="15" t="s">
        <v>4290</v>
      </c>
      <c r="C1807" s="54">
        <v>7.4285110000000003</v>
      </c>
      <c r="D1807" s="26">
        <v>1.5277777777777777E-2</v>
      </c>
      <c r="E1807" s="55">
        <v>-23.544758999999999</v>
      </c>
      <c r="F1807" s="55">
        <v>-46.789361999999997</v>
      </c>
      <c r="G1807" s="55">
        <v>-23.523028</v>
      </c>
      <c r="H1807" s="55">
        <v>-46.789366000000001</v>
      </c>
      <c r="I1807" s="55">
        <v>-23.527350999999999</v>
      </c>
      <c r="J1807" s="55">
        <v>-46.751390999999998</v>
      </c>
      <c r="L1807" s="61" t="str">
        <f t="shared" si="28"/>
        <v>Cliente31-Cliente20</v>
      </c>
      <c r="M1807">
        <v>7.4285110000000003</v>
      </c>
    </row>
    <row r="1808" spans="1:13" x14ac:dyDescent="0.25">
      <c r="A1808" s="15" t="s">
        <v>4301</v>
      </c>
      <c r="B1808" s="15" t="s">
        <v>4291</v>
      </c>
      <c r="C1808" s="52">
        <v>7.9709690000000002</v>
      </c>
      <c r="D1808" s="25">
        <v>1.5972222222222224E-2</v>
      </c>
      <c r="E1808" s="53">
        <v>-23.543413999999999</v>
      </c>
      <c r="F1808" s="53">
        <v>-46.788167000000001</v>
      </c>
      <c r="G1808" s="53">
        <v>-23.523337000000001</v>
      </c>
      <c r="H1808" s="53">
        <v>-46.779617999999999</v>
      </c>
      <c r="I1808" s="53">
        <v>-23.521169</v>
      </c>
      <c r="J1808" s="53">
        <v>-46.746555999999998</v>
      </c>
      <c r="L1808" s="61" t="str">
        <f t="shared" si="28"/>
        <v>Cliente31-Cliente21</v>
      </c>
      <c r="M1808">
        <v>7.9709690000000002</v>
      </c>
    </row>
    <row r="1809" spans="1:13" x14ac:dyDescent="0.25">
      <c r="A1809" s="15" t="s">
        <v>4301</v>
      </c>
      <c r="B1809" s="15" t="s">
        <v>4292</v>
      </c>
      <c r="C1809" s="54">
        <v>9.2342200000000005</v>
      </c>
      <c r="D1809" s="26">
        <v>1.9444444444444445E-2</v>
      </c>
      <c r="E1809" s="55">
        <v>-23.533919999999998</v>
      </c>
      <c r="F1809" s="55">
        <v>-46.787230000000001</v>
      </c>
      <c r="G1809" s="55">
        <v>-23.522790000000001</v>
      </c>
      <c r="H1809" s="55">
        <v>-46.764685999999998</v>
      </c>
      <c r="I1809" s="55">
        <v>-23.529485000000001</v>
      </c>
      <c r="J1809" s="55">
        <v>-46.738638000000002</v>
      </c>
      <c r="L1809" s="61" t="str">
        <f t="shared" si="28"/>
        <v>Cliente31-Cliente22</v>
      </c>
      <c r="M1809">
        <v>9.2342200000000005</v>
      </c>
    </row>
    <row r="1810" spans="1:13" x14ac:dyDescent="0.25">
      <c r="A1810" s="15" t="s">
        <v>4301</v>
      </c>
      <c r="B1810" s="15" t="s">
        <v>4293</v>
      </c>
      <c r="C1810" s="52">
        <v>7.5801259999999999</v>
      </c>
      <c r="D1810" s="25">
        <v>1.8055555555555557E-2</v>
      </c>
      <c r="E1810" s="53">
        <v>-23.556954999999999</v>
      </c>
      <c r="F1810" s="53">
        <v>-46.784382999999998</v>
      </c>
      <c r="G1810" s="53">
        <v>-23.580307000000001</v>
      </c>
      <c r="H1810" s="53">
        <v>-46.779524000000002</v>
      </c>
      <c r="I1810" s="53">
        <v>-23.586421999999999</v>
      </c>
      <c r="J1810" s="53">
        <v>-46.758206999999999</v>
      </c>
      <c r="L1810" s="61" t="str">
        <f t="shared" ref="L1810:L1873" si="29">_xlfn.CONCAT(A1810,"-",B1810)</f>
        <v>Cliente31-Cliente23</v>
      </c>
      <c r="M1810">
        <v>7.5801259999999999</v>
      </c>
    </row>
    <row r="1811" spans="1:13" x14ac:dyDescent="0.25">
      <c r="A1811" s="15" t="s">
        <v>4301</v>
      </c>
      <c r="B1811" s="15" t="s">
        <v>4294</v>
      </c>
      <c r="C1811" s="54">
        <v>8.5594090000000005</v>
      </c>
      <c r="D1811" s="26">
        <v>2.0833333333333332E-2</v>
      </c>
      <c r="E1811" s="55">
        <v>-23.557167</v>
      </c>
      <c r="F1811" s="55">
        <v>-46.783825999999998</v>
      </c>
      <c r="G1811" s="55">
        <v>-23.579507</v>
      </c>
      <c r="H1811" s="55">
        <v>-46.782356</v>
      </c>
      <c r="I1811" s="55">
        <v>-23.586544</v>
      </c>
      <c r="J1811" s="55">
        <v>-46.749377000000003</v>
      </c>
      <c r="L1811" s="61" t="str">
        <f t="shared" si="29"/>
        <v>Cliente31-Cliente24</v>
      </c>
      <c r="M1811">
        <v>8.5594090000000005</v>
      </c>
    </row>
    <row r="1812" spans="1:13" x14ac:dyDescent="0.25">
      <c r="A1812" s="15" t="s">
        <v>4301</v>
      </c>
      <c r="B1812" s="15" t="s">
        <v>4295</v>
      </c>
      <c r="C1812" s="52">
        <v>15.224875000000001</v>
      </c>
      <c r="D1812" s="25">
        <v>2.4999999999999998E-2</v>
      </c>
      <c r="E1812" s="53">
        <v>-23.558057000000002</v>
      </c>
      <c r="F1812" s="53">
        <v>-46.809035999999999</v>
      </c>
      <c r="G1812" s="53">
        <v>-23.579194999999999</v>
      </c>
      <c r="H1812" s="53">
        <v>-46.809099000000003</v>
      </c>
      <c r="I1812" s="53">
        <v>-23.635572</v>
      </c>
      <c r="J1812" s="53">
        <v>-46.826034999999997</v>
      </c>
      <c r="L1812" s="61" t="str">
        <f t="shared" si="29"/>
        <v>Cliente31-Cliente25</v>
      </c>
      <c r="M1812">
        <v>15.224875000000001</v>
      </c>
    </row>
    <row r="1813" spans="1:13" x14ac:dyDescent="0.25">
      <c r="A1813" s="15" t="s">
        <v>4301</v>
      </c>
      <c r="B1813" s="15" t="s">
        <v>4296</v>
      </c>
      <c r="C1813" s="54">
        <v>4.5931870000000004</v>
      </c>
      <c r="D1813" s="26">
        <v>1.5277777777777777E-2</v>
      </c>
      <c r="E1813" s="55">
        <v>-23.561603000000002</v>
      </c>
      <c r="F1813" s="55">
        <v>-46.798937000000002</v>
      </c>
      <c r="G1813" s="55">
        <v>-23.572044000000002</v>
      </c>
      <c r="H1813" s="55">
        <v>-46.801648999999998</v>
      </c>
      <c r="I1813" s="55">
        <v>-23.586300999999999</v>
      </c>
      <c r="J1813" s="55">
        <v>-46.811833999999998</v>
      </c>
      <c r="L1813" s="61" t="str">
        <f t="shared" si="29"/>
        <v>Cliente31-Cliente26</v>
      </c>
      <c r="M1813">
        <v>4.5931870000000004</v>
      </c>
    </row>
    <row r="1814" spans="1:13" x14ac:dyDescent="0.25">
      <c r="A1814" s="15" t="s">
        <v>4301</v>
      </c>
      <c r="B1814" s="15" t="s">
        <v>4297</v>
      </c>
      <c r="C1814" s="52">
        <v>9.3591160000000002</v>
      </c>
      <c r="D1814" s="25">
        <v>2.1527777777777781E-2</v>
      </c>
      <c r="E1814" s="53">
        <v>-23.557269000000002</v>
      </c>
      <c r="F1814" s="53">
        <v>-46.782705999999997</v>
      </c>
      <c r="G1814" s="53">
        <v>-23.583168000000001</v>
      </c>
      <c r="H1814" s="53">
        <v>-46.783549000000001</v>
      </c>
      <c r="I1814" s="53">
        <v>-23.585046999999999</v>
      </c>
      <c r="J1814" s="53">
        <v>-46.745126999999997</v>
      </c>
      <c r="L1814" s="61" t="str">
        <f t="shared" si="29"/>
        <v>Cliente31-Cliente27</v>
      </c>
      <c r="M1814">
        <v>9.3591160000000002</v>
      </c>
    </row>
    <row r="1815" spans="1:13" x14ac:dyDescent="0.25">
      <c r="A1815" s="15" t="s">
        <v>4301</v>
      </c>
      <c r="B1815" s="15" t="s">
        <v>4298</v>
      </c>
      <c r="C1815" s="54">
        <v>18.441099999999999</v>
      </c>
      <c r="D1815" s="26">
        <v>3.125E-2</v>
      </c>
      <c r="E1815" s="55">
        <v>-23.527494000000001</v>
      </c>
      <c r="F1815" s="55">
        <v>-46.791421</v>
      </c>
      <c r="G1815" s="55">
        <v>-23.548421000000001</v>
      </c>
      <c r="H1815" s="55">
        <v>-46.732678999999997</v>
      </c>
      <c r="I1815" s="55">
        <v>-23.619817999999999</v>
      </c>
      <c r="J1815" s="55">
        <v>-46.701749999999997</v>
      </c>
      <c r="L1815" s="61" t="str">
        <f t="shared" si="29"/>
        <v>Cliente31-Cliente28</v>
      </c>
      <c r="M1815">
        <v>18.441099999999999</v>
      </c>
    </row>
    <row r="1816" spans="1:13" x14ac:dyDescent="0.25">
      <c r="A1816" s="15" t="s">
        <v>4301</v>
      </c>
      <c r="B1816" s="15" t="s">
        <v>4299</v>
      </c>
      <c r="C1816" s="52">
        <v>23.084619</v>
      </c>
      <c r="D1816" s="25">
        <v>3.7499999999999999E-2</v>
      </c>
      <c r="E1816" s="53">
        <v>-23.523216999999999</v>
      </c>
      <c r="F1816" s="53">
        <v>-46.780433000000002</v>
      </c>
      <c r="G1816" s="53">
        <v>-23.591173999999999</v>
      </c>
      <c r="H1816" s="53">
        <v>-46.694187999999997</v>
      </c>
      <c r="I1816" s="53">
        <v>-23.621547</v>
      </c>
      <c r="J1816" s="53">
        <v>-46.611463000000001</v>
      </c>
      <c r="L1816" s="61" t="str">
        <f t="shared" si="29"/>
        <v>Cliente31-Cliente29</v>
      </c>
      <c r="M1816">
        <v>23.084619</v>
      </c>
    </row>
    <row r="1817" spans="1:13" x14ac:dyDescent="0.25">
      <c r="A1817" s="15" t="s">
        <v>4301</v>
      </c>
      <c r="B1817" s="15" t="s">
        <v>4300</v>
      </c>
      <c r="C1817" s="54">
        <v>29.795444</v>
      </c>
      <c r="D1817" s="26">
        <v>5.0694444444444452E-2</v>
      </c>
      <c r="E1817" s="55">
        <v>-23.525659999999998</v>
      </c>
      <c r="F1817" s="55">
        <v>-46.755563000000002</v>
      </c>
      <c r="G1817" s="55">
        <v>-23.53424</v>
      </c>
      <c r="H1817" s="55">
        <v>-46.625444000000002</v>
      </c>
      <c r="I1817" s="55">
        <v>-23.612248000000001</v>
      </c>
      <c r="J1817" s="55">
        <v>-46.556984</v>
      </c>
      <c r="L1817" s="61" t="str">
        <f t="shared" si="29"/>
        <v>Cliente31-Cliente30</v>
      </c>
      <c r="M1817">
        <v>29.795444</v>
      </c>
    </row>
    <row r="1818" spans="1:13" x14ac:dyDescent="0.25">
      <c r="A1818" s="15" t="s">
        <v>4301</v>
      </c>
      <c r="B1818" s="15" t="s">
        <v>4301</v>
      </c>
      <c r="C1818" s="52">
        <v>0</v>
      </c>
      <c r="D1818" s="25">
        <v>0</v>
      </c>
      <c r="E1818" s="53">
        <f>'1. Locais'!D35</f>
        <v>-23.551639999999999</v>
      </c>
      <c r="F1818" s="53">
        <f>'1. Locais'!E35</f>
        <v>-46.79466</v>
      </c>
      <c r="G1818" s="53">
        <f>'1. Locais'!D35</f>
        <v>-23.551639999999999</v>
      </c>
      <c r="H1818" s="53">
        <f>'1. Locais'!E35</f>
        <v>-46.79466</v>
      </c>
      <c r="I1818" s="53">
        <f>'1. Locais'!D35</f>
        <v>-23.551639999999999</v>
      </c>
      <c r="J1818" s="53">
        <f>'1. Locais'!E35</f>
        <v>-46.79466</v>
      </c>
      <c r="L1818" s="61" t="str">
        <f t="shared" si="29"/>
        <v>Cliente31-Cliente31</v>
      </c>
      <c r="M1818">
        <v>0</v>
      </c>
    </row>
    <row r="1819" spans="1:13" x14ac:dyDescent="0.25">
      <c r="A1819" s="15" t="s">
        <v>4301</v>
      </c>
      <c r="B1819" s="15" t="s">
        <v>4302</v>
      </c>
      <c r="C1819" s="54">
        <v>9.8015340000000002</v>
      </c>
      <c r="D1819" s="26">
        <v>2.013888888888889E-2</v>
      </c>
      <c r="E1819" s="55">
        <v>-23.532163000000001</v>
      </c>
      <c r="F1819" s="55">
        <v>-46.788640000000001</v>
      </c>
      <c r="G1819" s="55">
        <v>-23.527144</v>
      </c>
      <c r="H1819" s="55">
        <v>-46.750833999999998</v>
      </c>
      <c r="I1819" s="55">
        <v>-23.50834</v>
      </c>
      <c r="J1819" s="55">
        <v>-46.733629999999998</v>
      </c>
      <c r="L1819" s="61" t="str">
        <f t="shared" si="29"/>
        <v>Cliente31-Cliente32</v>
      </c>
      <c r="M1819">
        <v>9.8015340000000002</v>
      </c>
    </row>
    <row r="1820" spans="1:13" x14ac:dyDescent="0.25">
      <c r="A1820" s="15" t="s">
        <v>4301</v>
      </c>
      <c r="B1820" s="15" t="s">
        <v>4303</v>
      </c>
      <c r="C1820" s="52">
        <v>23.814731999999999</v>
      </c>
      <c r="D1820" s="25">
        <v>3.4722222222222224E-2</v>
      </c>
      <c r="E1820" s="53">
        <v>-23.521881</v>
      </c>
      <c r="F1820" s="53">
        <v>-46.787875</v>
      </c>
      <c r="G1820" s="53">
        <v>-23.508590999999999</v>
      </c>
      <c r="H1820" s="53">
        <v>-46.71651</v>
      </c>
      <c r="I1820" s="53">
        <v>-23.503876000000002</v>
      </c>
      <c r="J1820" s="53">
        <v>-46.567068999999996</v>
      </c>
      <c r="L1820" s="61" t="str">
        <f t="shared" si="29"/>
        <v>Cliente31-Cliente33</v>
      </c>
      <c r="M1820">
        <v>23.814731999999999</v>
      </c>
    </row>
    <row r="1821" spans="1:13" x14ac:dyDescent="0.25">
      <c r="A1821" s="15" t="s">
        <v>4301</v>
      </c>
      <c r="B1821" s="15" t="s">
        <v>4304</v>
      </c>
      <c r="C1821" s="54">
        <v>10.73235</v>
      </c>
      <c r="D1821" s="26">
        <v>2.1527777777777781E-2</v>
      </c>
      <c r="E1821" s="55">
        <v>-23.531032</v>
      </c>
      <c r="F1821" s="55">
        <v>-46.790059999999997</v>
      </c>
      <c r="G1821" s="55">
        <v>-23.506067999999999</v>
      </c>
      <c r="H1821" s="55">
        <v>-46.831398999999998</v>
      </c>
      <c r="I1821" s="55">
        <v>-23.479474</v>
      </c>
      <c r="J1821" s="55">
        <v>-46.832123000000003</v>
      </c>
      <c r="L1821" s="61" t="str">
        <f t="shared" si="29"/>
        <v>Cliente31-Cliente34</v>
      </c>
      <c r="M1821">
        <v>10.73235</v>
      </c>
    </row>
    <row r="1822" spans="1:13" x14ac:dyDescent="0.25">
      <c r="A1822" s="15" t="s">
        <v>4301</v>
      </c>
      <c r="B1822" s="15" t="s">
        <v>4305</v>
      </c>
      <c r="C1822" s="52">
        <v>11.328246</v>
      </c>
      <c r="D1822" s="25">
        <v>2.0833333333333332E-2</v>
      </c>
      <c r="E1822" s="53">
        <v>-23.532163000000001</v>
      </c>
      <c r="F1822" s="53">
        <v>-46.788640000000001</v>
      </c>
      <c r="G1822" s="53">
        <v>-23.508016000000001</v>
      </c>
      <c r="H1822" s="53">
        <v>-46.825723000000004</v>
      </c>
      <c r="I1822" s="53">
        <v>-23.483879000000002</v>
      </c>
      <c r="J1822" s="53">
        <v>-46.858325000000001</v>
      </c>
      <c r="L1822" s="61" t="str">
        <f t="shared" si="29"/>
        <v>Cliente31-Cliente35</v>
      </c>
      <c r="M1822">
        <v>11.328246</v>
      </c>
    </row>
    <row r="1823" spans="1:13" x14ac:dyDescent="0.25">
      <c r="A1823" s="15" t="s">
        <v>4301</v>
      </c>
      <c r="B1823" s="15" t="s">
        <v>4306</v>
      </c>
      <c r="C1823" s="54">
        <v>146.49545800000001</v>
      </c>
      <c r="D1823" s="26">
        <v>0.13125000000000001</v>
      </c>
      <c r="E1823" s="55">
        <v>-23.424655000000001</v>
      </c>
      <c r="F1823" s="55">
        <v>-46.760683</v>
      </c>
      <c r="G1823" s="55">
        <v>-23.016698000000002</v>
      </c>
      <c r="H1823" s="55">
        <v>-47.082101000000002</v>
      </c>
      <c r="I1823" s="55">
        <v>-22.500194</v>
      </c>
      <c r="J1823" s="55">
        <v>-47.398474999999998</v>
      </c>
      <c r="L1823" s="61" t="str">
        <f t="shared" si="29"/>
        <v>Cliente31-Cliente36</v>
      </c>
      <c r="M1823">
        <v>146.49545800000001</v>
      </c>
    </row>
    <row r="1824" spans="1:13" x14ac:dyDescent="0.25">
      <c r="A1824" s="15" t="s">
        <v>4301</v>
      </c>
      <c r="B1824" s="15" t="s">
        <v>4307</v>
      </c>
      <c r="C1824" s="52">
        <v>145.39873499999999</v>
      </c>
      <c r="D1824" s="25">
        <v>0.12986111111111112</v>
      </c>
      <c r="E1824" s="53">
        <v>-23.421851</v>
      </c>
      <c r="F1824" s="53">
        <v>-46.761364999999998</v>
      </c>
      <c r="G1824" s="53">
        <v>-23.007109</v>
      </c>
      <c r="H1824" s="53">
        <v>-47.094681000000001</v>
      </c>
      <c r="I1824" s="53">
        <v>-22.502466999999999</v>
      </c>
      <c r="J1824" s="53">
        <v>-47.398080999999998</v>
      </c>
      <c r="L1824" s="61" t="str">
        <f t="shared" si="29"/>
        <v>Cliente31-Cliente37</v>
      </c>
      <c r="M1824">
        <v>145.39873499999999</v>
      </c>
    </row>
    <row r="1825" spans="1:13" x14ac:dyDescent="0.25">
      <c r="A1825" s="15" t="s">
        <v>4301</v>
      </c>
      <c r="B1825" s="15" t="s">
        <v>4308</v>
      </c>
      <c r="C1825" s="54">
        <v>143.62223</v>
      </c>
      <c r="D1825" s="26">
        <v>0.1277777777777778</v>
      </c>
      <c r="E1825" s="55">
        <v>-23.44144</v>
      </c>
      <c r="F1825" s="55">
        <v>-46.756554000000001</v>
      </c>
      <c r="G1825" s="55">
        <v>-23.038608</v>
      </c>
      <c r="H1825" s="55">
        <v>-47.068247</v>
      </c>
      <c r="I1825" s="55">
        <v>-22.515336000000001</v>
      </c>
      <c r="J1825" s="55">
        <v>-47.394720999999997</v>
      </c>
      <c r="L1825" s="61" t="str">
        <f t="shared" si="29"/>
        <v>Cliente31-Cliente38</v>
      </c>
      <c r="M1825">
        <v>143.62223</v>
      </c>
    </row>
    <row r="1826" spans="1:13" x14ac:dyDescent="0.25">
      <c r="A1826" s="15" t="s">
        <v>4301</v>
      </c>
      <c r="B1826" s="15" t="s">
        <v>4309</v>
      </c>
      <c r="C1826" s="52">
        <v>95.341569000000007</v>
      </c>
      <c r="D1826" s="25">
        <v>9.5833333333333326E-2</v>
      </c>
      <c r="E1826" s="53">
        <v>-23.523803999999998</v>
      </c>
      <c r="F1826" s="53">
        <v>-46.761498000000003</v>
      </c>
      <c r="G1826" s="53">
        <v>-23.461556999999999</v>
      </c>
      <c r="H1826" s="53">
        <v>-46.489685999999999</v>
      </c>
      <c r="I1826" s="53">
        <v>-23.312645</v>
      </c>
      <c r="J1826" s="53">
        <v>-46.064115999999999</v>
      </c>
      <c r="L1826" s="61" t="str">
        <f t="shared" si="29"/>
        <v>Cliente31-Cliente39</v>
      </c>
      <c r="M1826">
        <v>95.341569000000007</v>
      </c>
    </row>
    <row r="1827" spans="1:13" x14ac:dyDescent="0.25">
      <c r="A1827" s="15" t="s">
        <v>4301</v>
      </c>
      <c r="B1827" s="15" t="s">
        <v>4310</v>
      </c>
      <c r="C1827" s="54">
        <v>100.19697499999999</v>
      </c>
      <c r="D1827" s="26">
        <v>0.10416666666666667</v>
      </c>
      <c r="E1827" s="55">
        <v>-23.525036</v>
      </c>
      <c r="F1827" s="55">
        <v>-46.747280000000003</v>
      </c>
      <c r="G1827" s="55">
        <v>-23.402647000000002</v>
      </c>
      <c r="H1827" s="55">
        <v>-46.317950000000003</v>
      </c>
      <c r="I1827" s="55">
        <v>-23.197711000000002</v>
      </c>
      <c r="J1827" s="55">
        <v>-45.875824000000001</v>
      </c>
      <c r="L1827" s="61" t="str">
        <f t="shared" si="29"/>
        <v>Cliente31-Cliente40</v>
      </c>
      <c r="M1827">
        <v>100.19697499999999</v>
      </c>
    </row>
    <row r="1828" spans="1:13" x14ac:dyDescent="0.25">
      <c r="A1828" s="15" t="s">
        <v>4301</v>
      </c>
      <c r="B1828" s="15" t="s">
        <v>4311</v>
      </c>
      <c r="C1828" s="52">
        <v>86.380131000000006</v>
      </c>
      <c r="D1828" s="25">
        <v>9.0277777777777776E-2</v>
      </c>
      <c r="E1828" s="53">
        <v>-23.527144</v>
      </c>
      <c r="F1828" s="53">
        <v>-46.750833999999998</v>
      </c>
      <c r="G1828" s="53">
        <v>-23.412844</v>
      </c>
      <c r="H1828" s="53">
        <v>-46.359305999999997</v>
      </c>
      <c r="I1828" s="53">
        <v>-23.301521999999999</v>
      </c>
      <c r="J1828" s="53">
        <v>-46.022441000000001</v>
      </c>
      <c r="L1828" s="61" t="str">
        <f t="shared" si="29"/>
        <v>Cliente31-Cliente41</v>
      </c>
      <c r="M1828">
        <v>86.380131000000006</v>
      </c>
    </row>
    <row r="1829" spans="1:13" x14ac:dyDescent="0.25">
      <c r="A1829" s="15" t="s">
        <v>4301</v>
      </c>
      <c r="B1829" s="15" t="s">
        <v>4312</v>
      </c>
      <c r="C1829" s="54">
        <v>82.909143</v>
      </c>
      <c r="D1829" s="26">
        <v>8.2638888888888887E-2</v>
      </c>
      <c r="E1829" s="55">
        <v>-23.522475</v>
      </c>
      <c r="F1829" s="55">
        <v>-46.772447999999997</v>
      </c>
      <c r="G1829" s="55">
        <v>-23.529858999999998</v>
      </c>
      <c r="H1829" s="55">
        <v>-46.594628</v>
      </c>
      <c r="I1829" s="55">
        <v>-23.351735999999999</v>
      </c>
      <c r="J1829" s="55">
        <v>-46.189802999999998</v>
      </c>
      <c r="L1829" s="61" t="str">
        <f t="shared" si="29"/>
        <v>Cliente31-Cliente42</v>
      </c>
      <c r="M1829">
        <v>82.909143</v>
      </c>
    </row>
    <row r="1830" spans="1:13" x14ac:dyDescent="0.25">
      <c r="A1830" s="15" t="s">
        <v>4301</v>
      </c>
      <c r="B1830" s="15" t="s">
        <v>4313</v>
      </c>
      <c r="C1830" s="52">
        <v>105.231337</v>
      </c>
      <c r="D1830" s="25">
        <v>0.10416666666666667</v>
      </c>
      <c r="E1830" s="53">
        <v>-23.522677999999999</v>
      </c>
      <c r="F1830" s="53">
        <v>-46.747093999999997</v>
      </c>
      <c r="G1830" s="53">
        <v>-23.403002000000001</v>
      </c>
      <c r="H1830" s="53">
        <v>-46.327855</v>
      </c>
      <c r="I1830" s="53">
        <v>-23.242025000000002</v>
      </c>
      <c r="J1830" s="53">
        <v>-45.923810000000003</v>
      </c>
      <c r="L1830" s="61" t="str">
        <f t="shared" si="29"/>
        <v>Cliente31-Cliente43</v>
      </c>
      <c r="M1830">
        <v>105.231337</v>
      </c>
    </row>
    <row r="1831" spans="1:13" x14ac:dyDescent="0.25">
      <c r="A1831" s="15" t="s">
        <v>4301</v>
      </c>
      <c r="B1831" s="15" t="s">
        <v>4314</v>
      </c>
      <c r="C1831" s="54">
        <v>54.697578</v>
      </c>
      <c r="D1831" s="26">
        <v>5.8333333333333327E-2</v>
      </c>
      <c r="E1831" s="55">
        <v>-23.512871000000001</v>
      </c>
      <c r="F1831" s="55">
        <v>-46.797890000000002</v>
      </c>
      <c r="G1831" s="55">
        <v>-23.436285999999999</v>
      </c>
      <c r="H1831" s="55">
        <v>-47.076165000000003</v>
      </c>
      <c r="I1831" s="55">
        <v>-23.405766</v>
      </c>
      <c r="J1831" s="55">
        <v>-47.338599000000002</v>
      </c>
      <c r="L1831" s="61" t="str">
        <f t="shared" si="29"/>
        <v>Cliente31-Cliente44</v>
      </c>
      <c r="M1831">
        <v>54.697578</v>
      </c>
    </row>
    <row r="1832" spans="1:13" x14ac:dyDescent="0.25">
      <c r="A1832" s="15" t="s">
        <v>4301</v>
      </c>
      <c r="B1832" s="15" t="s">
        <v>4315</v>
      </c>
      <c r="C1832" s="52">
        <v>55.484236000000003</v>
      </c>
      <c r="D1832" s="25">
        <v>6.1111111111111116E-2</v>
      </c>
      <c r="E1832" s="53">
        <v>-23.504612000000002</v>
      </c>
      <c r="F1832" s="53">
        <v>-46.861635999999997</v>
      </c>
      <c r="G1832" s="53">
        <v>-23.428642</v>
      </c>
      <c r="H1832" s="53">
        <v>-47.139099000000002</v>
      </c>
      <c r="I1832" s="53">
        <v>-23.481904</v>
      </c>
      <c r="J1832" s="53">
        <v>-47.451154000000002</v>
      </c>
      <c r="L1832" s="61" t="str">
        <f t="shared" si="29"/>
        <v>Cliente31-Cliente45</v>
      </c>
      <c r="M1832">
        <v>55.484236000000003</v>
      </c>
    </row>
    <row r="1833" spans="1:13" x14ac:dyDescent="0.25">
      <c r="A1833" s="15" t="s">
        <v>4301</v>
      </c>
      <c r="B1833" s="15" t="s">
        <v>4316</v>
      </c>
      <c r="C1833" s="54">
        <v>52.778779</v>
      </c>
      <c r="D1833" s="26">
        <v>5.5555555555555552E-2</v>
      </c>
      <c r="E1833" s="55">
        <v>-23.514800999999999</v>
      </c>
      <c r="F1833" s="55">
        <v>-46.794089</v>
      </c>
      <c r="G1833" s="55">
        <v>-23.438979</v>
      </c>
      <c r="H1833" s="55">
        <v>-47.065905000000001</v>
      </c>
      <c r="I1833" s="55">
        <v>-23.399884</v>
      </c>
      <c r="J1833" s="55">
        <v>-47.333378000000003</v>
      </c>
      <c r="L1833" s="61" t="str">
        <f t="shared" si="29"/>
        <v>Cliente31-Cliente46</v>
      </c>
      <c r="M1833">
        <v>52.778779</v>
      </c>
    </row>
    <row r="1834" spans="1:13" x14ac:dyDescent="0.25">
      <c r="A1834" s="15" t="s">
        <v>4301</v>
      </c>
      <c r="B1834" s="15" t="s">
        <v>4317</v>
      </c>
      <c r="C1834" s="52">
        <v>192.95176900000001</v>
      </c>
      <c r="D1834" s="25">
        <v>0.16527777777777777</v>
      </c>
      <c r="E1834" s="53">
        <v>-23.390514</v>
      </c>
      <c r="F1834" s="53">
        <v>-46.768864000000001</v>
      </c>
      <c r="G1834" s="53">
        <v>-22.967222</v>
      </c>
      <c r="H1834" s="53">
        <v>-47.118684999999999</v>
      </c>
      <c r="I1834" s="53">
        <v>-22.349298999999998</v>
      </c>
      <c r="J1834" s="53">
        <v>-47.394371</v>
      </c>
      <c r="L1834" s="61" t="str">
        <f t="shared" si="29"/>
        <v>Cliente31-Cliente47</v>
      </c>
      <c r="M1834">
        <v>192.95176900000001</v>
      </c>
    </row>
    <row r="1835" spans="1:13" x14ac:dyDescent="0.25">
      <c r="A1835" s="15" t="s">
        <v>4301</v>
      </c>
      <c r="B1835" s="15" t="s">
        <v>4318</v>
      </c>
      <c r="C1835" s="54">
        <v>202.06295700000001</v>
      </c>
      <c r="D1835" s="26">
        <v>0.17361111111111113</v>
      </c>
      <c r="E1835" s="55">
        <v>-23.357894000000002</v>
      </c>
      <c r="F1835" s="55">
        <v>-46.786129000000003</v>
      </c>
      <c r="G1835" s="55">
        <v>-22.882422999999999</v>
      </c>
      <c r="H1835" s="55">
        <v>-47.130493999999999</v>
      </c>
      <c r="I1835" s="55">
        <v>-22.084499999999998</v>
      </c>
      <c r="J1835" s="55">
        <v>-47.420546999999999</v>
      </c>
      <c r="L1835" s="61" t="str">
        <f t="shared" si="29"/>
        <v>Cliente31-Cliente48</v>
      </c>
      <c r="M1835">
        <v>202.06295700000001</v>
      </c>
    </row>
    <row r="1836" spans="1:13" x14ac:dyDescent="0.25">
      <c r="A1836" s="15" t="s">
        <v>4301</v>
      </c>
      <c r="B1836" s="15" t="s">
        <v>4319</v>
      </c>
      <c r="C1836" s="52">
        <v>195.70072200000001</v>
      </c>
      <c r="D1836" s="25">
        <v>0.16944444444444443</v>
      </c>
      <c r="E1836" s="53">
        <v>-23.372620000000001</v>
      </c>
      <c r="F1836" s="53">
        <v>-46.778390000000002</v>
      </c>
      <c r="G1836" s="53">
        <v>-22.921012000000001</v>
      </c>
      <c r="H1836" s="53">
        <v>-47.132838</v>
      </c>
      <c r="I1836" s="53">
        <v>-22.228504999999998</v>
      </c>
      <c r="J1836" s="53">
        <v>-47.391308000000002</v>
      </c>
      <c r="L1836" s="61" t="str">
        <f t="shared" si="29"/>
        <v>Cliente31-Cliente49</v>
      </c>
      <c r="M1836">
        <v>195.70072200000001</v>
      </c>
    </row>
    <row r="1837" spans="1:13" x14ac:dyDescent="0.25">
      <c r="A1837" s="15" t="s">
        <v>4301</v>
      </c>
      <c r="B1837" s="15" t="s">
        <v>4320</v>
      </c>
      <c r="C1837" s="54">
        <v>198.26699099999999</v>
      </c>
      <c r="D1837" s="26">
        <v>0.17152777777777775</v>
      </c>
      <c r="E1837" s="55">
        <v>-23.504894</v>
      </c>
      <c r="F1837" s="55">
        <v>-46.881535999999997</v>
      </c>
      <c r="G1837" s="55">
        <v>-23.294509999999999</v>
      </c>
      <c r="H1837" s="55">
        <v>-47.689850999999997</v>
      </c>
      <c r="I1837" s="55">
        <v>-22.905965999999999</v>
      </c>
      <c r="J1837" s="55">
        <v>-48.453744999999998</v>
      </c>
      <c r="L1837" s="61" t="str">
        <f t="shared" si="29"/>
        <v>Cliente31-Cliente50</v>
      </c>
      <c r="M1837">
        <v>198.26699099999999</v>
      </c>
    </row>
    <row r="1838" spans="1:13" x14ac:dyDescent="0.25">
      <c r="A1838" s="15" t="s">
        <v>4301</v>
      </c>
      <c r="B1838" s="15" t="s">
        <v>4321</v>
      </c>
      <c r="C1838" s="52">
        <v>194.79911000000001</v>
      </c>
      <c r="D1838" s="25">
        <v>0.16874999999999998</v>
      </c>
      <c r="E1838" s="53">
        <v>-23.503413999999999</v>
      </c>
      <c r="F1838" s="53">
        <v>-46.879112999999997</v>
      </c>
      <c r="G1838" s="53">
        <v>-23.317426999999999</v>
      </c>
      <c r="H1838" s="53">
        <v>-47.635238999999999</v>
      </c>
      <c r="I1838" s="53">
        <v>-22.936039000000001</v>
      </c>
      <c r="J1838" s="53">
        <v>-48.474834999999999</v>
      </c>
      <c r="L1838" s="61" t="str">
        <f t="shared" si="29"/>
        <v>Cliente31-Cliente51</v>
      </c>
      <c r="M1838">
        <v>194.79911000000001</v>
      </c>
    </row>
    <row r="1839" spans="1:13" x14ac:dyDescent="0.25">
      <c r="A1839" s="15" t="s">
        <v>4302</v>
      </c>
      <c r="B1839" s="15" t="s">
        <v>4268</v>
      </c>
      <c r="C1839" s="54">
        <v>57.157592999999999</v>
      </c>
      <c r="D1839" s="26">
        <v>5.2777777777777778E-2</v>
      </c>
      <c r="E1839" s="55">
        <v>-23.516897</v>
      </c>
      <c r="F1839" s="55">
        <v>-46.74006</v>
      </c>
      <c r="G1839" s="55">
        <v>-23.472822000000001</v>
      </c>
      <c r="H1839" s="55">
        <v>-47.006312000000001</v>
      </c>
      <c r="I1839" s="55">
        <v>-23.414441</v>
      </c>
      <c r="J1839" s="55">
        <v>-47.260337999999997</v>
      </c>
      <c r="L1839" s="61" t="str">
        <f t="shared" si="29"/>
        <v>Cliente32-depósito A</v>
      </c>
      <c r="M1839">
        <v>57.157592999999999</v>
      </c>
    </row>
    <row r="1840" spans="1:13" x14ac:dyDescent="0.25">
      <c r="A1840" s="15" t="s">
        <v>4302</v>
      </c>
      <c r="B1840" s="15" t="s">
        <v>4269</v>
      </c>
      <c r="C1840" s="52">
        <v>165.29757499999999</v>
      </c>
      <c r="D1840" s="25">
        <v>0.13680555555555554</v>
      </c>
      <c r="E1840" s="53">
        <v>-23.334250000000001</v>
      </c>
      <c r="F1840" s="53">
        <v>-46.822795999999997</v>
      </c>
      <c r="G1840" s="53">
        <v>-22.924923</v>
      </c>
      <c r="H1840" s="53">
        <v>-47.130077</v>
      </c>
      <c r="I1840" s="53">
        <v>-22.459682000000001</v>
      </c>
      <c r="J1840" s="53">
        <v>-47.541854999999998</v>
      </c>
      <c r="L1840" s="61" t="str">
        <f t="shared" si="29"/>
        <v>Cliente32-depósito B</v>
      </c>
      <c r="M1840">
        <v>165.29757499999999</v>
      </c>
    </row>
    <row r="1841" spans="1:13" x14ac:dyDescent="0.25">
      <c r="A1841" s="15" t="s">
        <v>4302</v>
      </c>
      <c r="B1841" s="15" t="s">
        <v>4270</v>
      </c>
      <c r="C1841" s="54">
        <v>57.567076999999998</v>
      </c>
      <c r="D1841" s="26">
        <v>5.7638888888888885E-2</v>
      </c>
      <c r="E1841" s="55">
        <v>-23.514509</v>
      </c>
      <c r="F1841" s="55">
        <v>-46.725005000000003</v>
      </c>
      <c r="G1841" s="55">
        <v>-23.467447</v>
      </c>
      <c r="H1841" s="55">
        <v>-46.505864000000003</v>
      </c>
      <c r="I1841" s="55">
        <v>-23.351735999999999</v>
      </c>
      <c r="J1841" s="55">
        <v>-46.189802999999998</v>
      </c>
      <c r="L1841" s="61" t="str">
        <f t="shared" si="29"/>
        <v>Cliente32-depósito C</v>
      </c>
      <c r="M1841">
        <v>57.567076999999998</v>
      </c>
    </row>
    <row r="1842" spans="1:13" x14ac:dyDescent="0.25">
      <c r="A1842" s="15" t="s">
        <v>4302</v>
      </c>
      <c r="B1842" s="15" t="s">
        <v>4271</v>
      </c>
      <c r="C1842" s="52">
        <v>55.382952000000003</v>
      </c>
      <c r="D1842" s="25">
        <v>5.0694444444444452E-2</v>
      </c>
      <c r="E1842" s="53">
        <v>-23.495908</v>
      </c>
      <c r="F1842" s="53">
        <v>-46.730547000000001</v>
      </c>
      <c r="G1842" s="53">
        <v>-23.303117</v>
      </c>
      <c r="H1842" s="53">
        <v>-46.839846000000001</v>
      </c>
      <c r="I1842" s="53">
        <v>-23.071769</v>
      </c>
      <c r="J1842" s="53">
        <v>-47.029691999999997</v>
      </c>
      <c r="L1842" s="61" t="str">
        <f t="shared" si="29"/>
        <v>Cliente32-Cliente1</v>
      </c>
      <c r="M1842">
        <v>55.382952000000003</v>
      </c>
    </row>
    <row r="1843" spans="1:13" x14ac:dyDescent="0.25">
      <c r="A1843" s="15" t="s">
        <v>4302</v>
      </c>
      <c r="B1843" s="15" t="s">
        <v>4272</v>
      </c>
      <c r="C1843" s="54">
        <v>59.150956000000001</v>
      </c>
      <c r="D1843" s="26">
        <v>5.6944444444444443E-2</v>
      </c>
      <c r="E1843" s="55">
        <v>-23.480018000000001</v>
      </c>
      <c r="F1843" s="55">
        <v>-46.738311000000003</v>
      </c>
      <c r="G1843" s="55">
        <v>-23.273016999999999</v>
      </c>
      <c r="H1843" s="55">
        <v>-46.853833000000002</v>
      </c>
      <c r="I1843" s="55">
        <v>-23.005692</v>
      </c>
      <c r="J1843" s="55">
        <v>-47.096138000000003</v>
      </c>
      <c r="L1843" s="61" t="str">
        <f t="shared" si="29"/>
        <v>Cliente32-Cliente2</v>
      </c>
      <c r="M1843">
        <v>59.150956000000001</v>
      </c>
    </row>
    <row r="1844" spans="1:13" x14ac:dyDescent="0.25">
      <c r="A1844" s="15" t="s">
        <v>4302</v>
      </c>
      <c r="B1844" s="15" t="s">
        <v>4273</v>
      </c>
      <c r="C1844" s="52">
        <v>57.130251999999999</v>
      </c>
      <c r="D1844" s="25">
        <v>5.347222222222222E-2</v>
      </c>
      <c r="E1844" s="53">
        <v>-23.488368999999999</v>
      </c>
      <c r="F1844" s="53">
        <v>-46.736564000000001</v>
      </c>
      <c r="G1844" s="53">
        <v>-23.293343</v>
      </c>
      <c r="H1844" s="53">
        <v>-46.842875999999997</v>
      </c>
      <c r="I1844" s="53">
        <v>-23.043104</v>
      </c>
      <c r="J1844" s="53">
        <v>-47.060861000000003</v>
      </c>
      <c r="L1844" s="61" t="str">
        <f t="shared" si="29"/>
        <v>Cliente32-Cliente3</v>
      </c>
      <c r="M1844">
        <v>57.130251999999999</v>
      </c>
    </row>
    <row r="1845" spans="1:13" x14ac:dyDescent="0.25">
      <c r="A1845" s="15" t="s">
        <v>4302</v>
      </c>
      <c r="B1845" s="15" t="s">
        <v>4274</v>
      </c>
      <c r="C1845" s="54">
        <v>67.287210999999999</v>
      </c>
      <c r="D1845" s="26">
        <v>6.0416666666666667E-2</v>
      </c>
      <c r="E1845" s="55">
        <v>-23.474784</v>
      </c>
      <c r="F1845" s="55">
        <v>-46.745418999999998</v>
      </c>
      <c r="G1845" s="55">
        <v>-23.255519</v>
      </c>
      <c r="H1845" s="55">
        <v>-46.869655999999999</v>
      </c>
      <c r="I1845" s="55">
        <v>-22.990489</v>
      </c>
      <c r="J1845" s="55">
        <v>-47.066079999999999</v>
      </c>
      <c r="L1845" s="61" t="str">
        <f t="shared" si="29"/>
        <v>Cliente32-Cliente4</v>
      </c>
      <c r="M1845">
        <v>67.287210999999999</v>
      </c>
    </row>
    <row r="1846" spans="1:13" x14ac:dyDescent="0.25">
      <c r="A1846" s="15" t="s">
        <v>4302</v>
      </c>
      <c r="B1846" s="15" t="s">
        <v>4275</v>
      </c>
      <c r="C1846" s="52">
        <v>67.380416999999994</v>
      </c>
      <c r="D1846" s="25">
        <v>6.1111111111111116E-2</v>
      </c>
      <c r="E1846" s="53">
        <v>-23.476851</v>
      </c>
      <c r="F1846" s="53">
        <v>-46.740920000000003</v>
      </c>
      <c r="G1846" s="53">
        <v>-23.262754999999999</v>
      </c>
      <c r="H1846" s="53">
        <v>-46.865492000000003</v>
      </c>
      <c r="I1846" s="53">
        <v>-23.004788000000001</v>
      </c>
      <c r="J1846" s="53">
        <v>-47.082850000000001</v>
      </c>
      <c r="L1846" s="61" t="str">
        <f t="shared" si="29"/>
        <v>Cliente32-Cliente5</v>
      </c>
      <c r="M1846">
        <v>67.380416999999994</v>
      </c>
    </row>
    <row r="1847" spans="1:13" x14ac:dyDescent="0.25">
      <c r="A1847" s="15" t="s">
        <v>4302</v>
      </c>
      <c r="B1847" s="15" t="s">
        <v>4276</v>
      </c>
      <c r="C1847" s="54">
        <v>49.755800999999998</v>
      </c>
      <c r="D1847" s="26">
        <v>4.9999999999999996E-2</v>
      </c>
      <c r="E1847" s="55">
        <v>-23.494568999999998</v>
      </c>
      <c r="F1847" s="55">
        <v>-46.731493999999998</v>
      </c>
      <c r="G1847" s="55">
        <v>-23.294875000000001</v>
      </c>
      <c r="H1847" s="55">
        <v>-46.841742000000004</v>
      </c>
      <c r="I1847" s="55">
        <v>-23.087416000000001</v>
      </c>
      <c r="J1847" s="55">
        <v>-46.974594000000003</v>
      </c>
      <c r="L1847" s="61" t="str">
        <f t="shared" si="29"/>
        <v>Cliente32-Cliente6</v>
      </c>
      <c r="M1847">
        <v>49.755800999999998</v>
      </c>
    </row>
    <row r="1848" spans="1:13" x14ac:dyDescent="0.25">
      <c r="A1848" s="15" t="s">
        <v>4302</v>
      </c>
      <c r="B1848" s="15" t="s">
        <v>4277</v>
      </c>
      <c r="C1848" s="52">
        <v>54.473883999999998</v>
      </c>
      <c r="D1848" s="25">
        <v>5.0694444444444452E-2</v>
      </c>
      <c r="E1848" s="53">
        <v>-23.506688</v>
      </c>
      <c r="F1848" s="53">
        <v>-46.721615999999997</v>
      </c>
      <c r="G1848" s="53">
        <v>-23.314771</v>
      </c>
      <c r="H1848" s="53">
        <v>-46.823996999999999</v>
      </c>
      <c r="I1848" s="53">
        <v>-23.117785000000001</v>
      </c>
      <c r="J1848" s="53">
        <v>-46.993464000000003</v>
      </c>
      <c r="L1848" s="61" t="str">
        <f t="shared" si="29"/>
        <v>Cliente32-Cliente7</v>
      </c>
      <c r="M1848">
        <v>54.473883999999998</v>
      </c>
    </row>
    <row r="1849" spans="1:13" x14ac:dyDescent="0.25">
      <c r="A1849" s="15" t="s">
        <v>4302</v>
      </c>
      <c r="B1849" s="15" t="s">
        <v>4278</v>
      </c>
      <c r="C1849" s="54">
        <v>63.503672000000002</v>
      </c>
      <c r="D1849" s="26">
        <v>5.8333333333333327E-2</v>
      </c>
      <c r="E1849" s="55">
        <v>-23.474118000000001</v>
      </c>
      <c r="F1849" s="55">
        <v>-46.746462000000001</v>
      </c>
      <c r="G1849" s="55">
        <v>-23.253972999999998</v>
      </c>
      <c r="H1849" s="55">
        <v>-46.870784999999998</v>
      </c>
      <c r="I1849" s="55">
        <v>-22.988129000000001</v>
      </c>
      <c r="J1849" s="55">
        <v>-47.056995999999998</v>
      </c>
      <c r="L1849" s="61" t="str">
        <f t="shared" si="29"/>
        <v>Cliente32-Cliente8</v>
      </c>
      <c r="M1849">
        <v>63.503672000000002</v>
      </c>
    </row>
    <row r="1850" spans="1:13" x14ac:dyDescent="0.25">
      <c r="A1850" s="15" t="s">
        <v>4302</v>
      </c>
      <c r="B1850" s="15" t="s">
        <v>4279</v>
      </c>
      <c r="C1850" s="52">
        <v>75.516050000000007</v>
      </c>
      <c r="D1850" s="25">
        <v>6.8749999999999992E-2</v>
      </c>
      <c r="E1850" s="53">
        <v>-23.474118000000001</v>
      </c>
      <c r="F1850" s="53">
        <v>-46.746462000000001</v>
      </c>
      <c r="G1850" s="53">
        <v>-23.256233999999999</v>
      </c>
      <c r="H1850" s="53">
        <v>-46.869290999999997</v>
      </c>
      <c r="I1850" s="53">
        <v>-22.958314000000001</v>
      </c>
      <c r="J1850" s="53">
        <v>-47.125211</v>
      </c>
      <c r="L1850" s="61" t="str">
        <f t="shared" si="29"/>
        <v>Cliente32-Cliente9</v>
      </c>
      <c r="M1850">
        <v>75.516050000000007</v>
      </c>
    </row>
    <row r="1851" spans="1:13" x14ac:dyDescent="0.25">
      <c r="A1851" s="15" t="s">
        <v>4302</v>
      </c>
      <c r="B1851" s="15" t="s">
        <v>4280</v>
      </c>
      <c r="C1851" s="54">
        <v>11.320790000000001</v>
      </c>
      <c r="D1851" s="26">
        <v>2.2916666666666669E-2</v>
      </c>
      <c r="E1851" s="55">
        <v>-23.500601</v>
      </c>
      <c r="F1851" s="55">
        <v>-46.754148999999998</v>
      </c>
      <c r="G1851" s="55">
        <v>-23.513629999999999</v>
      </c>
      <c r="H1851" s="55">
        <v>-46.723317999999999</v>
      </c>
      <c r="I1851" s="55">
        <v>-23.495868000000002</v>
      </c>
      <c r="J1851" s="55">
        <v>-46.684390999999998</v>
      </c>
      <c r="L1851" s="61" t="str">
        <f t="shared" si="29"/>
        <v>Cliente32-Cliente10</v>
      </c>
      <c r="M1851">
        <v>11.320790000000001</v>
      </c>
    </row>
    <row r="1852" spans="1:13" x14ac:dyDescent="0.25">
      <c r="A1852" s="15" t="s">
        <v>4302</v>
      </c>
      <c r="B1852" s="15" t="s">
        <v>4281</v>
      </c>
      <c r="C1852" s="52">
        <v>92.737395000000006</v>
      </c>
      <c r="D1852" s="25">
        <v>7.7777777777777779E-2</v>
      </c>
      <c r="E1852" s="53">
        <v>-23.421851</v>
      </c>
      <c r="F1852" s="53">
        <v>-46.761364999999998</v>
      </c>
      <c r="G1852" s="53">
        <v>-23.155297999999998</v>
      </c>
      <c r="H1852" s="53">
        <v>-46.955281999999997</v>
      </c>
      <c r="I1852" s="53">
        <v>-22.896552</v>
      </c>
      <c r="J1852" s="53">
        <v>-47.223055000000002</v>
      </c>
      <c r="L1852" s="61" t="str">
        <f t="shared" si="29"/>
        <v>Cliente32-Cliente11</v>
      </c>
      <c r="M1852">
        <v>92.737395000000006</v>
      </c>
    </row>
    <row r="1853" spans="1:13" x14ac:dyDescent="0.25">
      <c r="A1853" s="15" t="s">
        <v>4302</v>
      </c>
      <c r="B1853" s="15" t="s">
        <v>4282</v>
      </c>
      <c r="C1853" s="54">
        <v>56.608299000000002</v>
      </c>
      <c r="D1853" s="26">
        <v>5.7638888888888885E-2</v>
      </c>
      <c r="E1853" s="55">
        <v>-23.513629999999999</v>
      </c>
      <c r="F1853" s="55">
        <v>-46.723317999999999</v>
      </c>
      <c r="G1853" s="55">
        <v>-23.459603000000001</v>
      </c>
      <c r="H1853" s="55">
        <v>-46.484631</v>
      </c>
      <c r="I1853" s="55">
        <v>-23.35247</v>
      </c>
      <c r="J1853" s="55">
        <v>-46.183019000000002</v>
      </c>
      <c r="L1853" s="61" t="str">
        <f t="shared" si="29"/>
        <v>Cliente32-Cliente12</v>
      </c>
      <c r="M1853">
        <v>56.608299000000002</v>
      </c>
    </row>
    <row r="1854" spans="1:13" x14ac:dyDescent="0.25">
      <c r="A1854" s="15" t="s">
        <v>4302</v>
      </c>
      <c r="B1854" s="15" t="s">
        <v>4283</v>
      </c>
      <c r="C1854" s="52">
        <v>64.492276000000004</v>
      </c>
      <c r="D1854" s="25">
        <v>6.3194444444444442E-2</v>
      </c>
      <c r="E1854" s="53">
        <v>-23.509598</v>
      </c>
      <c r="F1854" s="53">
        <v>-46.719993000000002</v>
      </c>
      <c r="G1854" s="53">
        <v>-23.408715999999998</v>
      </c>
      <c r="H1854" s="53">
        <v>-46.340001999999998</v>
      </c>
      <c r="I1854" s="53">
        <v>-23.321501999999999</v>
      </c>
      <c r="J1854" s="53">
        <v>-46.095640000000003</v>
      </c>
      <c r="L1854" s="61" t="str">
        <f t="shared" si="29"/>
        <v>Cliente32-Cliente13</v>
      </c>
      <c r="M1854">
        <v>64.492276000000004</v>
      </c>
    </row>
    <row r="1855" spans="1:13" x14ac:dyDescent="0.25">
      <c r="A1855" s="15" t="s">
        <v>4302</v>
      </c>
      <c r="B1855" s="15" t="s">
        <v>4284</v>
      </c>
      <c r="C1855" s="54">
        <v>62.554836000000002</v>
      </c>
      <c r="D1855" s="26">
        <v>5.9722222222222225E-2</v>
      </c>
      <c r="E1855" s="55">
        <v>-23.514669999999999</v>
      </c>
      <c r="F1855" s="55">
        <v>-46.725577999999999</v>
      </c>
      <c r="G1855" s="55">
        <v>-23.471278999999999</v>
      </c>
      <c r="H1855" s="55">
        <v>-46.517586000000001</v>
      </c>
      <c r="I1855" s="55">
        <v>-23.352412000000001</v>
      </c>
      <c r="J1855" s="55">
        <v>-46.200080999999997</v>
      </c>
      <c r="L1855" s="61" t="str">
        <f t="shared" si="29"/>
        <v>Cliente32-Cliente14</v>
      </c>
      <c r="M1855">
        <v>62.554836000000002</v>
      </c>
    </row>
    <row r="1856" spans="1:13" x14ac:dyDescent="0.25">
      <c r="A1856" s="15" t="s">
        <v>4302</v>
      </c>
      <c r="B1856" s="15" t="s">
        <v>4285</v>
      </c>
      <c r="C1856" s="52">
        <v>64.933451000000005</v>
      </c>
      <c r="D1856" s="25">
        <v>6.5972222222222224E-2</v>
      </c>
      <c r="E1856" s="53">
        <v>-23.509042000000001</v>
      </c>
      <c r="F1856" s="53">
        <v>-46.719047000000003</v>
      </c>
      <c r="G1856" s="53">
        <v>-23.407423000000001</v>
      </c>
      <c r="H1856" s="53">
        <v>-46.337465000000002</v>
      </c>
      <c r="I1856" s="53">
        <v>-23.319845000000001</v>
      </c>
      <c r="J1856" s="53">
        <v>-46.088535</v>
      </c>
      <c r="L1856" s="61" t="str">
        <f t="shared" si="29"/>
        <v>Cliente32-Cliente15</v>
      </c>
      <c r="M1856">
        <v>64.933451000000005</v>
      </c>
    </row>
    <row r="1857" spans="1:13" x14ac:dyDescent="0.25">
      <c r="A1857" s="15" t="s">
        <v>4302</v>
      </c>
      <c r="B1857" s="15" t="s">
        <v>4286</v>
      </c>
      <c r="C1857" s="54">
        <v>63.864069000000001</v>
      </c>
      <c r="D1857" s="26">
        <v>6.458333333333334E-2</v>
      </c>
      <c r="E1857" s="55">
        <v>-23.509042000000001</v>
      </c>
      <c r="F1857" s="55">
        <v>-46.719047000000003</v>
      </c>
      <c r="G1857" s="55">
        <v>-23.408715999999998</v>
      </c>
      <c r="H1857" s="55">
        <v>-46.340001999999998</v>
      </c>
      <c r="I1857" s="55">
        <v>-23.320944000000001</v>
      </c>
      <c r="J1857" s="55">
        <v>-46.092388999999997</v>
      </c>
      <c r="L1857" s="61" t="str">
        <f t="shared" si="29"/>
        <v>Cliente32-Cliente16</v>
      </c>
      <c r="M1857">
        <v>63.864069000000001</v>
      </c>
    </row>
    <row r="1858" spans="1:13" x14ac:dyDescent="0.25">
      <c r="A1858" s="15" t="s">
        <v>4302</v>
      </c>
      <c r="B1858" s="15" t="s">
        <v>4287</v>
      </c>
      <c r="C1858" s="52">
        <v>64.919781</v>
      </c>
      <c r="D1858" s="25">
        <v>6.25E-2</v>
      </c>
      <c r="E1858" s="53">
        <v>-23.509598</v>
      </c>
      <c r="F1858" s="53">
        <v>-46.719993000000002</v>
      </c>
      <c r="G1858" s="53">
        <v>-23.408715999999998</v>
      </c>
      <c r="H1858" s="53">
        <v>-46.340001999999998</v>
      </c>
      <c r="I1858" s="53">
        <v>-23.321501999999999</v>
      </c>
      <c r="J1858" s="53">
        <v>-46.095640000000003</v>
      </c>
      <c r="L1858" s="61" t="str">
        <f t="shared" si="29"/>
        <v>Cliente32-Cliente17</v>
      </c>
      <c r="M1858">
        <v>64.919781</v>
      </c>
    </row>
    <row r="1859" spans="1:13" x14ac:dyDescent="0.25">
      <c r="A1859" s="15" t="s">
        <v>4302</v>
      </c>
      <c r="B1859" s="15" t="s">
        <v>4288</v>
      </c>
      <c r="C1859" s="54">
        <v>69.747846999999993</v>
      </c>
      <c r="D1859" s="26">
        <v>6.7361111111111108E-2</v>
      </c>
      <c r="E1859" s="55">
        <v>-23.512343000000001</v>
      </c>
      <c r="F1859" s="55">
        <v>-46.722081000000003</v>
      </c>
      <c r="G1859" s="55">
        <v>-23.413879000000001</v>
      </c>
      <c r="H1859" s="55">
        <v>-46.362974999999999</v>
      </c>
      <c r="I1859" s="55">
        <v>-23.339870999999999</v>
      </c>
      <c r="J1859" s="55">
        <v>-46.151940000000003</v>
      </c>
      <c r="L1859" s="61" t="str">
        <f t="shared" si="29"/>
        <v>Cliente32-Cliente18</v>
      </c>
      <c r="M1859">
        <v>69.747846999999993</v>
      </c>
    </row>
    <row r="1860" spans="1:13" x14ac:dyDescent="0.25">
      <c r="A1860" s="15" t="s">
        <v>4302</v>
      </c>
      <c r="B1860" s="15" t="s">
        <v>4289</v>
      </c>
      <c r="C1860" s="52">
        <v>8.1207200000000004</v>
      </c>
      <c r="D1860" s="25">
        <v>1.3888888888888888E-2</v>
      </c>
      <c r="E1860" s="53">
        <v>-23.493379999999998</v>
      </c>
      <c r="F1860" s="53">
        <v>-46.750318999999998</v>
      </c>
      <c r="G1860" s="53">
        <v>-23.506309999999999</v>
      </c>
      <c r="H1860" s="53">
        <v>-46.751407999999998</v>
      </c>
      <c r="I1860" s="53">
        <v>-23.510251</v>
      </c>
      <c r="J1860" s="53">
        <v>-46.720652999999999</v>
      </c>
      <c r="L1860" s="61" t="str">
        <f t="shared" si="29"/>
        <v>Cliente32-Cliente19</v>
      </c>
      <c r="M1860">
        <v>8.1207200000000004</v>
      </c>
    </row>
    <row r="1861" spans="1:13" x14ac:dyDescent="0.25">
      <c r="A1861" s="15" t="s">
        <v>4302</v>
      </c>
      <c r="B1861" s="15" t="s">
        <v>4290</v>
      </c>
      <c r="C1861" s="54">
        <v>7.455851</v>
      </c>
      <c r="D1861" s="26">
        <v>1.5277777777777777E-2</v>
      </c>
      <c r="E1861" s="55">
        <v>-23.494130999999999</v>
      </c>
      <c r="F1861" s="55">
        <v>-46.750149999999998</v>
      </c>
      <c r="G1861" s="55">
        <v>-23.507173000000002</v>
      </c>
      <c r="H1861" s="55">
        <v>-46.74973</v>
      </c>
      <c r="I1861" s="55">
        <v>-23.527027</v>
      </c>
      <c r="J1861" s="55">
        <v>-46.750421000000003</v>
      </c>
      <c r="L1861" s="61" t="str">
        <f t="shared" si="29"/>
        <v>Cliente32-Cliente20</v>
      </c>
      <c r="M1861">
        <v>7.455851</v>
      </c>
    </row>
    <row r="1862" spans="1:13" x14ac:dyDescent="0.25">
      <c r="A1862" s="15" t="s">
        <v>4302</v>
      </c>
      <c r="B1862" s="15" t="s">
        <v>4291</v>
      </c>
      <c r="C1862" s="52">
        <v>7.0569300000000004</v>
      </c>
      <c r="D1862" s="25">
        <v>1.5277777777777777E-2</v>
      </c>
      <c r="E1862" s="53">
        <v>-23.496483999999999</v>
      </c>
      <c r="F1862" s="53">
        <v>-46.751328000000001</v>
      </c>
      <c r="G1862" s="53">
        <v>-23.508603000000001</v>
      </c>
      <c r="H1862" s="53">
        <v>-46.738629000000003</v>
      </c>
      <c r="I1862" s="53">
        <v>-23.520499000000001</v>
      </c>
      <c r="J1862" s="53">
        <v>-46.747872000000001</v>
      </c>
      <c r="L1862" s="61" t="str">
        <f t="shared" si="29"/>
        <v>Cliente32-Cliente21</v>
      </c>
      <c r="M1862">
        <v>7.0569300000000004</v>
      </c>
    </row>
    <row r="1863" spans="1:13" x14ac:dyDescent="0.25">
      <c r="A1863" s="15" t="s">
        <v>4302</v>
      </c>
      <c r="B1863" s="15" t="s">
        <v>4292</v>
      </c>
      <c r="C1863" s="54">
        <v>7.2371280000000002</v>
      </c>
      <c r="D1863" s="26">
        <v>1.5277777777777777E-2</v>
      </c>
      <c r="E1863" s="55">
        <v>-23.495013</v>
      </c>
      <c r="F1863" s="55">
        <v>-46.750374999999998</v>
      </c>
      <c r="G1863" s="55">
        <v>-23.507625999999998</v>
      </c>
      <c r="H1863" s="55">
        <v>-46.746366999999999</v>
      </c>
      <c r="I1863" s="55">
        <v>-23.525162000000002</v>
      </c>
      <c r="J1863" s="55">
        <v>-46.710178999999997</v>
      </c>
      <c r="L1863" s="61" t="str">
        <f t="shared" si="29"/>
        <v>Cliente32-Cliente22</v>
      </c>
      <c r="M1863">
        <v>7.2371280000000002</v>
      </c>
    </row>
    <row r="1864" spans="1:13" x14ac:dyDescent="0.25">
      <c r="A1864" s="15" t="s">
        <v>4302</v>
      </c>
      <c r="B1864" s="15" t="s">
        <v>4293</v>
      </c>
      <c r="C1864" s="52">
        <v>12.211838</v>
      </c>
      <c r="D1864" s="25">
        <v>2.2222222222222223E-2</v>
      </c>
      <c r="E1864" s="53">
        <v>-23.501847999999999</v>
      </c>
      <c r="F1864" s="53">
        <v>-46.755631000000001</v>
      </c>
      <c r="G1864" s="53">
        <v>-23.519048999999999</v>
      </c>
      <c r="H1864" s="53">
        <v>-46.746738000000001</v>
      </c>
      <c r="I1864" s="53">
        <v>-23.578731999999999</v>
      </c>
      <c r="J1864" s="53">
        <v>-46.727753</v>
      </c>
      <c r="L1864" s="61" t="str">
        <f t="shared" si="29"/>
        <v>Cliente32-Cliente23</v>
      </c>
      <c r="M1864">
        <v>12.211838</v>
      </c>
    </row>
    <row r="1865" spans="1:13" x14ac:dyDescent="0.25">
      <c r="A1865" s="15" t="s">
        <v>4302</v>
      </c>
      <c r="B1865" s="15" t="s">
        <v>4294</v>
      </c>
      <c r="C1865" s="54">
        <v>13.191122</v>
      </c>
      <c r="D1865" s="26">
        <v>2.4999999999999998E-2</v>
      </c>
      <c r="E1865" s="55">
        <v>-23.502056</v>
      </c>
      <c r="F1865" s="55">
        <v>-46.755633000000003</v>
      </c>
      <c r="G1865" s="55">
        <v>-23.525342999999999</v>
      </c>
      <c r="H1865" s="55">
        <v>-46.749963999999999</v>
      </c>
      <c r="I1865" s="55">
        <v>-23.580362000000001</v>
      </c>
      <c r="J1865" s="55">
        <v>-46.728881000000001</v>
      </c>
      <c r="L1865" s="61" t="str">
        <f t="shared" si="29"/>
        <v>Cliente32-Cliente24</v>
      </c>
      <c r="M1865">
        <v>13.191122</v>
      </c>
    </row>
    <row r="1866" spans="1:13" x14ac:dyDescent="0.25">
      <c r="A1866" s="15" t="s">
        <v>4302</v>
      </c>
      <c r="B1866" s="15" t="s">
        <v>4295</v>
      </c>
      <c r="C1866" s="52">
        <v>14.587346</v>
      </c>
      <c r="D1866" s="25">
        <v>2.8472222222222222E-2</v>
      </c>
      <c r="E1866" s="53">
        <v>-23.504949</v>
      </c>
      <c r="F1866" s="53">
        <v>-46.752789</v>
      </c>
      <c r="G1866" s="53">
        <v>-23.560013999999999</v>
      </c>
      <c r="H1866" s="53">
        <v>-46.712524000000002</v>
      </c>
      <c r="I1866" s="53">
        <v>-23.595348999999999</v>
      </c>
      <c r="J1866" s="53">
        <v>-46.745562</v>
      </c>
      <c r="L1866" s="61" t="str">
        <f t="shared" si="29"/>
        <v>Cliente32-Cliente25</v>
      </c>
      <c r="M1866">
        <v>14.587346</v>
      </c>
    </row>
    <row r="1867" spans="1:13" x14ac:dyDescent="0.25">
      <c r="A1867" s="15" t="s">
        <v>4302</v>
      </c>
      <c r="B1867" s="15" t="s">
        <v>4296</v>
      </c>
      <c r="C1867" s="54">
        <v>16.175574999999998</v>
      </c>
      <c r="D1867" s="26">
        <v>2.4305555555555556E-2</v>
      </c>
      <c r="E1867" s="55">
        <v>-23.506844000000001</v>
      </c>
      <c r="F1867" s="55">
        <v>-46.750597999999997</v>
      </c>
      <c r="G1867" s="55">
        <v>-23.511731999999999</v>
      </c>
      <c r="H1867" s="55">
        <v>-46.800997000000002</v>
      </c>
      <c r="I1867" s="55">
        <v>-23.585906000000001</v>
      </c>
      <c r="J1867" s="55">
        <v>-46.808802999999997</v>
      </c>
      <c r="L1867" s="61" t="str">
        <f t="shared" si="29"/>
        <v>Cliente32-Cliente26</v>
      </c>
      <c r="M1867">
        <v>16.175574999999998</v>
      </c>
    </row>
    <row r="1868" spans="1:13" x14ac:dyDescent="0.25">
      <c r="A1868" s="15" t="s">
        <v>4302</v>
      </c>
      <c r="B1868" s="15" t="s">
        <v>4297</v>
      </c>
      <c r="C1868" s="52">
        <v>13.990829</v>
      </c>
      <c r="D1868" s="25">
        <v>2.4999999999999998E-2</v>
      </c>
      <c r="E1868" s="53">
        <v>-23.502278</v>
      </c>
      <c r="F1868" s="53">
        <v>-46.755510000000001</v>
      </c>
      <c r="G1868" s="53">
        <v>-23.528064000000001</v>
      </c>
      <c r="H1868" s="53">
        <v>-46.750509000000001</v>
      </c>
      <c r="I1868" s="53">
        <v>-23.583344</v>
      </c>
      <c r="J1868" s="53">
        <v>-46.734673000000001</v>
      </c>
      <c r="L1868" s="61" t="str">
        <f t="shared" si="29"/>
        <v>Cliente32-Cliente27</v>
      </c>
      <c r="M1868">
        <v>13.990829</v>
      </c>
    </row>
    <row r="1869" spans="1:13" x14ac:dyDescent="0.25">
      <c r="A1869" s="15" t="s">
        <v>4302</v>
      </c>
      <c r="B1869" s="15" t="s">
        <v>4298</v>
      </c>
      <c r="C1869" s="54">
        <v>18.441721000000001</v>
      </c>
      <c r="D1869" s="26">
        <v>3.1944444444444449E-2</v>
      </c>
      <c r="E1869" s="55">
        <v>-23.503067000000001</v>
      </c>
      <c r="F1869" s="55">
        <v>-46.754274000000002</v>
      </c>
      <c r="G1869" s="55">
        <v>-23.548266999999999</v>
      </c>
      <c r="H1869" s="55">
        <v>-46.732852999999999</v>
      </c>
      <c r="I1869" s="55">
        <v>-23.620032999999999</v>
      </c>
      <c r="J1869" s="55">
        <v>-46.701374999999999</v>
      </c>
      <c r="L1869" s="61" t="str">
        <f t="shared" si="29"/>
        <v>Cliente32-Cliente28</v>
      </c>
      <c r="M1869">
        <v>18.441721000000001</v>
      </c>
    </row>
    <row r="1870" spans="1:13" x14ac:dyDescent="0.25">
      <c r="A1870" s="15" t="s">
        <v>4302</v>
      </c>
      <c r="B1870" s="15" t="s">
        <v>4299</v>
      </c>
      <c r="C1870" s="52">
        <v>22.937975000000002</v>
      </c>
      <c r="D1870" s="25">
        <v>3.7499999999999999E-2</v>
      </c>
      <c r="E1870" s="53">
        <v>-23.507088</v>
      </c>
      <c r="F1870" s="53">
        <v>-46.750016000000002</v>
      </c>
      <c r="G1870" s="53">
        <v>-23.520427000000002</v>
      </c>
      <c r="H1870" s="53">
        <v>-46.644193000000001</v>
      </c>
      <c r="I1870" s="53">
        <v>-23.584323000000001</v>
      </c>
      <c r="J1870" s="53">
        <v>-46.599794000000003</v>
      </c>
      <c r="L1870" s="61" t="str">
        <f t="shared" si="29"/>
        <v>Cliente32-Cliente29</v>
      </c>
      <c r="M1870">
        <v>22.937975000000002</v>
      </c>
    </row>
    <row r="1871" spans="1:13" x14ac:dyDescent="0.25">
      <c r="A1871" s="15" t="s">
        <v>4302</v>
      </c>
      <c r="B1871" s="15" t="s">
        <v>4300</v>
      </c>
      <c r="C1871" s="54">
        <v>26.997402999999998</v>
      </c>
      <c r="D1871" s="26">
        <v>4.5833333333333337E-2</v>
      </c>
      <c r="E1871" s="55">
        <v>-23.511991999999999</v>
      </c>
      <c r="F1871" s="55">
        <v>-46.727198000000001</v>
      </c>
      <c r="G1871" s="55">
        <v>-23.555629</v>
      </c>
      <c r="H1871" s="55">
        <v>-46.623589000000003</v>
      </c>
      <c r="I1871" s="55">
        <v>-23.605986999999999</v>
      </c>
      <c r="J1871" s="55">
        <v>-46.550269999999998</v>
      </c>
      <c r="L1871" s="61" t="str">
        <f t="shared" si="29"/>
        <v>Cliente32-Cliente30</v>
      </c>
      <c r="M1871">
        <v>26.997402999999998</v>
      </c>
    </row>
    <row r="1872" spans="1:13" x14ac:dyDescent="0.25">
      <c r="A1872" s="15" t="s">
        <v>4302</v>
      </c>
      <c r="B1872" s="15" t="s">
        <v>4301</v>
      </c>
      <c r="C1872" s="52">
        <v>10.178084999999999</v>
      </c>
      <c r="D1872" s="25">
        <v>2.0833333333333332E-2</v>
      </c>
      <c r="E1872" s="53">
        <v>-23.501847999999999</v>
      </c>
      <c r="F1872" s="53">
        <v>-46.755631000000001</v>
      </c>
      <c r="G1872" s="53">
        <v>-23.520574</v>
      </c>
      <c r="H1872" s="53">
        <v>-46.748047</v>
      </c>
      <c r="I1872" s="53">
        <v>-23.520016999999999</v>
      </c>
      <c r="J1872" s="53">
        <v>-46.789130999999998</v>
      </c>
      <c r="L1872" s="61" t="str">
        <f t="shared" si="29"/>
        <v>Cliente32-Cliente31</v>
      </c>
      <c r="M1872">
        <v>10.178084999999999</v>
      </c>
    </row>
    <row r="1873" spans="1:13" x14ac:dyDescent="0.25">
      <c r="A1873" s="15" t="s">
        <v>4302</v>
      </c>
      <c r="B1873" s="15" t="s">
        <v>4302</v>
      </c>
      <c r="C1873" s="54">
        <v>0</v>
      </c>
      <c r="D1873" s="26">
        <v>0</v>
      </c>
      <c r="E1873" s="55">
        <f>'1. Locais'!D36</f>
        <v>-23.485520000000001</v>
      </c>
      <c r="F1873" s="55">
        <f>'1. Locais'!E36</f>
        <v>-46.73883</v>
      </c>
      <c r="G1873" s="55">
        <f>'1. Locais'!D36</f>
        <v>-23.485520000000001</v>
      </c>
      <c r="H1873" s="55">
        <f>'1. Locais'!E36</f>
        <v>-46.73883</v>
      </c>
      <c r="I1873" s="55">
        <f>'1. Locais'!D36</f>
        <v>-23.485520000000001</v>
      </c>
      <c r="J1873" s="55">
        <f>'1. Locais'!E36</f>
        <v>-46.73883</v>
      </c>
      <c r="L1873" s="61" t="str">
        <f t="shared" si="29"/>
        <v>Cliente32-Cliente32</v>
      </c>
      <c r="M1873">
        <v>0</v>
      </c>
    </row>
    <row r="1874" spans="1:13" x14ac:dyDescent="0.25">
      <c r="A1874" s="15" t="s">
        <v>4302</v>
      </c>
      <c r="B1874" s="15" t="s">
        <v>4303</v>
      </c>
      <c r="C1874" s="52">
        <v>21.016690000000001</v>
      </c>
      <c r="D1874" s="25">
        <v>3.0555555555555555E-2</v>
      </c>
      <c r="E1874" s="53">
        <v>-23.504949</v>
      </c>
      <c r="F1874" s="53">
        <v>-46.752789</v>
      </c>
      <c r="G1874" s="53">
        <v>-23.517954</v>
      </c>
      <c r="H1874" s="53">
        <v>-46.649636999999998</v>
      </c>
      <c r="I1874" s="53">
        <v>-23.500637000000001</v>
      </c>
      <c r="J1874" s="53">
        <v>-46.559421999999998</v>
      </c>
      <c r="L1874" s="61" t="str">
        <f t="shared" ref="L1874:L1937" si="30">_xlfn.CONCAT(A1874,"-",B1874)</f>
        <v>Cliente32-Cliente33</v>
      </c>
      <c r="M1874">
        <v>21.016690000000001</v>
      </c>
    </row>
    <row r="1875" spans="1:13" x14ac:dyDescent="0.25">
      <c r="A1875" s="15" t="s">
        <v>4302</v>
      </c>
      <c r="B1875" s="15" t="s">
        <v>4304</v>
      </c>
      <c r="C1875" s="54">
        <v>14.885605</v>
      </c>
      <c r="D1875" s="26">
        <v>2.5694444444444447E-2</v>
      </c>
      <c r="E1875" s="55">
        <v>-23.505624999999998</v>
      </c>
      <c r="F1875" s="55">
        <v>-46.752091</v>
      </c>
      <c r="G1875" s="55">
        <v>-23.515865000000002</v>
      </c>
      <c r="H1875" s="55">
        <v>-46.791767999999998</v>
      </c>
      <c r="I1875" s="55">
        <v>-23.48667</v>
      </c>
      <c r="J1875" s="55">
        <v>-46.836852</v>
      </c>
      <c r="L1875" s="61" t="str">
        <f t="shared" si="30"/>
        <v>Cliente32-Cliente34</v>
      </c>
      <c r="M1875">
        <v>14.885605</v>
      </c>
    </row>
    <row r="1876" spans="1:13" x14ac:dyDescent="0.25">
      <c r="A1876" s="15" t="s">
        <v>4302</v>
      </c>
      <c r="B1876" s="15" t="s">
        <v>4305</v>
      </c>
      <c r="C1876" s="52">
        <v>15.481502000000001</v>
      </c>
      <c r="D1876" s="25">
        <v>2.4999999999999998E-2</v>
      </c>
      <c r="E1876" s="53">
        <v>-23.504581999999999</v>
      </c>
      <c r="F1876" s="53">
        <v>-46.753160999999999</v>
      </c>
      <c r="G1876" s="53">
        <v>-23.520189999999999</v>
      </c>
      <c r="H1876" s="53">
        <v>-46.769798000000002</v>
      </c>
      <c r="I1876" s="53">
        <v>-23.489758999999999</v>
      </c>
      <c r="J1876" s="53">
        <v>-46.853932999999998</v>
      </c>
      <c r="L1876" s="61" t="str">
        <f t="shared" si="30"/>
        <v>Cliente32-Cliente35</v>
      </c>
      <c r="M1876">
        <v>15.481502000000001</v>
      </c>
    </row>
    <row r="1877" spans="1:13" x14ac:dyDescent="0.25">
      <c r="A1877" s="15" t="s">
        <v>4302</v>
      </c>
      <c r="B1877" s="15" t="s">
        <v>4306</v>
      </c>
      <c r="C1877" s="54">
        <v>142.233462</v>
      </c>
      <c r="D1877" s="26">
        <v>0.12152777777777778</v>
      </c>
      <c r="E1877" s="55">
        <v>-23.337422</v>
      </c>
      <c r="F1877" s="55">
        <v>-46.821736000000001</v>
      </c>
      <c r="G1877" s="55">
        <v>-22.937605000000001</v>
      </c>
      <c r="H1877" s="55">
        <v>-47.126537999999996</v>
      </c>
      <c r="I1877" s="55">
        <v>-22.462173</v>
      </c>
      <c r="J1877" s="55">
        <v>-47.525387000000002</v>
      </c>
      <c r="L1877" s="61" t="str">
        <f t="shared" si="30"/>
        <v>Cliente32-Cliente36</v>
      </c>
      <c r="M1877">
        <v>142.233462</v>
      </c>
    </row>
    <row r="1878" spans="1:13" x14ac:dyDescent="0.25">
      <c r="A1878" s="15" t="s">
        <v>4302</v>
      </c>
      <c r="B1878" s="15" t="s">
        <v>4307</v>
      </c>
      <c r="C1878" s="52">
        <v>141.13673900000001</v>
      </c>
      <c r="D1878" s="25">
        <v>0.12013888888888889</v>
      </c>
      <c r="E1878" s="53">
        <v>-23.334250000000001</v>
      </c>
      <c r="F1878" s="53">
        <v>-46.822795999999997</v>
      </c>
      <c r="G1878" s="53">
        <v>-22.924923</v>
      </c>
      <c r="H1878" s="53">
        <v>-47.130077</v>
      </c>
      <c r="I1878" s="53">
        <v>-22.459682000000001</v>
      </c>
      <c r="J1878" s="53">
        <v>-47.541854999999998</v>
      </c>
      <c r="L1878" s="61" t="str">
        <f t="shared" si="30"/>
        <v>Cliente32-Cliente37</v>
      </c>
      <c r="M1878">
        <v>141.13673900000001</v>
      </c>
    </row>
    <row r="1879" spans="1:13" x14ac:dyDescent="0.25">
      <c r="A1879" s="15" t="s">
        <v>4302</v>
      </c>
      <c r="B1879" s="15" t="s">
        <v>4308</v>
      </c>
      <c r="C1879" s="54">
        <v>139.36023499999999</v>
      </c>
      <c r="D1879" s="26">
        <v>0.11805555555555557</v>
      </c>
      <c r="E1879" s="55">
        <v>-23.347695000000002</v>
      </c>
      <c r="F1879" s="55">
        <v>-46.812092</v>
      </c>
      <c r="G1879" s="55">
        <v>-22.958314000000001</v>
      </c>
      <c r="H1879" s="55">
        <v>-47.125211</v>
      </c>
      <c r="I1879" s="55">
        <v>-22.502229</v>
      </c>
      <c r="J1879" s="55">
        <v>-47.397652999999998</v>
      </c>
      <c r="L1879" s="61" t="str">
        <f t="shared" si="30"/>
        <v>Cliente32-Cliente38</v>
      </c>
      <c r="M1879">
        <v>139.36023499999999</v>
      </c>
    </row>
    <row r="1880" spans="1:13" x14ac:dyDescent="0.25">
      <c r="A1880" s="15" t="s">
        <v>4302</v>
      </c>
      <c r="B1880" s="15" t="s">
        <v>4309</v>
      </c>
      <c r="C1880" s="52">
        <v>90.753973999999999</v>
      </c>
      <c r="D1880" s="25">
        <v>8.6805555555555566E-2</v>
      </c>
      <c r="E1880" s="53">
        <v>-23.511005000000001</v>
      </c>
      <c r="F1880" s="53">
        <v>-46.683208999999998</v>
      </c>
      <c r="G1880" s="53">
        <v>-23.396858000000002</v>
      </c>
      <c r="H1880" s="53">
        <v>-46.292222000000002</v>
      </c>
      <c r="I1880" s="53">
        <v>-23.299863999999999</v>
      </c>
      <c r="J1880" s="53">
        <v>-46.014011000000004</v>
      </c>
      <c r="L1880" s="61" t="str">
        <f t="shared" si="30"/>
        <v>Cliente32-Cliente39</v>
      </c>
      <c r="M1880">
        <v>90.753973999999999</v>
      </c>
    </row>
    <row r="1881" spans="1:13" x14ac:dyDescent="0.25">
      <c r="A1881" s="15" t="s">
        <v>4302</v>
      </c>
      <c r="B1881" s="15" t="s">
        <v>4310</v>
      </c>
      <c r="C1881" s="54">
        <v>92.315483</v>
      </c>
      <c r="D1881" s="26">
        <v>9.0277777777777776E-2</v>
      </c>
      <c r="E1881" s="55">
        <v>-23.514123000000001</v>
      </c>
      <c r="F1881" s="55">
        <v>-46.678334999999997</v>
      </c>
      <c r="G1881" s="55">
        <v>-23.377779</v>
      </c>
      <c r="H1881" s="55">
        <v>-46.254198000000002</v>
      </c>
      <c r="I1881" s="55">
        <v>-23.243492</v>
      </c>
      <c r="J1881" s="55">
        <v>-45.925438</v>
      </c>
      <c r="L1881" s="61" t="str">
        <f t="shared" si="30"/>
        <v>Cliente32-Cliente40</v>
      </c>
      <c r="M1881">
        <v>92.315483</v>
      </c>
    </row>
    <row r="1882" spans="1:13" x14ac:dyDescent="0.25">
      <c r="A1882" s="15" t="s">
        <v>4302</v>
      </c>
      <c r="B1882" s="15" t="s">
        <v>4311</v>
      </c>
      <c r="C1882" s="52">
        <v>81.609230999999994</v>
      </c>
      <c r="D1882" s="25">
        <v>8.1250000000000003E-2</v>
      </c>
      <c r="E1882" s="53">
        <v>-23.513106000000001</v>
      </c>
      <c r="F1882" s="53">
        <v>-46.680301999999998</v>
      </c>
      <c r="G1882" s="53">
        <v>-23.383247999999998</v>
      </c>
      <c r="H1882" s="53">
        <v>-46.263074000000003</v>
      </c>
      <c r="I1882" s="53">
        <v>-23.293949999999999</v>
      </c>
      <c r="J1882" s="53">
        <v>-46.003681</v>
      </c>
      <c r="L1882" s="61" t="str">
        <f t="shared" si="30"/>
        <v>Cliente32-Cliente41</v>
      </c>
      <c r="M1882">
        <v>81.609230999999994</v>
      </c>
    </row>
    <row r="1883" spans="1:13" x14ac:dyDescent="0.25">
      <c r="A1883" s="15" t="s">
        <v>4302</v>
      </c>
      <c r="B1883" s="15" t="s">
        <v>4312</v>
      </c>
      <c r="C1883" s="54">
        <v>78.321548000000007</v>
      </c>
      <c r="D1883" s="26">
        <v>7.3611111111111113E-2</v>
      </c>
      <c r="E1883" s="55">
        <v>-23.512308000000001</v>
      </c>
      <c r="F1883" s="55">
        <v>-46.722051</v>
      </c>
      <c r="G1883" s="55">
        <v>-23.412844</v>
      </c>
      <c r="H1883" s="55">
        <v>-46.359305999999997</v>
      </c>
      <c r="I1883" s="55">
        <v>-23.326279</v>
      </c>
      <c r="J1883" s="55">
        <v>-46.125484</v>
      </c>
      <c r="L1883" s="61" t="str">
        <f t="shared" si="30"/>
        <v>Cliente32-Cliente42</v>
      </c>
      <c r="M1883">
        <v>78.321548000000007</v>
      </c>
    </row>
    <row r="1884" spans="1:13" x14ac:dyDescent="0.25">
      <c r="A1884" s="15" t="s">
        <v>4302</v>
      </c>
      <c r="B1884" s="15" t="s">
        <v>4313</v>
      </c>
      <c r="C1884" s="52">
        <v>96.995662999999993</v>
      </c>
      <c r="D1884" s="25">
        <v>9.3055555555555558E-2</v>
      </c>
      <c r="E1884" s="53">
        <v>-23.518916000000001</v>
      </c>
      <c r="F1884" s="53">
        <v>-46.642743000000003</v>
      </c>
      <c r="G1884" s="53">
        <v>-23.365017000000002</v>
      </c>
      <c r="H1884" s="53">
        <v>-46.226449000000002</v>
      </c>
      <c r="I1884" s="53">
        <v>-23.037822999999999</v>
      </c>
      <c r="J1884" s="53">
        <v>-45.558621000000002</v>
      </c>
      <c r="L1884" s="61" t="str">
        <f t="shared" si="30"/>
        <v>Cliente32-Cliente43</v>
      </c>
      <c r="M1884">
        <v>96.995662999999993</v>
      </c>
    </row>
    <row r="1885" spans="1:13" x14ac:dyDescent="0.25">
      <c r="A1885" s="15" t="s">
        <v>4302</v>
      </c>
      <c r="B1885" s="15" t="s">
        <v>4314</v>
      </c>
      <c r="C1885" s="54">
        <v>58.845861999999997</v>
      </c>
      <c r="D1885" s="26">
        <v>6.1805555555555558E-2</v>
      </c>
      <c r="E1885" s="55">
        <v>-23.518367999999999</v>
      </c>
      <c r="F1885" s="55">
        <v>-46.746597000000001</v>
      </c>
      <c r="G1885" s="55">
        <v>-23.462050000000001</v>
      </c>
      <c r="H1885" s="55">
        <v>-47.03886</v>
      </c>
      <c r="I1885" s="55">
        <v>-23.400033000000001</v>
      </c>
      <c r="J1885" s="55">
        <v>-47.332431999999997</v>
      </c>
      <c r="L1885" s="61" t="str">
        <f t="shared" si="30"/>
        <v>Cliente32-Cliente44</v>
      </c>
      <c r="M1885">
        <v>58.845861999999997</v>
      </c>
    </row>
    <row r="1886" spans="1:13" x14ac:dyDescent="0.25">
      <c r="A1886" s="15" t="s">
        <v>4302</v>
      </c>
      <c r="B1886" s="15" t="s">
        <v>4315</v>
      </c>
      <c r="C1886" s="52">
        <v>59.623821</v>
      </c>
      <c r="D1886" s="25">
        <v>6.458333333333334E-2</v>
      </c>
      <c r="E1886" s="53">
        <v>-23.524556</v>
      </c>
      <c r="F1886" s="53">
        <v>-46.754387999999999</v>
      </c>
      <c r="G1886" s="53">
        <v>-23.439218</v>
      </c>
      <c r="H1886" s="53">
        <v>-47.111420000000003</v>
      </c>
      <c r="I1886" s="53">
        <v>-23.479393000000002</v>
      </c>
      <c r="J1886" s="53">
        <v>-47.448478999999999</v>
      </c>
      <c r="L1886" s="61" t="str">
        <f t="shared" si="30"/>
        <v>Cliente32-Cliente45</v>
      </c>
      <c r="M1886">
        <v>59.623821</v>
      </c>
    </row>
    <row r="1887" spans="1:13" x14ac:dyDescent="0.25">
      <c r="A1887" s="15" t="s">
        <v>4302</v>
      </c>
      <c r="B1887" s="15" t="s">
        <v>4316</v>
      </c>
      <c r="C1887" s="54">
        <v>56.918363999999997</v>
      </c>
      <c r="D1887" s="26">
        <v>5.8333333333333327E-2</v>
      </c>
      <c r="E1887" s="55">
        <v>-23.517866000000001</v>
      </c>
      <c r="F1887" s="55">
        <v>-46.745984999999997</v>
      </c>
      <c r="G1887" s="55">
        <v>-23.462869999999999</v>
      </c>
      <c r="H1887" s="55">
        <v>-47.033450000000002</v>
      </c>
      <c r="I1887" s="55">
        <v>-23.401952999999999</v>
      </c>
      <c r="J1887" s="55">
        <v>-47.328172000000002</v>
      </c>
      <c r="L1887" s="61" t="str">
        <f t="shared" si="30"/>
        <v>Cliente32-Cliente46</v>
      </c>
      <c r="M1887">
        <v>56.918363999999997</v>
      </c>
    </row>
    <row r="1888" spans="1:13" x14ac:dyDescent="0.25">
      <c r="A1888" s="15" t="s">
        <v>4302</v>
      </c>
      <c r="B1888" s="15" t="s">
        <v>4317</v>
      </c>
      <c r="C1888" s="52">
        <v>188.689773</v>
      </c>
      <c r="D1888" s="25">
        <v>0.15555555555555556</v>
      </c>
      <c r="E1888" s="53">
        <v>-23.313171000000001</v>
      </c>
      <c r="F1888" s="53">
        <v>-46.825153999999998</v>
      </c>
      <c r="G1888" s="53">
        <v>-22.887058</v>
      </c>
      <c r="H1888" s="53">
        <v>-47.131588999999998</v>
      </c>
      <c r="I1888" s="53">
        <v>-22.270962999999998</v>
      </c>
      <c r="J1888" s="53">
        <v>-47.391627999999997</v>
      </c>
      <c r="L1888" s="61" t="str">
        <f t="shared" si="30"/>
        <v>Cliente32-Cliente47</v>
      </c>
      <c r="M1888">
        <v>188.689773</v>
      </c>
    </row>
    <row r="1889" spans="1:13" x14ac:dyDescent="0.25">
      <c r="A1889" s="15" t="s">
        <v>4302</v>
      </c>
      <c r="B1889" s="15" t="s">
        <v>4318</v>
      </c>
      <c r="C1889" s="54">
        <v>197.800962</v>
      </c>
      <c r="D1889" s="26">
        <v>0.16388888888888889</v>
      </c>
      <c r="E1889" s="55">
        <v>-23.290818999999999</v>
      </c>
      <c r="F1889" s="55">
        <v>-46.845869</v>
      </c>
      <c r="G1889" s="55">
        <v>-22.813075000000001</v>
      </c>
      <c r="H1889" s="55">
        <v>-47.209868999999998</v>
      </c>
      <c r="I1889" s="55">
        <v>-21.822977999999999</v>
      </c>
      <c r="J1889" s="55">
        <v>-47.495468000000002</v>
      </c>
      <c r="L1889" s="61" t="str">
        <f t="shared" si="30"/>
        <v>Cliente32-Cliente48</v>
      </c>
      <c r="M1889">
        <v>197.800962</v>
      </c>
    </row>
    <row r="1890" spans="1:13" x14ac:dyDescent="0.25">
      <c r="A1890" s="15" t="s">
        <v>4302</v>
      </c>
      <c r="B1890" s="15" t="s">
        <v>4319</v>
      </c>
      <c r="C1890" s="52">
        <v>191.438726</v>
      </c>
      <c r="D1890" s="25">
        <v>0.15972222222222224</v>
      </c>
      <c r="E1890" s="53">
        <v>-23.302479999999999</v>
      </c>
      <c r="F1890" s="53">
        <v>-46.840218</v>
      </c>
      <c r="G1890" s="53">
        <v>-22.855813000000001</v>
      </c>
      <c r="H1890" s="53">
        <v>-47.150308000000003</v>
      </c>
      <c r="I1890" s="53">
        <v>-22.132878000000002</v>
      </c>
      <c r="J1890" s="53">
        <v>-47.409267</v>
      </c>
      <c r="L1890" s="61" t="str">
        <f t="shared" si="30"/>
        <v>Cliente32-Cliente49</v>
      </c>
      <c r="M1890">
        <v>191.438726</v>
      </c>
    </row>
    <row r="1891" spans="1:13" x14ac:dyDescent="0.25">
      <c r="A1891" s="15" t="s">
        <v>4302</v>
      </c>
      <c r="B1891" s="15" t="s">
        <v>4320</v>
      </c>
      <c r="C1891" s="54">
        <v>199.92978500000001</v>
      </c>
      <c r="D1891" s="26">
        <v>0.16805555555555554</v>
      </c>
      <c r="E1891" s="55">
        <v>-23.473671</v>
      </c>
      <c r="F1891" s="55">
        <v>-47.004843000000001</v>
      </c>
      <c r="G1891" s="55">
        <v>-23.275058000000001</v>
      </c>
      <c r="H1891" s="55">
        <v>-47.826397</v>
      </c>
      <c r="I1891" s="55">
        <v>-22.905965999999999</v>
      </c>
      <c r="J1891" s="55">
        <v>-48.453744999999998</v>
      </c>
      <c r="L1891" s="61" t="str">
        <f t="shared" si="30"/>
        <v>Cliente32-Cliente50</v>
      </c>
      <c r="M1891">
        <v>199.92978500000001</v>
      </c>
    </row>
    <row r="1892" spans="1:13" x14ac:dyDescent="0.25">
      <c r="A1892" s="15" t="s">
        <v>4302</v>
      </c>
      <c r="B1892" s="15" t="s">
        <v>4321</v>
      </c>
      <c r="C1892" s="52">
        <v>198.828712</v>
      </c>
      <c r="D1892" s="25">
        <v>0.16597222222222222</v>
      </c>
      <c r="E1892" s="53">
        <v>-23.478581999999999</v>
      </c>
      <c r="F1892" s="53">
        <v>-46.997836</v>
      </c>
      <c r="G1892" s="53">
        <v>-23.282547999999998</v>
      </c>
      <c r="H1892" s="53">
        <v>-47.807020000000001</v>
      </c>
      <c r="I1892" s="53">
        <v>-22.905491000000001</v>
      </c>
      <c r="J1892" s="53">
        <v>-48.451870999999997</v>
      </c>
      <c r="L1892" s="61" t="str">
        <f t="shared" si="30"/>
        <v>Cliente32-Cliente51</v>
      </c>
      <c r="M1892">
        <v>198.828712</v>
      </c>
    </row>
    <row r="1893" spans="1:13" x14ac:dyDescent="0.25">
      <c r="A1893" s="15" t="s">
        <v>4303</v>
      </c>
      <c r="B1893" s="15" t="s">
        <v>4268</v>
      </c>
      <c r="C1893" s="54">
        <v>70.138689999999997</v>
      </c>
      <c r="D1893" s="26">
        <v>6.5277777777777782E-2</v>
      </c>
      <c r="E1893" s="55">
        <v>-23.518851000000002</v>
      </c>
      <c r="F1893" s="55">
        <v>-46.622418000000003</v>
      </c>
      <c r="G1893" s="55">
        <v>-23.511129</v>
      </c>
      <c r="H1893" s="55">
        <v>-46.914617</v>
      </c>
      <c r="I1893" s="55">
        <v>-23.419445</v>
      </c>
      <c r="J1893" s="55">
        <v>-47.198946999999997</v>
      </c>
      <c r="L1893" s="61" t="str">
        <f t="shared" si="30"/>
        <v>Cliente33-depósito A</v>
      </c>
      <c r="M1893">
        <v>70.138689999999997</v>
      </c>
    </row>
    <row r="1894" spans="1:13" x14ac:dyDescent="0.25">
      <c r="A1894" s="15" t="s">
        <v>4303</v>
      </c>
      <c r="B1894" s="15" t="s">
        <v>4269</v>
      </c>
      <c r="C1894" s="52">
        <v>175.81430900000001</v>
      </c>
      <c r="D1894" s="25">
        <v>0.14722222222222223</v>
      </c>
      <c r="E1894" s="53">
        <v>-23.372620000000001</v>
      </c>
      <c r="F1894" s="53">
        <v>-46.778390000000002</v>
      </c>
      <c r="G1894" s="53">
        <v>-22.977644999999999</v>
      </c>
      <c r="H1894" s="53">
        <v>-47.112226999999997</v>
      </c>
      <c r="I1894" s="53">
        <v>-22.463215000000002</v>
      </c>
      <c r="J1894" s="53">
        <v>-47.522052000000002</v>
      </c>
      <c r="L1894" s="61" t="str">
        <f t="shared" si="30"/>
        <v>Cliente33-depósito B</v>
      </c>
      <c r="M1894">
        <v>175.81430900000001</v>
      </c>
    </row>
    <row r="1895" spans="1:13" x14ac:dyDescent="0.25">
      <c r="A1895" s="15" t="s">
        <v>4303</v>
      </c>
      <c r="B1895" s="15" t="s">
        <v>4270</v>
      </c>
      <c r="C1895" s="54">
        <v>45.679594999999999</v>
      </c>
      <c r="D1895" s="26">
        <v>4.4444444444444446E-2</v>
      </c>
      <c r="E1895" s="55">
        <v>-23.500551999999999</v>
      </c>
      <c r="F1895" s="55">
        <v>-46.560623</v>
      </c>
      <c r="G1895" s="55">
        <v>-23.393281000000002</v>
      </c>
      <c r="H1895" s="55">
        <v>-46.285943000000003</v>
      </c>
      <c r="I1895" s="55">
        <v>-23.323340999999999</v>
      </c>
      <c r="J1895" s="55">
        <v>-46.119652000000002</v>
      </c>
      <c r="L1895" s="61" t="str">
        <f t="shared" si="30"/>
        <v>Cliente33-depósito C</v>
      </c>
      <c r="M1895">
        <v>45.679594999999999</v>
      </c>
    </row>
    <row r="1896" spans="1:13" x14ac:dyDescent="0.25">
      <c r="A1896" s="15" t="s">
        <v>4303</v>
      </c>
      <c r="B1896" s="15" t="s">
        <v>4271</v>
      </c>
      <c r="C1896" s="52">
        <v>65.899686000000003</v>
      </c>
      <c r="D1896" s="25">
        <v>6.1805555555555558E-2</v>
      </c>
      <c r="E1896" s="53">
        <v>-23.512460999999998</v>
      </c>
      <c r="F1896" s="53">
        <v>-46.679355999999999</v>
      </c>
      <c r="G1896" s="53">
        <v>-23.335598000000001</v>
      </c>
      <c r="H1896" s="53">
        <v>-46.822468999999998</v>
      </c>
      <c r="I1896" s="53">
        <v>-23.096508</v>
      </c>
      <c r="J1896" s="53">
        <v>-47.015532</v>
      </c>
      <c r="L1896" s="61" t="str">
        <f t="shared" si="30"/>
        <v>Cliente33-Cliente1</v>
      </c>
      <c r="M1896">
        <v>65.899686000000003</v>
      </c>
    </row>
    <row r="1897" spans="1:13" x14ac:dyDescent="0.25">
      <c r="A1897" s="15" t="s">
        <v>4303</v>
      </c>
      <c r="B1897" s="15" t="s">
        <v>4272</v>
      </c>
      <c r="C1897" s="54">
        <v>69.667689999999993</v>
      </c>
      <c r="D1897" s="26">
        <v>6.7361111111111108E-2</v>
      </c>
      <c r="E1897" s="55">
        <v>-23.507504000000001</v>
      </c>
      <c r="F1897" s="55">
        <v>-46.697887000000001</v>
      </c>
      <c r="G1897" s="55">
        <v>-23.303117</v>
      </c>
      <c r="H1897" s="55">
        <v>-46.839846000000001</v>
      </c>
      <c r="I1897" s="55">
        <v>-23.024046999999999</v>
      </c>
      <c r="J1897" s="55">
        <v>-47.075871999999997</v>
      </c>
      <c r="L1897" s="61" t="str">
        <f t="shared" si="30"/>
        <v>Cliente33-Cliente2</v>
      </c>
      <c r="M1897">
        <v>69.667689999999993</v>
      </c>
    </row>
    <row r="1898" spans="1:13" x14ac:dyDescent="0.25">
      <c r="A1898" s="15" t="s">
        <v>4303</v>
      </c>
      <c r="B1898" s="15" t="s">
        <v>4273</v>
      </c>
      <c r="C1898" s="52">
        <v>67.646985999999998</v>
      </c>
      <c r="D1898" s="25">
        <v>6.458333333333334E-2</v>
      </c>
      <c r="E1898" s="53">
        <v>-23.509459</v>
      </c>
      <c r="F1898" s="53">
        <v>-46.684623999999999</v>
      </c>
      <c r="G1898" s="53">
        <v>-23.314771</v>
      </c>
      <c r="H1898" s="53">
        <v>-46.823996999999999</v>
      </c>
      <c r="I1898" s="53">
        <v>-23.070899000000001</v>
      </c>
      <c r="J1898" s="53">
        <v>-47.030242000000001</v>
      </c>
      <c r="L1898" s="61" t="str">
        <f t="shared" si="30"/>
        <v>Cliente33-Cliente3</v>
      </c>
      <c r="M1898">
        <v>67.646985999999998</v>
      </c>
    </row>
    <row r="1899" spans="1:13" x14ac:dyDescent="0.25">
      <c r="A1899" s="15" t="s">
        <v>4303</v>
      </c>
      <c r="B1899" s="15" t="s">
        <v>4274</v>
      </c>
      <c r="C1899" s="54">
        <v>77.803944000000001</v>
      </c>
      <c r="D1899" s="26">
        <v>7.1527777777777787E-2</v>
      </c>
      <c r="E1899" s="55">
        <v>-23.507414000000001</v>
      </c>
      <c r="F1899" s="55">
        <v>-46.715564000000001</v>
      </c>
      <c r="G1899" s="55">
        <v>-23.287818999999999</v>
      </c>
      <c r="H1899" s="55">
        <v>-46.847408000000001</v>
      </c>
      <c r="I1899" s="55">
        <v>-23.008144000000001</v>
      </c>
      <c r="J1899" s="55">
        <v>-47.084125999999998</v>
      </c>
      <c r="L1899" s="61" t="str">
        <f t="shared" si="30"/>
        <v>Cliente33-Cliente4</v>
      </c>
      <c r="M1899">
        <v>77.803944000000001</v>
      </c>
    </row>
    <row r="1900" spans="1:13" x14ac:dyDescent="0.25">
      <c r="A1900" s="15" t="s">
        <v>4303</v>
      </c>
      <c r="B1900" s="15" t="s">
        <v>4275</v>
      </c>
      <c r="C1900" s="52">
        <v>77.897149999999996</v>
      </c>
      <c r="D1900" s="25">
        <v>7.1527777777777787E-2</v>
      </c>
      <c r="E1900" s="53">
        <v>-23.507912000000001</v>
      </c>
      <c r="F1900" s="53">
        <v>-46.711089999999999</v>
      </c>
      <c r="G1900" s="53">
        <v>-23.293343</v>
      </c>
      <c r="H1900" s="53">
        <v>-46.842875999999997</v>
      </c>
      <c r="I1900" s="53">
        <v>-23.013434</v>
      </c>
      <c r="J1900" s="53">
        <v>-47.083367000000003</v>
      </c>
      <c r="L1900" s="61" t="str">
        <f t="shared" si="30"/>
        <v>Cliente33-Cliente5</v>
      </c>
      <c r="M1900">
        <v>77.897149999999996</v>
      </c>
    </row>
    <row r="1901" spans="1:13" x14ac:dyDescent="0.25">
      <c r="A1901" s="15" t="s">
        <v>4303</v>
      </c>
      <c r="B1901" s="15" t="s">
        <v>4276</v>
      </c>
      <c r="C1901" s="54">
        <v>60.272534</v>
      </c>
      <c r="D1901" s="26">
        <v>6.0416666666666667E-2</v>
      </c>
      <c r="E1901" s="55">
        <v>-23.510318999999999</v>
      </c>
      <c r="F1901" s="55">
        <v>-46.682270000000003</v>
      </c>
      <c r="G1901" s="55">
        <v>-23.333662</v>
      </c>
      <c r="H1901" s="55">
        <v>-46.822890999999998</v>
      </c>
      <c r="I1901" s="55">
        <v>-23.114462</v>
      </c>
      <c r="J1901" s="55">
        <v>-46.957011000000001</v>
      </c>
      <c r="L1901" s="61" t="str">
        <f t="shared" si="30"/>
        <v>Cliente33-Cliente6</v>
      </c>
      <c r="M1901">
        <v>60.272534</v>
      </c>
    </row>
    <row r="1902" spans="1:13" x14ac:dyDescent="0.25">
      <c r="A1902" s="15" t="s">
        <v>4303</v>
      </c>
      <c r="B1902" s="15" t="s">
        <v>4277</v>
      </c>
      <c r="C1902" s="52">
        <v>64.990617</v>
      </c>
      <c r="D1902" s="25">
        <v>6.1111111111111116E-2</v>
      </c>
      <c r="E1902" s="53">
        <v>-23.515967</v>
      </c>
      <c r="F1902" s="53">
        <v>-46.656748</v>
      </c>
      <c r="G1902" s="53">
        <v>-23.351295</v>
      </c>
      <c r="H1902" s="53">
        <v>-46.79918</v>
      </c>
      <c r="I1902" s="53">
        <v>-23.138171</v>
      </c>
      <c r="J1902" s="53">
        <v>-46.977221999999998</v>
      </c>
      <c r="L1902" s="61" t="str">
        <f t="shared" si="30"/>
        <v>Cliente33-Cliente7</v>
      </c>
      <c r="M1902">
        <v>64.990617</v>
      </c>
    </row>
    <row r="1903" spans="1:13" x14ac:dyDescent="0.25">
      <c r="A1903" s="15" t="s">
        <v>4303</v>
      </c>
      <c r="B1903" s="15" t="s">
        <v>4278</v>
      </c>
      <c r="C1903" s="54">
        <v>68.583393999999998</v>
      </c>
      <c r="D1903" s="26">
        <v>6.6666666666666666E-2</v>
      </c>
      <c r="E1903" s="55">
        <v>-23.371852000000001</v>
      </c>
      <c r="F1903" s="55">
        <v>-46.556327000000003</v>
      </c>
      <c r="G1903" s="55">
        <v>-23.249414000000002</v>
      </c>
      <c r="H1903" s="55">
        <v>-46.592731000000001</v>
      </c>
      <c r="I1903" s="55">
        <v>-23.000955000000001</v>
      </c>
      <c r="J1903" s="55">
        <v>-46.780441000000003</v>
      </c>
      <c r="L1903" s="61" t="str">
        <f t="shared" si="30"/>
        <v>Cliente33-Cliente8</v>
      </c>
      <c r="M1903">
        <v>68.583393999999998</v>
      </c>
    </row>
    <row r="1904" spans="1:13" x14ac:dyDescent="0.25">
      <c r="A1904" s="15" t="s">
        <v>4303</v>
      </c>
      <c r="B1904" s="15" t="s">
        <v>4279</v>
      </c>
      <c r="C1904" s="52">
        <v>86.032784000000007</v>
      </c>
      <c r="D1904" s="25">
        <v>7.9861111111111105E-2</v>
      </c>
      <c r="E1904" s="53">
        <v>-23.507365</v>
      </c>
      <c r="F1904" s="53">
        <v>-46.716290000000001</v>
      </c>
      <c r="G1904" s="53">
        <v>-23.278862</v>
      </c>
      <c r="H1904" s="53">
        <v>-46.848436</v>
      </c>
      <c r="I1904" s="53">
        <v>-22.979915999999999</v>
      </c>
      <c r="J1904" s="53">
        <v>-47.111631000000003</v>
      </c>
      <c r="L1904" s="61" t="str">
        <f t="shared" si="30"/>
        <v>Cliente33-Cliente9</v>
      </c>
      <c r="M1904">
        <v>86.032784000000007</v>
      </c>
    </row>
    <row r="1905" spans="1:13" x14ac:dyDescent="0.25">
      <c r="A1905" s="15" t="s">
        <v>4303</v>
      </c>
      <c r="B1905" s="15" t="s">
        <v>4280</v>
      </c>
      <c r="C1905" s="54">
        <v>5.666919</v>
      </c>
      <c r="D1905" s="26">
        <v>1.5972222222222224E-2</v>
      </c>
      <c r="E1905" s="55">
        <v>-23.457647000000001</v>
      </c>
      <c r="F1905" s="55">
        <v>-46.584800000000001</v>
      </c>
      <c r="G1905" s="55">
        <v>-23.458504000000001</v>
      </c>
      <c r="H1905" s="55">
        <v>-46.607019000000001</v>
      </c>
      <c r="I1905" s="55">
        <v>-23.464305</v>
      </c>
      <c r="J1905" s="55">
        <v>-46.629308999999999</v>
      </c>
      <c r="L1905" s="61" t="str">
        <f t="shared" si="30"/>
        <v>Cliente33-Cliente10</v>
      </c>
      <c r="M1905">
        <v>5.666919</v>
      </c>
    </row>
    <row r="1906" spans="1:13" x14ac:dyDescent="0.25">
      <c r="A1906" s="15" t="s">
        <v>4303</v>
      </c>
      <c r="B1906" s="15" t="s">
        <v>4281</v>
      </c>
      <c r="C1906" s="52">
        <v>103.25412900000001</v>
      </c>
      <c r="D1906" s="25">
        <v>8.819444444444445E-2</v>
      </c>
      <c r="E1906" s="53">
        <v>-23.488368999999999</v>
      </c>
      <c r="F1906" s="53">
        <v>-46.736564000000001</v>
      </c>
      <c r="G1906" s="53">
        <v>-23.214390999999999</v>
      </c>
      <c r="H1906" s="53">
        <v>-46.918745000000001</v>
      </c>
      <c r="I1906" s="53">
        <v>-22.912109999999998</v>
      </c>
      <c r="J1906" s="53">
        <v>-47.189996999999998</v>
      </c>
      <c r="L1906" s="61" t="str">
        <f t="shared" si="30"/>
        <v>Cliente33-Cliente11</v>
      </c>
      <c r="M1906">
        <v>103.25412900000001</v>
      </c>
    </row>
    <row r="1907" spans="1:13" x14ac:dyDescent="0.25">
      <c r="A1907" s="15" t="s">
        <v>4303</v>
      </c>
      <c r="B1907" s="15" t="s">
        <v>4282</v>
      </c>
      <c r="C1907" s="54">
        <v>44.720816999999997</v>
      </c>
      <c r="D1907" s="26">
        <v>4.4444444444444446E-2</v>
      </c>
      <c r="E1907" s="55">
        <v>-23.500184999999998</v>
      </c>
      <c r="F1907" s="55">
        <v>-46.560915000000001</v>
      </c>
      <c r="G1907" s="55">
        <v>-23.378776999999999</v>
      </c>
      <c r="H1907" s="55">
        <v>-46.256095000000002</v>
      </c>
      <c r="I1907" s="55">
        <v>-23.320944000000001</v>
      </c>
      <c r="J1907" s="55">
        <v>-46.092388999999997</v>
      </c>
      <c r="L1907" s="61" t="str">
        <f t="shared" si="30"/>
        <v>Cliente33-Cliente12</v>
      </c>
      <c r="M1907">
        <v>44.720816999999997</v>
      </c>
    </row>
    <row r="1908" spans="1:13" x14ac:dyDescent="0.25">
      <c r="A1908" s="15" t="s">
        <v>4303</v>
      </c>
      <c r="B1908" s="15" t="s">
        <v>4283</v>
      </c>
      <c r="C1908" s="52">
        <v>52.604795000000003</v>
      </c>
      <c r="D1908" s="25">
        <v>4.9999999999999996E-2</v>
      </c>
      <c r="E1908" s="53">
        <v>-23.497834000000001</v>
      </c>
      <c r="F1908" s="53">
        <v>-46.558337000000002</v>
      </c>
      <c r="G1908" s="53">
        <v>-23.370108999999999</v>
      </c>
      <c r="H1908" s="53">
        <v>-46.241131000000003</v>
      </c>
      <c r="I1908" s="53">
        <v>-23.307832000000001</v>
      </c>
      <c r="J1908" s="53">
        <v>-46.054409999999997</v>
      </c>
      <c r="L1908" s="61" t="str">
        <f t="shared" si="30"/>
        <v>Cliente33-Cliente13</v>
      </c>
      <c r="M1908">
        <v>52.604795000000003</v>
      </c>
    </row>
    <row r="1909" spans="1:13" x14ac:dyDescent="0.25">
      <c r="A1909" s="15" t="s">
        <v>4303</v>
      </c>
      <c r="B1909" s="15" t="s">
        <v>4284</v>
      </c>
      <c r="C1909" s="54">
        <v>50.667354000000003</v>
      </c>
      <c r="D1909" s="26">
        <v>4.7222222222222221E-2</v>
      </c>
      <c r="E1909" s="55">
        <v>-23.500615</v>
      </c>
      <c r="F1909" s="55">
        <v>-46.560310000000001</v>
      </c>
      <c r="G1909" s="55">
        <v>-23.396858000000002</v>
      </c>
      <c r="H1909" s="55">
        <v>-46.292222000000002</v>
      </c>
      <c r="I1909" s="55">
        <v>-23.338992999999999</v>
      </c>
      <c r="J1909" s="55">
        <v>-46.14978</v>
      </c>
      <c r="L1909" s="61" t="str">
        <f t="shared" si="30"/>
        <v>Cliente33-Cliente14</v>
      </c>
      <c r="M1909">
        <v>50.667354000000003</v>
      </c>
    </row>
    <row r="1910" spans="1:13" x14ac:dyDescent="0.25">
      <c r="A1910" s="15" t="s">
        <v>4303</v>
      </c>
      <c r="B1910" s="15" t="s">
        <v>4285</v>
      </c>
      <c r="C1910" s="52">
        <v>53.045968999999999</v>
      </c>
      <c r="D1910" s="25">
        <v>5.2777777777777778E-2</v>
      </c>
      <c r="E1910" s="53">
        <v>-23.490207999999999</v>
      </c>
      <c r="F1910" s="53">
        <v>-46.547612000000001</v>
      </c>
      <c r="G1910" s="53">
        <v>-23.369465000000002</v>
      </c>
      <c r="H1910" s="53">
        <v>-46.239342999999998</v>
      </c>
      <c r="I1910" s="53">
        <v>-23.307434000000001</v>
      </c>
      <c r="J1910" s="53">
        <v>-46.043004000000003</v>
      </c>
      <c r="L1910" s="61" t="str">
        <f t="shared" si="30"/>
        <v>Cliente33-Cliente15</v>
      </c>
      <c r="M1910">
        <v>53.045968999999999</v>
      </c>
    </row>
    <row r="1911" spans="1:13" x14ac:dyDescent="0.25">
      <c r="A1911" s="15" t="s">
        <v>4303</v>
      </c>
      <c r="B1911" s="15" t="s">
        <v>4286</v>
      </c>
      <c r="C1911" s="54">
        <v>51.976587000000002</v>
      </c>
      <c r="D1911" s="26">
        <v>5.1388888888888894E-2</v>
      </c>
      <c r="E1911" s="55">
        <v>-23.490207999999999</v>
      </c>
      <c r="F1911" s="55">
        <v>-46.547612000000001</v>
      </c>
      <c r="G1911" s="55">
        <v>-23.369465000000002</v>
      </c>
      <c r="H1911" s="55">
        <v>-46.239342999999998</v>
      </c>
      <c r="I1911" s="55">
        <v>-23.307434000000001</v>
      </c>
      <c r="J1911" s="55">
        <v>-46.043004000000003</v>
      </c>
      <c r="L1911" s="61" t="str">
        <f t="shared" si="30"/>
        <v>Cliente33-Cliente16</v>
      </c>
      <c r="M1911">
        <v>51.976587000000002</v>
      </c>
    </row>
    <row r="1912" spans="1:13" x14ac:dyDescent="0.25">
      <c r="A1912" s="15" t="s">
        <v>4303</v>
      </c>
      <c r="B1912" s="15" t="s">
        <v>4287</v>
      </c>
      <c r="C1912" s="52">
        <v>53.032299000000002</v>
      </c>
      <c r="D1912" s="25">
        <v>4.9999999999999996E-2</v>
      </c>
      <c r="E1912" s="53">
        <v>-23.497834000000001</v>
      </c>
      <c r="F1912" s="53">
        <v>-46.558337000000002</v>
      </c>
      <c r="G1912" s="53">
        <v>-23.370108999999999</v>
      </c>
      <c r="H1912" s="53">
        <v>-46.241131000000003</v>
      </c>
      <c r="I1912" s="53">
        <v>-23.307832000000001</v>
      </c>
      <c r="J1912" s="53">
        <v>-46.054409999999997</v>
      </c>
      <c r="L1912" s="61" t="str">
        <f t="shared" si="30"/>
        <v>Cliente33-Cliente17</v>
      </c>
      <c r="M1912">
        <v>53.032299000000002</v>
      </c>
    </row>
    <row r="1913" spans="1:13" x14ac:dyDescent="0.25">
      <c r="A1913" s="15" t="s">
        <v>4303</v>
      </c>
      <c r="B1913" s="15" t="s">
        <v>4288</v>
      </c>
      <c r="C1913" s="54">
        <v>57.860365000000002</v>
      </c>
      <c r="D1913" s="26">
        <v>5.4166666666666669E-2</v>
      </c>
      <c r="E1913" s="55">
        <v>-23.499389999999998</v>
      </c>
      <c r="F1913" s="55">
        <v>-46.560316999999998</v>
      </c>
      <c r="G1913" s="55">
        <v>-23.376688999999999</v>
      </c>
      <c r="H1913" s="55">
        <v>-46.248811000000003</v>
      </c>
      <c r="I1913" s="55">
        <v>-23.31493</v>
      </c>
      <c r="J1913" s="55">
        <v>-46.070214999999997</v>
      </c>
      <c r="L1913" s="61" t="str">
        <f t="shared" si="30"/>
        <v>Cliente33-Cliente18</v>
      </c>
      <c r="M1913">
        <v>57.860365000000002</v>
      </c>
    </row>
    <row r="1914" spans="1:13" x14ac:dyDescent="0.25">
      <c r="A1914" s="15" t="s">
        <v>4303</v>
      </c>
      <c r="B1914" s="15" t="s">
        <v>4289</v>
      </c>
      <c r="C1914" s="52">
        <v>12.890999000000001</v>
      </c>
      <c r="D1914" s="25">
        <v>1.8749999999999999E-2</v>
      </c>
      <c r="E1914" s="53">
        <v>-23.474782999999999</v>
      </c>
      <c r="F1914" s="53">
        <v>-46.561208999999998</v>
      </c>
      <c r="G1914" s="53">
        <v>-23.527343999999999</v>
      </c>
      <c r="H1914" s="53">
        <v>-46.594290000000001</v>
      </c>
      <c r="I1914" s="53">
        <v>-23.517294</v>
      </c>
      <c r="J1914" s="53">
        <v>-46.645446</v>
      </c>
      <c r="L1914" s="61" t="str">
        <f t="shared" si="30"/>
        <v>Cliente33-Cliente19</v>
      </c>
      <c r="M1914">
        <v>12.890999000000001</v>
      </c>
    </row>
    <row r="1915" spans="1:13" x14ac:dyDescent="0.25">
      <c r="A1915" s="15" t="s">
        <v>4303</v>
      </c>
      <c r="B1915" s="15" t="s">
        <v>4290</v>
      </c>
      <c r="C1915" s="54">
        <v>20.443784000000001</v>
      </c>
      <c r="D1915" s="26">
        <v>2.7777777777777776E-2</v>
      </c>
      <c r="E1915" s="55">
        <v>-23.489356999999998</v>
      </c>
      <c r="F1915" s="55">
        <v>-46.559430999999996</v>
      </c>
      <c r="G1915" s="55">
        <v>-23.518370000000001</v>
      </c>
      <c r="H1915" s="55">
        <v>-46.618609999999997</v>
      </c>
      <c r="I1915" s="55">
        <v>-23.514894000000002</v>
      </c>
      <c r="J1915" s="55">
        <v>-46.727944999999998</v>
      </c>
      <c r="L1915" s="61" t="str">
        <f t="shared" si="30"/>
        <v>Cliente33-Cliente20</v>
      </c>
      <c r="M1915">
        <v>20.443784000000001</v>
      </c>
    </row>
    <row r="1916" spans="1:13" x14ac:dyDescent="0.25">
      <c r="A1916" s="15" t="s">
        <v>4303</v>
      </c>
      <c r="B1916" s="15" t="s">
        <v>4291</v>
      </c>
      <c r="C1916" s="52">
        <v>20.048590999999998</v>
      </c>
      <c r="D1916" s="25">
        <v>2.8472222222222222E-2</v>
      </c>
      <c r="E1916" s="53">
        <v>-23.497326999999999</v>
      </c>
      <c r="F1916" s="53">
        <v>-46.560003999999999</v>
      </c>
      <c r="G1916" s="53">
        <v>-23.516408999999999</v>
      </c>
      <c r="H1916" s="53">
        <v>-46.654031000000003</v>
      </c>
      <c r="I1916" s="53">
        <v>-23.518367999999999</v>
      </c>
      <c r="J1916" s="53">
        <v>-46.746597000000001</v>
      </c>
      <c r="L1916" s="61" t="str">
        <f t="shared" si="30"/>
        <v>Cliente33-Cliente21</v>
      </c>
      <c r="M1916">
        <v>20.048590999999998</v>
      </c>
    </row>
    <row r="1917" spans="1:13" x14ac:dyDescent="0.25">
      <c r="A1917" s="15" t="s">
        <v>4303</v>
      </c>
      <c r="B1917" s="15" t="s">
        <v>4292</v>
      </c>
      <c r="C1917" s="54">
        <v>16.760908000000001</v>
      </c>
      <c r="D1917" s="26">
        <v>2.4999999999999998E-2</v>
      </c>
      <c r="E1917" s="55">
        <v>-23.489356999999998</v>
      </c>
      <c r="F1917" s="55">
        <v>-46.559430999999996</v>
      </c>
      <c r="G1917" s="55">
        <v>-23.518370000000001</v>
      </c>
      <c r="H1917" s="55">
        <v>-46.618609999999997</v>
      </c>
      <c r="I1917" s="55">
        <v>-23.515262</v>
      </c>
      <c r="J1917" s="55">
        <v>-46.696280999999999</v>
      </c>
      <c r="L1917" s="61" t="str">
        <f t="shared" si="30"/>
        <v>Cliente33-Cliente22</v>
      </c>
      <c r="M1917">
        <v>16.760908000000001</v>
      </c>
    </row>
    <row r="1918" spans="1:13" x14ac:dyDescent="0.25">
      <c r="A1918" s="15" t="s">
        <v>4303</v>
      </c>
      <c r="B1918" s="15" t="s">
        <v>4293</v>
      </c>
      <c r="C1918" s="52">
        <v>25.199770999999998</v>
      </c>
      <c r="D1918" s="25">
        <v>3.4722222222222224E-2</v>
      </c>
      <c r="E1918" s="53">
        <v>-23.504311000000001</v>
      </c>
      <c r="F1918" s="53">
        <v>-46.568393999999998</v>
      </c>
      <c r="G1918" s="53">
        <v>-23.507504000000001</v>
      </c>
      <c r="H1918" s="53">
        <v>-46.697887000000001</v>
      </c>
      <c r="I1918" s="53">
        <v>-23.57283</v>
      </c>
      <c r="J1918" s="53">
        <v>-46.711247999999998</v>
      </c>
      <c r="L1918" s="61" t="str">
        <f t="shared" si="30"/>
        <v>Cliente33-Cliente23</v>
      </c>
      <c r="M1918">
        <v>25.199770999999998</v>
      </c>
    </row>
    <row r="1919" spans="1:13" x14ac:dyDescent="0.25">
      <c r="A1919" s="15" t="s">
        <v>4303</v>
      </c>
      <c r="B1919" s="15" t="s">
        <v>4294</v>
      </c>
      <c r="C1919" s="54">
        <v>20.139932999999999</v>
      </c>
      <c r="D1919" s="26">
        <v>3.7499999999999999E-2</v>
      </c>
      <c r="E1919" s="55">
        <v>-23.498863</v>
      </c>
      <c r="F1919" s="55">
        <v>-46.561048999999997</v>
      </c>
      <c r="G1919" s="55">
        <v>-23.551758</v>
      </c>
      <c r="H1919" s="55">
        <v>-46.624229999999997</v>
      </c>
      <c r="I1919" s="55">
        <v>-23.569307999999999</v>
      </c>
      <c r="J1919" s="55">
        <v>-46.687663000000001</v>
      </c>
      <c r="L1919" s="61" t="str">
        <f t="shared" si="30"/>
        <v>Cliente33-Cliente24</v>
      </c>
      <c r="M1919">
        <v>20.139932999999999</v>
      </c>
    </row>
    <row r="1920" spans="1:13" x14ac:dyDescent="0.25">
      <c r="A1920" s="15" t="s">
        <v>4303</v>
      </c>
      <c r="B1920" s="15" t="s">
        <v>4295</v>
      </c>
      <c r="C1920" s="52">
        <v>27.575278999999998</v>
      </c>
      <c r="D1920" s="25">
        <v>4.0972222222222222E-2</v>
      </c>
      <c r="E1920" s="53">
        <v>-23.527343999999999</v>
      </c>
      <c r="F1920" s="53">
        <v>-46.594290000000001</v>
      </c>
      <c r="G1920" s="53">
        <v>-23.517199999999999</v>
      </c>
      <c r="H1920" s="53">
        <v>-46.732883999999999</v>
      </c>
      <c r="I1920" s="53">
        <v>-23.584394</v>
      </c>
      <c r="J1920" s="53">
        <v>-46.737932999999998</v>
      </c>
      <c r="L1920" s="61" t="str">
        <f t="shared" si="30"/>
        <v>Cliente33-Cliente25</v>
      </c>
      <c r="M1920">
        <v>27.575278999999998</v>
      </c>
    </row>
    <row r="1921" spans="1:13" x14ac:dyDescent="0.25">
      <c r="A1921" s="15" t="s">
        <v>4303</v>
      </c>
      <c r="B1921" s="15" t="s">
        <v>4296</v>
      </c>
      <c r="C1921" s="54">
        <v>29.156673000000001</v>
      </c>
      <c r="D1921" s="26">
        <v>3.6805555555555557E-2</v>
      </c>
      <c r="E1921" s="55" t="s">
        <v>7292</v>
      </c>
      <c r="F1921" s="55">
        <v>-46.601266000000003</v>
      </c>
      <c r="G1921" s="55">
        <v>-23.518307</v>
      </c>
      <c r="H1921" s="55">
        <v>-46.746212</v>
      </c>
      <c r="I1921" s="55">
        <v>-23.563374</v>
      </c>
      <c r="J1921" s="55">
        <v>-46.820276999999997</v>
      </c>
      <c r="L1921" s="61" t="str">
        <f t="shared" si="30"/>
        <v>Cliente33-Cliente26</v>
      </c>
      <c r="M1921">
        <v>29.156673000000001</v>
      </c>
    </row>
    <row r="1922" spans="1:13" x14ac:dyDescent="0.25">
      <c r="A1922" s="15" t="s">
        <v>4303</v>
      </c>
      <c r="B1922" s="15" t="s">
        <v>4297</v>
      </c>
      <c r="C1922" s="52">
        <v>26.978760999999999</v>
      </c>
      <c r="D1922" s="25">
        <v>3.7499999999999999E-2</v>
      </c>
      <c r="E1922" s="53">
        <v>-23.521705000000001</v>
      </c>
      <c r="F1922" s="53">
        <v>-46.585081000000002</v>
      </c>
      <c r="G1922" s="53">
        <v>-23.507617</v>
      </c>
      <c r="H1922" s="53">
        <v>-46.716526000000002</v>
      </c>
      <c r="I1922" s="53">
        <v>-23.575545999999999</v>
      </c>
      <c r="J1922" s="53">
        <v>-46.717728999999999</v>
      </c>
      <c r="L1922" s="61" t="str">
        <f t="shared" si="30"/>
        <v>Cliente33-Cliente27</v>
      </c>
      <c r="M1922">
        <v>26.978760999999999</v>
      </c>
    </row>
    <row r="1923" spans="1:13" x14ac:dyDescent="0.25">
      <c r="A1923" s="15" t="s">
        <v>4303</v>
      </c>
      <c r="B1923" s="15" t="s">
        <v>4298</v>
      </c>
      <c r="C1923" s="54">
        <v>21.754259999999999</v>
      </c>
      <c r="D1923" s="26">
        <v>3.4722222222222224E-2</v>
      </c>
      <c r="E1923" s="55">
        <v>-23.501266000000001</v>
      </c>
      <c r="F1923" s="55">
        <v>-46.564200999999997</v>
      </c>
      <c r="G1923" s="55">
        <v>-23.554853000000001</v>
      </c>
      <c r="H1923" s="55">
        <v>-46.627332000000003</v>
      </c>
      <c r="I1923" s="55">
        <v>-23.616351999999999</v>
      </c>
      <c r="J1923" s="55">
        <v>-46.660874</v>
      </c>
      <c r="L1923" s="61" t="str">
        <f t="shared" si="30"/>
        <v>Cliente33-Cliente28</v>
      </c>
      <c r="M1923">
        <v>21.754259999999999</v>
      </c>
    </row>
    <row r="1924" spans="1:13" x14ac:dyDescent="0.25">
      <c r="A1924" s="15" t="s">
        <v>4303</v>
      </c>
      <c r="B1924" s="15" t="s">
        <v>4299</v>
      </c>
      <c r="C1924" s="52">
        <v>19.338984</v>
      </c>
      <c r="D1924" s="25">
        <v>2.9861111111111113E-2</v>
      </c>
      <c r="E1924" s="53">
        <v>-23.494999</v>
      </c>
      <c r="F1924" s="53">
        <v>-46.559620000000002</v>
      </c>
      <c r="G1924" s="53">
        <v>-23.570404</v>
      </c>
      <c r="H1924" s="53">
        <v>-46.573680000000003</v>
      </c>
      <c r="I1924" s="53">
        <v>-23.601257</v>
      </c>
      <c r="J1924" s="53">
        <v>-46.598936999999999</v>
      </c>
      <c r="L1924" s="61" t="str">
        <f t="shared" si="30"/>
        <v>Cliente33-Cliente29</v>
      </c>
      <c r="M1924">
        <v>19.338984</v>
      </c>
    </row>
    <row r="1925" spans="1:13" x14ac:dyDescent="0.25">
      <c r="A1925" s="15" t="s">
        <v>4303</v>
      </c>
      <c r="B1925" s="15" t="s">
        <v>4300</v>
      </c>
      <c r="C1925" s="54">
        <v>20.817229000000001</v>
      </c>
      <c r="D1925" s="26">
        <v>3.6805555555555557E-2</v>
      </c>
      <c r="E1925" s="55">
        <v>-23.525299</v>
      </c>
      <c r="F1925" s="55">
        <v>-46.556860999999998</v>
      </c>
      <c r="G1925" s="55">
        <v>-23.579654000000001</v>
      </c>
      <c r="H1925" s="55">
        <v>-46.493721000000001</v>
      </c>
      <c r="I1925" s="55">
        <v>-23.62379</v>
      </c>
      <c r="J1925" s="55">
        <v>-46.481605999999999</v>
      </c>
      <c r="L1925" s="61" t="str">
        <f t="shared" si="30"/>
        <v>Cliente33-Cliente30</v>
      </c>
      <c r="M1925">
        <v>20.817229000000001</v>
      </c>
    </row>
    <row r="1926" spans="1:13" x14ac:dyDescent="0.25">
      <c r="A1926" s="15" t="s">
        <v>4303</v>
      </c>
      <c r="B1926" s="15" t="s">
        <v>4301</v>
      </c>
      <c r="C1926" s="52">
        <v>23.159182999999999</v>
      </c>
      <c r="D1926" s="25">
        <v>3.3333333333333333E-2</v>
      </c>
      <c r="E1926" s="53">
        <v>-23.505389999999998</v>
      </c>
      <c r="F1926" s="53">
        <v>-46.569549000000002</v>
      </c>
      <c r="G1926" s="53">
        <v>-23.508161000000001</v>
      </c>
      <c r="H1926" s="53">
        <v>-46.708806000000003</v>
      </c>
      <c r="I1926" s="53">
        <v>-23.522093000000002</v>
      </c>
      <c r="J1926" s="53">
        <v>-46.780076999999999</v>
      </c>
      <c r="L1926" s="61" t="str">
        <f t="shared" si="30"/>
        <v>Cliente33-Cliente31</v>
      </c>
      <c r="M1926">
        <v>23.159182999999999</v>
      </c>
    </row>
    <row r="1927" spans="1:13" x14ac:dyDescent="0.25">
      <c r="A1927" s="15" t="s">
        <v>4303</v>
      </c>
      <c r="B1927" s="15" t="s">
        <v>4302</v>
      </c>
      <c r="C1927" s="54">
        <v>18.190065000000001</v>
      </c>
      <c r="D1927" s="26">
        <v>2.6388888888888889E-2</v>
      </c>
      <c r="E1927" s="55">
        <v>-23.483749</v>
      </c>
      <c r="F1927" s="55">
        <v>-46.559885000000001</v>
      </c>
      <c r="G1927" s="55">
        <v>-23.521847999999999</v>
      </c>
      <c r="H1927" s="55">
        <v>-46.612279999999998</v>
      </c>
      <c r="I1927" s="55">
        <v>-23.509091000000002</v>
      </c>
      <c r="J1927" s="55">
        <v>-46.721499000000001</v>
      </c>
      <c r="L1927" s="61" t="str">
        <f t="shared" si="30"/>
        <v>Cliente33-Cliente32</v>
      </c>
      <c r="M1927">
        <v>18.190065000000001</v>
      </c>
    </row>
    <row r="1928" spans="1:13" x14ac:dyDescent="0.25">
      <c r="A1928" s="15" t="s">
        <v>4303</v>
      </c>
      <c r="B1928" s="15" t="s">
        <v>4303</v>
      </c>
      <c r="C1928" s="52">
        <v>0</v>
      </c>
      <c r="D1928" s="25">
        <v>0</v>
      </c>
      <c r="E1928" s="53">
        <f>'1. Locais'!D37</f>
        <v>-23.467220000000001</v>
      </c>
      <c r="F1928" s="53">
        <f>'1. Locais'!E37</f>
        <v>-46.58475</v>
      </c>
      <c r="G1928" s="53">
        <f>'1. Locais'!D37</f>
        <v>-23.467220000000001</v>
      </c>
      <c r="H1928" s="53">
        <f>'1. Locais'!E37</f>
        <v>-46.58475</v>
      </c>
      <c r="I1928" s="53">
        <f>'1. Locais'!D37</f>
        <v>-23.467220000000001</v>
      </c>
      <c r="J1928" s="53">
        <f>'1. Locais'!E37</f>
        <v>-46.58475</v>
      </c>
      <c r="L1928" s="61" t="str">
        <f t="shared" si="30"/>
        <v>Cliente33-Cliente33</v>
      </c>
      <c r="M1928">
        <v>0</v>
      </c>
    </row>
    <row r="1929" spans="1:13" x14ac:dyDescent="0.25">
      <c r="A1929" s="15" t="s">
        <v>4303</v>
      </c>
      <c r="B1929" s="15" t="s">
        <v>4304</v>
      </c>
      <c r="C1929" s="54">
        <v>27.866703000000001</v>
      </c>
      <c r="D1929" s="26">
        <v>3.8194444444444441E-2</v>
      </c>
      <c r="E1929" s="55">
        <v>-23.524854999999999</v>
      </c>
      <c r="F1929" s="55">
        <v>-46.599122000000001</v>
      </c>
      <c r="G1929" s="55">
        <v>-23.517246</v>
      </c>
      <c r="H1929" s="55">
        <v>-46.744055000000003</v>
      </c>
      <c r="I1929" s="55">
        <v>-23.490310999999998</v>
      </c>
      <c r="J1929" s="55">
        <v>-46.829594</v>
      </c>
      <c r="L1929" s="61" t="str">
        <f t="shared" si="30"/>
        <v>Cliente33-Cliente34</v>
      </c>
      <c r="M1929">
        <v>27.866703000000001</v>
      </c>
    </row>
    <row r="1930" spans="1:13" x14ac:dyDescent="0.25">
      <c r="A1930" s="15" t="s">
        <v>4303</v>
      </c>
      <c r="B1930" s="15" t="s">
        <v>4305</v>
      </c>
      <c r="C1930" s="52">
        <v>28.462599999999998</v>
      </c>
      <c r="D1930" s="25">
        <v>3.7499999999999999E-2</v>
      </c>
      <c r="E1930" s="53">
        <v>-23.527343999999999</v>
      </c>
      <c r="F1930" s="53">
        <v>-46.594290000000001</v>
      </c>
      <c r="G1930" s="53">
        <v>-23.516947999999999</v>
      </c>
      <c r="H1930" s="53">
        <v>-46.732973999999999</v>
      </c>
      <c r="I1930" s="53">
        <v>-23.492495999999999</v>
      </c>
      <c r="J1930" s="53">
        <v>-46.849046000000001</v>
      </c>
      <c r="L1930" s="61" t="str">
        <f t="shared" si="30"/>
        <v>Cliente33-Cliente35</v>
      </c>
      <c r="M1930">
        <v>28.462599999999998</v>
      </c>
    </row>
    <row r="1931" spans="1:13" x14ac:dyDescent="0.25">
      <c r="A1931" s="15" t="s">
        <v>4303</v>
      </c>
      <c r="B1931" s="15" t="s">
        <v>4306</v>
      </c>
      <c r="C1931" s="54">
        <v>152.75019599999999</v>
      </c>
      <c r="D1931" s="26">
        <v>0.13194444444444445</v>
      </c>
      <c r="E1931" s="55">
        <v>-23.374157</v>
      </c>
      <c r="F1931" s="55">
        <v>-46.777113</v>
      </c>
      <c r="G1931" s="55">
        <v>-22.991033999999999</v>
      </c>
      <c r="H1931" s="55">
        <v>-47.110770000000002</v>
      </c>
      <c r="I1931" s="55">
        <v>-22.502466999999999</v>
      </c>
      <c r="J1931" s="55">
        <v>-47.398080999999998</v>
      </c>
      <c r="L1931" s="61" t="str">
        <f t="shared" si="30"/>
        <v>Cliente33-Cliente36</v>
      </c>
      <c r="M1931">
        <v>152.75019599999999</v>
      </c>
    </row>
    <row r="1932" spans="1:13" x14ac:dyDescent="0.25">
      <c r="A1932" s="15" t="s">
        <v>4303</v>
      </c>
      <c r="B1932" s="15" t="s">
        <v>4307</v>
      </c>
      <c r="C1932" s="52">
        <v>151.65347299999999</v>
      </c>
      <c r="D1932" s="25">
        <v>0.13055555555555556</v>
      </c>
      <c r="E1932" s="53">
        <v>-23.372620000000001</v>
      </c>
      <c r="F1932" s="53">
        <v>-46.778390000000002</v>
      </c>
      <c r="G1932" s="53">
        <v>-22.977644999999999</v>
      </c>
      <c r="H1932" s="53">
        <v>-47.112226999999997</v>
      </c>
      <c r="I1932" s="53">
        <v>-22.463215000000002</v>
      </c>
      <c r="J1932" s="53">
        <v>-47.522052000000002</v>
      </c>
      <c r="L1932" s="61" t="str">
        <f t="shared" si="30"/>
        <v>Cliente33-Cliente37</v>
      </c>
      <c r="M1932">
        <v>151.65347299999999</v>
      </c>
    </row>
    <row r="1933" spans="1:13" x14ac:dyDescent="0.25">
      <c r="A1933" s="15" t="s">
        <v>4303</v>
      </c>
      <c r="B1933" s="15" t="s">
        <v>4308</v>
      </c>
      <c r="C1933" s="54">
        <v>149.87696800000001</v>
      </c>
      <c r="D1933" s="26">
        <v>0.12847222222222224</v>
      </c>
      <c r="E1933" s="55">
        <v>-23.380638000000001</v>
      </c>
      <c r="F1933" s="55">
        <v>-46.770080999999998</v>
      </c>
      <c r="G1933" s="55">
        <v>-23.005692</v>
      </c>
      <c r="H1933" s="55">
        <v>-47.096138000000003</v>
      </c>
      <c r="I1933" s="55">
        <v>-22.501201999999999</v>
      </c>
      <c r="J1933" s="55">
        <v>-47.399346999999999</v>
      </c>
      <c r="L1933" s="61" t="str">
        <f t="shared" si="30"/>
        <v>Cliente33-Cliente38</v>
      </c>
      <c r="M1933">
        <v>149.87696800000001</v>
      </c>
    </row>
    <row r="1934" spans="1:13" x14ac:dyDescent="0.25">
      <c r="A1934" s="15" t="s">
        <v>4303</v>
      </c>
      <c r="B1934" s="15" t="s">
        <v>4309</v>
      </c>
      <c r="C1934" s="52">
        <v>78.866491999999994</v>
      </c>
      <c r="D1934" s="25">
        <v>7.3611111111111113E-2</v>
      </c>
      <c r="E1934" s="53">
        <v>-23.463564000000002</v>
      </c>
      <c r="F1934" s="53">
        <v>-46.494768000000001</v>
      </c>
      <c r="G1934" s="53">
        <v>-23.352412000000001</v>
      </c>
      <c r="H1934" s="53">
        <v>-46.200080999999997</v>
      </c>
      <c r="I1934" s="53">
        <v>-23.195211</v>
      </c>
      <c r="J1934" s="53">
        <v>-45.871408000000002</v>
      </c>
      <c r="L1934" s="61" t="str">
        <f t="shared" si="30"/>
        <v>Cliente33-Cliente39</v>
      </c>
      <c r="M1934">
        <v>78.866491999999994</v>
      </c>
    </row>
    <row r="1935" spans="1:13" x14ac:dyDescent="0.25">
      <c r="A1935" s="15" t="s">
        <v>4303</v>
      </c>
      <c r="B1935" s="15" t="s">
        <v>4310</v>
      </c>
      <c r="C1935" s="54">
        <v>80.428002000000006</v>
      </c>
      <c r="D1935" s="26">
        <v>7.7083333333333337E-2</v>
      </c>
      <c r="E1935" s="55">
        <v>-23.460225000000001</v>
      </c>
      <c r="F1935" s="55">
        <v>-46.486224</v>
      </c>
      <c r="G1935" s="55">
        <v>-23.35247</v>
      </c>
      <c r="H1935" s="55">
        <v>-46.183019000000002</v>
      </c>
      <c r="I1935" s="55">
        <v>-23.050951999999999</v>
      </c>
      <c r="J1935" s="55">
        <v>-45.603090000000002</v>
      </c>
      <c r="L1935" s="61" t="str">
        <f t="shared" si="30"/>
        <v>Cliente33-Cliente40</v>
      </c>
      <c r="M1935">
        <v>80.428002000000006</v>
      </c>
    </row>
    <row r="1936" spans="1:13" x14ac:dyDescent="0.25">
      <c r="A1936" s="15" t="s">
        <v>4303</v>
      </c>
      <c r="B1936" s="15" t="s">
        <v>4311</v>
      </c>
      <c r="C1936" s="52">
        <v>69.905054000000007</v>
      </c>
      <c r="D1936" s="25">
        <v>6.8749999999999992E-2</v>
      </c>
      <c r="E1936" s="53">
        <v>-23.460225000000001</v>
      </c>
      <c r="F1936" s="53">
        <v>-46.486224</v>
      </c>
      <c r="G1936" s="53">
        <v>-23.35247</v>
      </c>
      <c r="H1936" s="53">
        <v>-46.183019000000002</v>
      </c>
      <c r="I1936" s="53">
        <v>-23.113479000000002</v>
      </c>
      <c r="J1936" s="53">
        <v>-45.707746999999998</v>
      </c>
      <c r="L1936" s="61" t="str">
        <f t="shared" si="30"/>
        <v>Cliente33-Cliente41</v>
      </c>
      <c r="M1936">
        <v>69.905054000000007</v>
      </c>
    </row>
    <row r="1937" spans="1:13" x14ac:dyDescent="0.25">
      <c r="A1937" s="15" t="s">
        <v>4303</v>
      </c>
      <c r="B1937" s="15" t="s">
        <v>4312</v>
      </c>
      <c r="C1937" s="54">
        <v>66.434066000000001</v>
      </c>
      <c r="D1937" s="26">
        <v>6.1111111111111116E-2</v>
      </c>
      <c r="E1937" s="55">
        <v>-23.498099</v>
      </c>
      <c r="F1937" s="55">
        <v>-46.558557999999998</v>
      </c>
      <c r="G1937" s="55">
        <v>-23.375783999999999</v>
      </c>
      <c r="H1937" s="55">
        <v>-46.246727</v>
      </c>
      <c r="I1937" s="55">
        <v>-23.313413000000001</v>
      </c>
      <c r="J1937" s="55">
        <v>-46.065551999999997</v>
      </c>
      <c r="L1937" s="61" t="str">
        <f t="shared" si="30"/>
        <v>Cliente33-Cliente42</v>
      </c>
      <c r="M1937">
        <v>66.434066000000001</v>
      </c>
    </row>
    <row r="1938" spans="1:13" x14ac:dyDescent="0.25">
      <c r="A1938" s="15" t="s">
        <v>4303</v>
      </c>
      <c r="B1938" s="15" t="s">
        <v>4313</v>
      </c>
      <c r="C1938" s="52">
        <v>89.086831000000004</v>
      </c>
      <c r="D1938" s="25">
        <v>8.1250000000000003E-2</v>
      </c>
      <c r="E1938" s="53">
        <v>-23.421703000000001</v>
      </c>
      <c r="F1938" s="53">
        <v>-46.391666000000001</v>
      </c>
      <c r="G1938" s="53">
        <v>-23.337396999999999</v>
      </c>
      <c r="H1938" s="53">
        <v>-46.147202</v>
      </c>
      <c r="I1938" s="53">
        <v>-22.981380000000001</v>
      </c>
      <c r="J1938" s="53">
        <v>-45.462544000000001</v>
      </c>
      <c r="L1938" s="61" t="str">
        <f t="shared" ref="L1938:L2001" si="31">_xlfn.CONCAT(A1938,"-",B1938)</f>
        <v>Cliente33-Cliente43</v>
      </c>
      <c r="M1938">
        <v>89.086831000000004</v>
      </c>
    </row>
    <row r="1939" spans="1:13" x14ac:dyDescent="0.25">
      <c r="A1939" s="15" t="s">
        <v>4303</v>
      </c>
      <c r="B1939" s="15" t="s">
        <v>4314</v>
      </c>
      <c r="C1939" s="54">
        <v>71.818261000000007</v>
      </c>
      <c r="D1939" s="26">
        <v>7.4305555555555555E-2</v>
      </c>
      <c r="E1939" s="55">
        <v>-23.516408999999999</v>
      </c>
      <c r="F1939" s="55">
        <v>-46.654031000000003</v>
      </c>
      <c r="G1939" s="55">
        <v>-23.518930000000001</v>
      </c>
      <c r="H1939" s="55">
        <v>-46.954248</v>
      </c>
      <c r="I1939" s="55">
        <v>-23.414403</v>
      </c>
      <c r="J1939" s="55">
        <v>-47.268616999999999</v>
      </c>
      <c r="L1939" s="61" t="str">
        <f t="shared" si="31"/>
        <v>Cliente33-Cliente44</v>
      </c>
      <c r="M1939">
        <v>71.818261000000007</v>
      </c>
    </row>
    <row r="1940" spans="1:13" x14ac:dyDescent="0.25">
      <c r="A1940" s="15" t="s">
        <v>4303</v>
      </c>
      <c r="B1940" s="15" t="s">
        <v>4315</v>
      </c>
      <c r="C1940" s="52">
        <v>72.596220000000002</v>
      </c>
      <c r="D1940" s="25">
        <v>7.7083333333333337E-2</v>
      </c>
      <c r="E1940" s="53">
        <v>-23.507957000000001</v>
      </c>
      <c r="F1940" s="53">
        <v>-46.692433000000001</v>
      </c>
      <c r="G1940" s="53">
        <v>-23.464064</v>
      </c>
      <c r="H1940" s="53">
        <v>-47.029637000000001</v>
      </c>
      <c r="I1940" s="53">
        <v>-23.477218000000001</v>
      </c>
      <c r="J1940" s="53">
        <v>-47.438935999999998</v>
      </c>
      <c r="L1940" s="61" t="str">
        <f t="shared" si="31"/>
        <v>Cliente33-Cliente45</v>
      </c>
      <c r="M1940">
        <v>72.596220000000002</v>
      </c>
    </row>
    <row r="1941" spans="1:13" x14ac:dyDescent="0.25">
      <c r="A1941" s="15" t="s">
        <v>4303</v>
      </c>
      <c r="B1941" s="15" t="s">
        <v>4316</v>
      </c>
      <c r="C1941" s="54">
        <v>69.890763000000007</v>
      </c>
      <c r="D1941" s="26">
        <v>7.0833333333333331E-2</v>
      </c>
      <c r="E1941" s="55">
        <v>-23.516734</v>
      </c>
      <c r="F1941" s="55">
        <v>-46.650905999999999</v>
      </c>
      <c r="G1941" s="55">
        <v>-23.519196000000001</v>
      </c>
      <c r="H1941" s="55">
        <v>-46.949882000000002</v>
      </c>
      <c r="I1941" s="55">
        <v>-23.414441</v>
      </c>
      <c r="J1941" s="55">
        <v>-47.260337999999997</v>
      </c>
      <c r="L1941" s="61" t="str">
        <f t="shared" si="31"/>
        <v>Cliente33-Cliente46</v>
      </c>
      <c r="M1941">
        <v>69.890763000000007</v>
      </c>
    </row>
    <row r="1942" spans="1:13" x14ac:dyDescent="0.25">
      <c r="A1942" s="15" t="s">
        <v>4303</v>
      </c>
      <c r="B1942" s="15" t="s">
        <v>4317</v>
      </c>
      <c r="C1942" s="52">
        <v>199.20650699999999</v>
      </c>
      <c r="D1942" s="25">
        <v>0.16666666666666666</v>
      </c>
      <c r="E1942" s="53">
        <v>-23.356983</v>
      </c>
      <c r="F1942" s="53">
        <v>-46.787567000000003</v>
      </c>
      <c r="G1942" s="53">
        <v>-22.927233000000001</v>
      </c>
      <c r="H1942" s="53">
        <v>-47.129334999999998</v>
      </c>
      <c r="I1942" s="53">
        <v>-22.332377000000001</v>
      </c>
      <c r="J1942" s="53">
        <v>-47.388902999999999</v>
      </c>
      <c r="L1942" s="61" t="str">
        <f t="shared" si="31"/>
        <v>Cliente33-Cliente47</v>
      </c>
      <c r="M1942">
        <v>199.20650699999999</v>
      </c>
    </row>
    <row r="1943" spans="1:13" x14ac:dyDescent="0.25">
      <c r="A1943" s="15" t="s">
        <v>4303</v>
      </c>
      <c r="B1943" s="15" t="s">
        <v>4318</v>
      </c>
      <c r="C1943" s="54">
        <v>208.31769499999999</v>
      </c>
      <c r="D1943" s="26">
        <v>0.17500000000000002</v>
      </c>
      <c r="E1943" s="55">
        <v>-23.337422</v>
      </c>
      <c r="F1943" s="55">
        <v>-46.821736000000001</v>
      </c>
      <c r="G1943" s="55">
        <v>-22.863775</v>
      </c>
      <c r="H1943" s="55">
        <v>-47.136516999999998</v>
      </c>
      <c r="I1943" s="55">
        <v>-21.957761000000001</v>
      </c>
      <c r="J1943" s="55">
        <v>-47.459164999999999</v>
      </c>
      <c r="L1943" s="61" t="str">
        <f t="shared" si="31"/>
        <v>Cliente33-Cliente48</v>
      </c>
      <c r="M1943">
        <v>208.31769499999999</v>
      </c>
    </row>
    <row r="1944" spans="1:13" x14ac:dyDescent="0.25">
      <c r="A1944" s="15" t="s">
        <v>4303</v>
      </c>
      <c r="B1944" s="15" t="s">
        <v>4319</v>
      </c>
      <c r="C1944" s="52">
        <v>201.95545999999999</v>
      </c>
      <c r="D1944" s="25">
        <v>0.17083333333333331</v>
      </c>
      <c r="E1944" s="53">
        <v>-23.349706999999999</v>
      </c>
      <c r="F1944" s="53">
        <v>-46.809170999999999</v>
      </c>
      <c r="G1944" s="53">
        <v>-22.883858</v>
      </c>
      <c r="H1944" s="53">
        <v>-47.130671999999997</v>
      </c>
      <c r="I1944" s="53">
        <v>-22.187898000000001</v>
      </c>
      <c r="J1944" s="53">
        <v>-47.398046000000001</v>
      </c>
      <c r="L1944" s="61" t="str">
        <f t="shared" si="31"/>
        <v>Cliente33-Cliente49</v>
      </c>
      <c r="M1944">
        <v>201.95545999999999</v>
      </c>
    </row>
    <row r="1945" spans="1:13" x14ac:dyDescent="0.25">
      <c r="A1945" s="15" t="s">
        <v>4303</v>
      </c>
      <c r="B1945" s="15" t="s">
        <v>4320</v>
      </c>
      <c r="C1945" s="54">
        <v>212.91088300000001</v>
      </c>
      <c r="D1945" s="26">
        <v>0.18055555555555555</v>
      </c>
      <c r="E1945" s="55">
        <v>-23.519857999999999</v>
      </c>
      <c r="F1945" s="55">
        <v>-46.780278000000003</v>
      </c>
      <c r="G1945" s="55">
        <v>-23.315763</v>
      </c>
      <c r="H1945" s="55">
        <v>-47.640174999999999</v>
      </c>
      <c r="I1945" s="55">
        <v>-22.905322999999999</v>
      </c>
      <c r="J1945" s="55">
        <v>-48.453546000000003</v>
      </c>
      <c r="L1945" s="61" t="str">
        <f t="shared" si="31"/>
        <v>Cliente33-Cliente50</v>
      </c>
      <c r="M1945">
        <v>212.91088300000001</v>
      </c>
    </row>
    <row r="1946" spans="1:13" x14ac:dyDescent="0.25">
      <c r="A1946" s="15" t="s">
        <v>4303</v>
      </c>
      <c r="B1946" s="15" t="s">
        <v>4321</v>
      </c>
      <c r="C1946" s="52">
        <v>211.80981</v>
      </c>
      <c r="D1946" s="25">
        <v>0.17777777777777778</v>
      </c>
      <c r="E1946" s="53">
        <v>-23.520394</v>
      </c>
      <c r="F1946" s="53">
        <v>-46.769325000000002</v>
      </c>
      <c r="G1946" s="53">
        <v>-23.320025999999999</v>
      </c>
      <c r="H1946" s="53">
        <v>-47.582299999999996</v>
      </c>
      <c r="I1946" s="53">
        <v>-23.069741</v>
      </c>
      <c r="J1946" s="53">
        <v>-48.530915</v>
      </c>
      <c r="L1946" s="61" t="str">
        <f t="shared" si="31"/>
        <v>Cliente33-Cliente51</v>
      </c>
      <c r="M1946">
        <v>211.80981</v>
      </c>
    </row>
    <row r="1947" spans="1:13" x14ac:dyDescent="0.25">
      <c r="A1947" s="15" t="s">
        <v>4304</v>
      </c>
      <c r="B1947" s="15" t="s">
        <v>4268</v>
      </c>
      <c r="C1947" s="54">
        <v>49.904308999999998</v>
      </c>
      <c r="D1947" s="26">
        <v>4.5138888888888888E-2</v>
      </c>
      <c r="E1947" s="55">
        <v>-23.499310000000001</v>
      </c>
      <c r="F1947" s="55">
        <v>-46.848384000000003</v>
      </c>
      <c r="G1947" s="55">
        <v>-23.457318000000001</v>
      </c>
      <c r="H1947" s="55">
        <v>-47.049408</v>
      </c>
      <c r="I1947" s="55">
        <v>-23.413698</v>
      </c>
      <c r="J1947" s="55">
        <v>-47.271191000000002</v>
      </c>
      <c r="L1947" s="61" t="str">
        <f t="shared" si="31"/>
        <v>Cliente34-depósito A</v>
      </c>
      <c r="M1947">
        <v>49.904308999999998</v>
      </c>
    </row>
    <row r="1948" spans="1:13" x14ac:dyDescent="0.25">
      <c r="A1948" s="15" t="s">
        <v>4304</v>
      </c>
      <c r="B1948" s="15" t="s">
        <v>4269</v>
      </c>
      <c r="C1948" s="52">
        <v>166.51111599999999</v>
      </c>
      <c r="D1948" s="25">
        <v>0.15</v>
      </c>
      <c r="E1948" s="53">
        <v>-23.406742999999999</v>
      </c>
      <c r="F1948" s="53">
        <v>-46.865758</v>
      </c>
      <c r="G1948" s="53">
        <v>-23.146086</v>
      </c>
      <c r="H1948" s="53">
        <v>-46.964717999999998</v>
      </c>
      <c r="I1948" s="53">
        <v>-22.562927999999999</v>
      </c>
      <c r="J1948" s="53">
        <v>-47.365788999999999</v>
      </c>
      <c r="L1948" s="61" t="str">
        <f t="shared" si="31"/>
        <v>Cliente34-depósito B</v>
      </c>
      <c r="M1948">
        <v>166.51111599999999</v>
      </c>
    </row>
    <row r="1949" spans="1:13" x14ac:dyDescent="0.25">
      <c r="A1949" s="15" t="s">
        <v>4304</v>
      </c>
      <c r="B1949" s="15" t="s">
        <v>4270</v>
      </c>
      <c r="C1949" s="54">
        <v>64.717834999999994</v>
      </c>
      <c r="D1949" s="26">
        <v>6.458333333333334E-2</v>
      </c>
      <c r="E1949" s="55">
        <v>-23.509007</v>
      </c>
      <c r="F1949" s="55">
        <v>-46.823326000000002</v>
      </c>
      <c r="G1949" s="55">
        <v>-23.523781</v>
      </c>
      <c r="H1949" s="55">
        <v>-46.608165</v>
      </c>
      <c r="I1949" s="55">
        <v>-23.365017000000002</v>
      </c>
      <c r="J1949" s="55">
        <v>-46.226449000000002</v>
      </c>
      <c r="L1949" s="61" t="str">
        <f t="shared" si="31"/>
        <v>Cliente34-depósito C</v>
      </c>
      <c r="M1949">
        <v>64.717834999999994</v>
      </c>
    </row>
    <row r="1950" spans="1:13" x14ac:dyDescent="0.25">
      <c r="A1950" s="15" t="s">
        <v>4304</v>
      </c>
      <c r="B1950" s="15" t="s">
        <v>4271</v>
      </c>
      <c r="C1950" s="52">
        <v>46.376776</v>
      </c>
      <c r="D1950" s="25">
        <v>5.2083333333333336E-2</v>
      </c>
      <c r="E1950" s="53">
        <v>-23.434974</v>
      </c>
      <c r="F1950" s="53">
        <v>-46.831114999999997</v>
      </c>
      <c r="G1950" s="53">
        <v>-23.347497000000001</v>
      </c>
      <c r="H1950" s="53">
        <v>-46.845075999999999</v>
      </c>
      <c r="I1950" s="53">
        <v>-23.204663</v>
      </c>
      <c r="J1950" s="53">
        <v>-46.900328999999999</v>
      </c>
      <c r="L1950" s="61" t="str">
        <f t="shared" si="31"/>
        <v>Cliente34-Cliente1</v>
      </c>
      <c r="M1950">
        <v>46.376776</v>
      </c>
    </row>
    <row r="1951" spans="1:13" x14ac:dyDescent="0.25">
      <c r="A1951" s="15" t="s">
        <v>4304</v>
      </c>
      <c r="B1951" s="15" t="s">
        <v>4272</v>
      </c>
      <c r="C1951" s="54">
        <v>50.523195999999999</v>
      </c>
      <c r="D1951" s="26">
        <v>5.7638888888888885E-2</v>
      </c>
      <c r="E1951" s="55">
        <v>-23.425453000000001</v>
      </c>
      <c r="F1951" s="55">
        <v>-46.829047000000003</v>
      </c>
      <c r="G1951" s="55">
        <v>-23.326516000000002</v>
      </c>
      <c r="H1951" s="55">
        <v>-46.841068</v>
      </c>
      <c r="I1951" s="55">
        <v>-23.118672</v>
      </c>
      <c r="J1951" s="55">
        <v>-46.955266999999999</v>
      </c>
      <c r="L1951" s="61" t="str">
        <f t="shared" si="31"/>
        <v>Cliente34-Cliente2</v>
      </c>
      <c r="M1951">
        <v>50.523195999999999</v>
      </c>
    </row>
    <row r="1952" spans="1:13" x14ac:dyDescent="0.25">
      <c r="A1952" s="15" t="s">
        <v>4304</v>
      </c>
      <c r="B1952" s="15" t="s">
        <v>4273</v>
      </c>
      <c r="C1952" s="52">
        <v>48.124076000000002</v>
      </c>
      <c r="D1952" s="25">
        <v>5.486111111111111E-2</v>
      </c>
      <c r="E1952" s="53">
        <v>-23.430382999999999</v>
      </c>
      <c r="F1952" s="53">
        <v>-46.829661000000002</v>
      </c>
      <c r="G1952" s="53">
        <v>-23.343608</v>
      </c>
      <c r="H1952" s="53">
        <v>-46.838991</v>
      </c>
      <c r="I1952" s="53">
        <v>-23.173909999999999</v>
      </c>
      <c r="J1952" s="53">
        <v>-46.920355000000001</v>
      </c>
      <c r="L1952" s="61" t="str">
        <f t="shared" si="31"/>
        <v>Cliente34-Cliente3</v>
      </c>
      <c r="M1952">
        <v>48.124076000000002</v>
      </c>
    </row>
    <row r="1953" spans="1:13" x14ac:dyDescent="0.25">
      <c r="A1953" s="15" t="s">
        <v>4304</v>
      </c>
      <c r="B1953" s="15" t="s">
        <v>4274</v>
      </c>
      <c r="C1953" s="54">
        <v>58.281033999999998</v>
      </c>
      <c r="D1953" s="26">
        <v>6.1805555555555558E-2</v>
      </c>
      <c r="E1953" s="55">
        <v>-23.423597999999998</v>
      </c>
      <c r="F1953" s="55">
        <v>-46.825550999999997</v>
      </c>
      <c r="G1953" s="55">
        <v>-23.314360000000001</v>
      </c>
      <c r="H1953" s="55">
        <v>-46.857402999999998</v>
      </c>
      <c r="I1953" s="55">
        <v>-23.058281000000001</v>
      </c>
      <c r="J1953" s="55">
        <v>-46.996006999999999</v>
      </c>
      <c r="L1953" s="61" t="str">
        <f t="shared" si="31"/>
        <v>Cliente34-Cliente4</v>
      </c>
      <c r="M1953">
        <v>58.281033999999998</v>
      </c>
    </row>
    <row r="1954" spans="1:13" x14ac:dyDescent="0.25">
      <c r="A1954" s="15" t="s">
        <v>4304</v>
      </c>
      <c r="B1954" s="15" t="s">
        <v>4275</v>
      </c>
      <c r="C1954" s="52">
        <v>58.37424</v>
      </c>
      <c r="D1954" s="25">
        <v>6.25E-2</v>
      </c>
      <c r="E1954" s="53">
        <v>-23.424045</v>
      </c>
      <c r="F1954" s="53">
        <v>-46.826045999999998</v>
      </c>
      <c r="G1954" s="53">
        <v>-23.315708999999998</v>
      </c>
      <c r="H1954" s="53">
        <v>-46.855646</v>
      </c>
      <c r="I1954" s="53">
        <v>-23.087416000000001</v>
      </c>
      <c r="J1954" s="53">
        <v>-46.974594000000003</v>
      </c>
      <c r="L1954" s="61" t="str">
        <f t="shared" si="31"/>
        <v>Cliente34-Cliente5</v>
      </c>
      <c r="M1954">
        <v>58.37424</v>
      </c>
    </row>
    <row r="1955" spans="1:13" x14ac:dyDescent="0.25">
      <c r="A1955" s="15" t="s">
        <v>4304</v>
      </c>
      <c r="B1955" s="15" t="s">
        <v>4276</v>
      </c>
      <c r="C1955" s="54">
        <v>44.113115000000001</v>
      </c>
      <c r="D1955" s="26">
        <v>5.0694444444444452E-2</v>
      </c>
      <c r="E1955" s="55">
        <v>-23.427861</v>
      </c>
      <c r="F1955" s="55">
        <v>-46.829633000000001</v>
      </c>
      <c r="G1955" s="55">
        <v>-23.329234</v>
      </c>
      <c r="H1955" s="55">
        <v>-46.838495000000002</v>
      </c>
      <c r="I1955" s="55">
        <v>-23.138016</v>
      </c>
      <c r="J1955" s="55">
        <v>-46.943173999999999</v>
      </c>
      <c r="L1955" s="61" t="str">
        <f t="shared" si="31"/>
        <v>Cliente34-Cliente6</v>
      </c>
      <c r="M1955">
        <v>44.113115000000001</v>
      </c>
    </row>
    <row r="1956" spans="1:13" x14ac:dyDescent="0.25">
      <c r="A1956" s="15" t="s">
        <v>4304</v>
      </c>
      <c r="B1956" s="15" t="s">
        <v>4277</v>
      </c>
      <c r="C1956" s="52">
        <v>48.868479999999998</v>
      </c>
      <c r="D1956" s="25">
        <v>5.2083333333333336E-2</v>
      </c>
      <c r="E1956" s="53">
        <v>-23.433814999999999</v>
      </c>
      <c r="F1956" s="53">
        <v>-46.830241000000001</v>
      </c>
      <c r="G1956" s="53">
        <v>-23.344764999999999</v>
      </c>
      <c r="H1956" s="53">
        <v>-46.840522999999997</v>
      </c>
      <c r="I1956" s="53">
        <v>-23.172111000000001</v>
      </c>
      <c r="J1956" s="53">
        <v>-46.938277999999997</v>
      </c>
      <c r="L1956" s="61" t="str">
        <f t="shared" si="31"/>
        <v>Cliente34-Cliente7</v>
      </c>
      <c r="M1956">
        <v>48.868479999999998</v>
      </c>
    </row>
    <row r="1957" spans="1:13" x14ac:dyDescent="0.25">
      <c r="A1957" s="15" t="s">
        <v>4304</v>
      </c>
      <c r="B1957" s="15" t="s">
        <v>4278</v>
      </c>
      <c r="C1957" s="54">
        <v>54.497495999999998</v>
      </c>
      <c r="D1957" s="26">
        <v>5.9027777777777783E-2</v>
      </c>
      <c r="E1957" s="55">
        <v>-23.422787</v>
      </c>
      <c r="F1957" s="55">
        <v>-46.824930000000002</v>
      </c>
      <c r="G1957" s="55">
        <v>-23.313168999999998</v>
      </c>
      <c r="H1957" s="55">
        <v>-46.857978000000003</v>
      </c>
      <c r="I1957" s="55">
        <v>-23.037489000000001</v>
      </c>
      <c r="J1957" s="55">
        <v>-47.009205999999999</v>
      </c>
      <c r="L1957" s="61" t="str">
        <f t="shared" si="31"/>
        <v>Cliente34-Cliente8</v>
      </c>
      <c r="M1957">
        <v>54.497495999999998</v>
      </c>
    </row>
    <row r="1958" spans="1:13" x14ac:dyDescent="0.25">
      <c r="A1958" s="15" t="s">
        <v>4304</v>
      </c>
      <c r="B1958" s="15" t="s">
        <v>4279</v>
      </c>
      <c r="C1958" s="52">
        <v>78.438366000000002</v>
      </c>
      <c r="D1958" s="25">
        <v>7.4305555555555555E-2</v>
      </c>
      <c r="E1958" s="53">
        <v>-23.507677000000001</v>
      </c>
      <c r="F1958" s="53">
        <v>-46.821630999999996</v>
      </c>
      <c r="G1958" s="53">
        <v>-23.294104999999998</v>
      </c>
      <c r="H1958" s="53">
        <v>-46.842212000000004</v>
      </c>
      <c r="I1958" s="53">
        <v>-22.992255</v>
      </c>
      <c r="J1958" s="53">
        <v>-47.110019000000001</v>
      </c>
      <c r="L1958" s="61" t="str">
        <f t="shared" si="31"/>
        <v>Cliente34-Cliente9</v>
      </c>
      <c r="M1958">
        <v>78.438366000000002</v>
      </c>
    </row>
    <row r="1959" spans="1:13" x14ac:dyDescent="0.25">
      <c r="A1959" s="15" t="s">
        <v>4304</v>
      </c>
      <c r="B1959" s="15" t="s">
        <v>4280</v>
      </c>
      <c r="C1959" s="54">
        <v>18.483975000000001</v>
      </c>
      <c r="D1959" s="26">
        <v>2.9861111111111113E-2</v>
      </c>
      <c r="E1959" s="55">
        <v>-23.487812999999999</v>
      </c>
      <c r="F1959" s="55">
        <v>-46.834088999999999</v>
      </c>
      <c r="G1959" s="55">
        <v>-23.522822999999999</v>
      </c>
      <c r="H1959" s="55">
        <v>-46.747301</v>
      </c>
      <c r="I1959" s="55">
        <v>-23.50478</v>
      </c>
      <c r="J1959" s="55">
        <v>-46.688504000000002</v>
      </c>
      <c r="L1959" s="61" t="str">
        <f t="shared" si="31"/>
        <v>Cliente34-Cliente10</v>
      </c>
      <c r="M1959">
        <v>18.483975000000001</v>
      </c>
    </row>
    <row r="1960" spans="1:13" x14ac:dyDescent="0.25">
      <c r="A1960" s="15" t="s">
        <v>4304</v>
      </c>
      <c r="B1960" s="15" t="s">
        <v>4281</v>
      </c>
      <c r="C1960" s="52">
        <v>89.186871999999994</v>
      </c>
      <c r="D1960" s="25">
        <v>7.7083333333333337E-2</v>
      </c>
      <c r="E1960" s="53">
        <v>-23.515906000000001</v>
      </c>
      <c r="F1960" s="53">
        <v>-46.926183000000002</v>
      </c>
      <c r="G1960" s="53">
        <v>-23.418655999999999</v>
      </c>
      <c r="H1960" s="53">
        <v>-47.220267</v>
      </c>
      <c r="I1960" s="53">
        <v>-23.083693</v>
      </c>
      <c r="J1960" s="53">
        <v>-47.400463000000002</v>
      </c>
      <c r="L1960" s="61" t="str">
        <f t="shared" si="31"/>
        <v>Cliente34-Cliente11</v>
      </c>
      <c r="M1960">
        <v>89.186871999999994</v>
      </c>
    </row>
    <row r="1961" spans="1:13" x14ac:dyDescent="0.25">
      <c r="A1961" s="15" t="s">
        <v>4304</v>
      </c>
      <c r="B1961" s="15" t="s">
        <v>4282</v>
      </c>
      <c r="C1961" s="54">
        <v>63.759056999999999</v>
      </c>
      <c r="D1961" s="26">
        <v>6.458333333333334E-2</v>
      </c>
      <c r="E1961" s="55">
        <v>-23.509892000000001</v>
      </c>
      <c r="F1961" s="55">
        <v>-46.820039000000001</v>
      </c>
      <c r="G1961" s="55">
        <v>-23.523402000000001</v>
      </c>
      <c r="H1961" s="55">
        <v>-46.604121999999997</v>
      </c>
      <c r="I1961" s="55">
        <v>-23.358464000000001</v>
      </c>
      <c r="J1961" s="55">
        <v>-46.214089999999999</v>
      </c>
      <c r="L1961" s="61" t="str">
        <f t="shared" si="31"/>
        <v>Cliente34-Cliente12</v>
      </c>
      <c r="M1961">
        <v>63.759056999999999</v>
      </c>
    </row>
    <row r="1962" spans="1:13" x14ac:dyDescent="0.25">
      <c r="A1962" s="15" t="s">
        <v>4304</v>
      </c>
      <c r="B1962" s="15" t="s">
        <v>4283</v>
      </c>
      <c r="C1962" s="52">
        <v>71.643034</v>
      </c>
      <c r="D1962" s="25">
        <v>7.013888888888889E-2</v>
      </c>
      <c r="E1962" s="53">
        <v>-23.51069</v>
      </c>
      <c r="F1962" s="53">
        <v>-46.811179000000003</v>
      </c>
      <c r="G1962" s="53">
        <v>-23.522815999999999</v>
      </c>
      <c r="H1962" s="53">
        <v>-46.585721999999997</v>
      </c>
      <c r="I1962" s="53">
        <v>-23.346274000000001</v>
      </c>
      <c r="J1962" s="53">
        <v>-46.16413</v>
      </c>
      <c r="L1962" s="61" t="str">
        <f t="shared" si="31"/>
        <v>Cliente34-Cliente13</v>
      </c>
      <c r="M1962">
        <v>71.643034</v>
      </c>
    </row>
    <row r="1963" spans="1:13" x14ac:dyDescent="0.25">
      <c r="A1963" s="15" t="s">
        <v>4304</v>
      </c>
      <c r="B1963" s="15" t="s">
        <v>4284</v>
      </c>
      <c r="C1963" s="54">
        <v>69.705594000000005</v>
      </c>
      <c r="D1963" s="26">
        <v>6.7361111111111108E-2</v>
      </c>
      <c r="E1963" s="55">
        <v>-23.508524999999999</v>
      </c>
      <c r="F1963" s="55">
        <v>-46.826898999999997</v>
      </c>
      <c r="G1963" s="55">
        <v>-23.523713999999998</v>
      </c>
      <c r="H1963" s="55">
        <v>-46.610359000000003</v>
      </c>
      <c r="I1963" s="55">
        <v>-23.369211</v>
      </c>
      <c r="J1963" s="55">
        <v>-46.236528</v>
      </c>
      <c r="L1963" s="61" t="str">
        <f t="shared" si="31"/>
        <v>Cliente34-Cliente14</v>
      </c>
      <c r="M1963">
        <v>69.705594000000005</v>
      </c>
    </row>
    <row r="1964" spans="1:13" x14ac:dyDescent="0.25">
      <c r="A1964" s="15" t="s">
        <v>4304</v>
      </c>
      <c r="B1964" s="15" t="s">
        <v>4285</v>
      </c>
      <c r="C1964" s="52">
        <v>72.084208000000004</v>
      </c>
      <c r="D1964" s="25">
        <v>7.3611111111111113E-2</v>
      </c>
      <c r="E1964" s="53">
        <v>-23.51069</v>
      </c>
      <c r="F1964" s="53">
        <v>-46.811179000000003</v>
      </c>
      <c r="G1964" s="53">
        <v>-23.522815999999999</v>
      </c>
      <c r="H1964" s="53">
        <v>-46.585721999999997</v>
      </c>
      <c r="I1964" s="53">
        <v>-23.346274000000001</v>
      </c>
      <c r="J1964" s="53">
        <v>-46.16413</v>
      </c>
      <c r="L1964" s="61" t="str">
        <f t="shared" si="31"/>
        <v>Cliente34-Cliente15</v>
      </c>
      <c r="M1964">
        <v>72.084208000000004</v>
      </c>
    </row>
    <row r="1965" spans="1:13" x14ac:dyDescent="0.25">
      <c r="A1965" s="15" t="s">
        <v>4304</v>
      </c>
      <c r="B1965" s="15" t="s">
        <v>4286</v>
      </c>
      <c r="C1965" s="54">
        <v>71.014825999999999</v>
      </c>
      <c r="D1965" s="26">
        <v>7.1527777777777787E-2</v>
      </c>
      <c r="E1965" s="55">
        <v>-23.510842</v>
      </c>
      <c r="F1965" s="55">
        <v>-46.809989000000002</v>
      </c>
      <c r="G1965" s="55">
        <v>-23.505759999999999</v>
      </c>
      <c r="H1965" s="55">
        <v>-46.569533</v>
      </c>
      <c r="I1965" s="55">
        <v>-23.345296999999999</v>
      </c>
      <c r="J1965" s="55">
        <v>-46.162643000000003</v>
      </c>
      <c r="L1965" s="61" t="str">
        <f t="shared" si="31"/>
        <v>Cliente34-Cliente16</v>
      </c>
      <c r="M1965">
        <v>71.014825999999999</v>
      </c>
    </row>
    <row r="1966" spans="1:13" x14ac:dyDescent="0.25">
      <c r="A1966" s="15" t="s">
        <v>4304</v>
      </c>
      <c r="B1966" s="15" t="s">
        <v>4287</v>
      </c>
      <c r="C1966" s="52">
        <v>72.070537999999999</v>
      </c>
      <c r="D1966" s="25">
        <v>7.013888888888889E-2</v>
      </c>
      <c r="E1966" s="53">
        <v>-23.51069</v>
      </c>
      <c r="F1966" s="53">
        <v>-46.811179000000003</v>
      </c>
      <c r="G1966" s="53">
        <v>-23.522815999999999</v>
      </c>
      <c r="H1966" s="53">
        <v>-46.585721999999997</v>
      </c>
      <c r="I1966" s="53">
        <v>-23.346274000000001</v>
      </c>
      <c r="J1966" s="53">
        <v>-46.16413</v>
      </c>
      <c r="L1966" s="61" t="str">
        <f t="shared" si="31"/>
        <v>Cliente34-Cliente17</v>
      </c>
      <c r="M1966">
        <v>72.070537999999999</v>
      </c>
    </row>
    <row r="1967" spans="1:13" x14ac:dyDescent="0.25">
      <c r="A1967" s="15" t="s">
        <v>4304</v>
      </c>
      <c r="B1967" s="15" t="s">
        <v>4288</v>
      </c>
      <c r="C1967" s="54">
        <v>76.898604000000006</v>
      </c>
      <c r="D1967" s="26">
        <v>7.4999999999999997E-2</v>
      </c>
      <c r="E1967" s="55">
        <v>-23.510166000000002</v>
      </c>
      <c r="F1967" s="55">
        <v>-46.818385999999997</v>
      </c>
      <c r="G1967" s="55">
        <v>-23.524187000000001</v>
      </c>
      <c r="H1967" s="55">
        <v>-46.60219</v>
      </c>
      <c r="I1967" s="55">
        <v>-23.352976999999999</v>
      </c>
      <c r="J1967" s="55">
        <v>-46.201134000000003</v>
      </c>
      <c r="L1967" s="61" t="str">
        <f t="shared" si="31"/>
        <v>Cliente34-Cliente18</v>
      </c>
      <c r="M1967">
        <v>76.898604000000006</v>
      </c>
    </row>
    <row r="1968" spans="1:13" x14ac:dyDescent="0.25">
      <c r="A1968" s="15" t="s">
        <v>4304</v>
      </c>
      <c r="B1968" s="15" t="s">
        <v>4289</v>
      </c>
      <c r="C1968" s="52">
        <v>15.283905000000001</v>
      </c>
      <c r="D1968" s="25">
        <v>2.0833333333333332E-2</v>
      </c>
      <c r="E1968" s="53">
        <v>-23.480581000000001</v>
      </c>
      <c r="F1968" s="53">
        <v>-46.831364999999998</v>
      </c>
      <c r="G1968" s="53">
        <v>-23.507344</v>
      </c>
      <c r="H1968" s="53">
        <v>-46.834201999999998</v>
      </c>
      <c r="I1968" s="53">
        <v>-23.518045000000001</v>
      </c>
      <c r="J1968" s="53">
        <v>-46.741480000000003</v>
      </c>
      <c r="L1968" s="61" t="str">
        <f t="shared" si="31"/>
        <v>Cliente34-Cliente19</v>
      </c>
      <c r="M1968">
        <v>15.283905000000001</v>
      </c>
    </row>
    <row r="1969" spans="1:13" x14ac:dyDescent="0.25">
      <c r="A1969" s="15" t="s">
        <v>4304</v>
      </c>
      <c r="B1969" s="15" t="s">
        <v>4290</v>
      </c>
      <c r="C1969" s="54">
        <v>11.80049</v>
      </c>
      <c r="D1969" s="26">
        <v>1.8749999999999999E-2</v>
      </c>
      <c r="E1969" s="55">
        <v>-23.478821</v>
      </c>
      <c r="F1969" s="55">
        <v>-46.832276999999998</v>
      </c>
      <c r="G1969" s="55">
        <v>-23.501155000000001</v>
      </c>
      <c r="H1969" s="55">
        <v>-46.837654000000001</v>
      </c>
      <c r="I1969" s="55">
        <v>-23.523900999999999</v>
      </c>
      <c r="J1969" s="55">
        <v>-46.760953000000001</v>
      </c>
      <c r="L1969" s="61" t="str">
        <f t="shared" si="31"/>
        <v>Cliente34-Cliente20</v>
      </c>
      <c r="M1969">
        <v>11.80049</v>
      </c>
    </row>
    <row r="1970" spans="1:13" x14ac:dyDescent="0.25">
      <c r="A1970" s="15" t="s">
        <v>4304</v>
      </c>
      <c r="B1970" s="15" t="s">
        <v>4291</v>
      </c>
      <c r="C1970" s="52">
        <v>12.342948</v>
      </c>
      <c r="D1970" s="25">
        <v>1.9444444444444445E-2</v>
      </c>
      <c r="E1970" s="53">
        <v>-23.479932999999999</v>
      </c>
      <c r="F1970" s="53">
        <v>-46.831420000000001</v>
      </c>
      <c r="G1970" s="53">
        <v>-23.506667</v>
      </c>
      <c r="H1970" s="53">
        <v>-46.838563000000001</v>
      </c>
      <c r="I1970" s="53">
        <v>-23.525036</v>
      </c>
      <c r="J1970" s="53">
        <v>-46.747280000000003</v>
      </c>
      <c r="L1970" s="61" t="str">
        <f t="shared" si="31"/>
        <v>Cliente34-Cliente21</v>
      </c>
      <c r="M1970">
        <v>12.342948</v>
      </c>
    </row>
    <row r="1971" spans="1:13" x14ac:dyDescent="0.25">
      <c r="A1971" s="15" t="s">
        <v>4304</v>
      </c>
      <c r="B1971" s="15" t="s">
        <v>4292</v>
      </c>
      <c r="C1971" s="54">
        <v>13.606199</v>
      </c>
      <c r="D1971" s="26">
        <v>2.2222222222222223E-2</v>
      </c>
      <c r="E1971" s="55">
        <v>-23.486332999999998</v>
      </c>
      <c r="F1971" s="55">
        <v>-46.837586999999999</v>
      </c>
      <c r="G1971" s="55">
        <v>-23.518878999999998</v>
      </c>
      <c r="H1971" s="55">
        <v>-46.785621999999996</v>
      </c>
      <c r="I1971" s="55">
        <v>-23.526989</v>
      </c>
      <c r="J1971" s="55">
        <v>-46.740623999999997</v>
      </c>
      <c r="L1971" s="61" t="str">
        <f t="shared" si="31"/>
        <v>Cliente34-Cliente22</v>
      </c>
      <c r="M1971">
        <v>13.606199</v>
      </c>
    </row>
    <row r="1972" spans="1:13" x14ac:dyDescent="0.25">
      <c r="A1972" s="15" t="s">
        <v>4304</v>
      </c>
      <c r="B1972" s="15" t="s">
        <v>4293</v>
      </c>
      <c r="C1972" s="52">
        <v>17.350591000000001</v>
      </c>
      <c r="D1972" s="25">
        <v>2.4999999999999998E-2</v>
      </c>
      <c r="E1972" s="53">
        <v>-23.492263999999999</v>
      </c>
      <c r="F1972" s="53">
        <v>-46.835216000000003</v>
      </c>
      <c r="G1972" s="53">
        <v>-23.533843999999998</v>
      </c>
      <c r="H1972" s="53">
        <v>-46.818106999999998</v>
      </c>
      <c r="I1972" s="53">
        <v>-23.583674999999999</v>
      </c>
      <c r="J1972" s="53">
        <v>-46.779871999999997</v>
      </c>
      <c r="L1972" s="61" t="str">
        <f t="shared" si="31"/>
        <v>Cliente34-Cliente23</v>
      </c>
      <c r="M1972">
        <v>17.350591000000001</v>
      </c>
    </row>
    <row r="1973" spans="1:13" x14ac:dyDescent="0.25">
      <c r="A1973" s="15" t="s">
        <v>4304</v>
      </c>
      <c r="B1973" s="15" t="s">
        <v>4294</v>
      </c>
      <c r="C1973" s="54">
        <v>18.329874</v>
      </c>
      <c r="D1973" s="26">
        <v>2.7083333333333334E-2</v>
      </c>
      <c r="E1973" s="55">
        <v>-23.492277999999999</v>
      </c>
      <c r="F1973" s="55">
        <v>-46.835236000000002</v>
      </c>
      <c r="G1973" s="55">
        <v>-23.539756000000001</v>
      </c>
      <c r="H1973" s="55">
        <v>-46.817956000000002</v>
      </c>
      <c r="I1973" s="55">
        <v>-23.583506</v>
      </c>
      <c r="J1973" s="55">
        <v>-46.777650999999999</v>
      </c>
      <c r="L1973" s="61" t="str">
        <f t="shared" si="31"/>
        <v>Cliente34-Cliente24</v>
      </c>
      <c r="M1973">
        <v>18.329874</v>
      </c>
    </row>
    <row r="1974" spans="1:13" x14ac:dyDescent="0.25">
      <c r="A1974" s="15" t="s">
        <v>4304</v>
      </c>
      <c r="B1974" s="15" t="s">
        <v>4295</v>
      </c>
      <c r="C1974" s="52">
        <v>21.150285</v>
      </c>
      <c r="D1974" s="25">
        <v>2.9166666666666664E-2</v>
      </c>
      <c r="E1974" s="53">
        <v>-23.492460999999999</v>
      </c>
      <c r="F1974" s="53">
        <v>-46.835346000000001</v>
      </c>
      <c r="G1974" s="53">
        <v>-23.544218999999998</v>
      </c>
      <c r="H1974" s="53">
        <v>-46.819251000000001</v>
      </c>
      <c r="I1974" s="53">
        <v>-23.631015999999999</v>
      </c>
      <c r="J1974" s="53">
        <v>-46.832217</v>
      </c>
      <c r="L1974" s="61" t="str">
        <f t="shared" si="31"/>
        <v>Cliente34-Cliente25</v>
      </c>
      <c r="M1974">
        <v>21.150285</v>
      </c>
    </row>
    <row r="1975" spans="1:13" x14ac:dyDescent="0.25">
      <c r="A1975" s="15" t="s">
        <v>4304</v>
      </c>
      <c r="B1975" s="15" t="s">
        <v>4296</v>
      </c>
      <c r="C1975" s="54">
        <v>12.812706</v>
      </c>
      <c r="D1975" s="26">
        <v>2.013888888888889E-2</v>
      </c>
      <c r="E1975" s="55">
        <v>-23.487812999999999</v>
      </c>
      <c r="F1975" s="55">
        <v>-46.834088999999999</v>
      </c>
      <c r="G1975" s="55">
        <v>-23.518373</v>
      </c>
      <c r="H1975" s="55">
        <v>-46.816011000000003</v>
      </c>
      <c r="I1975" s="55">
        <v>-23.590672000000001</v>
      </c>
      <c r="J1975" s="55">
        <v>-46.812412999999999</v>
      </c>
      <c r="L1975" s="61" t="str">
        <f t="shared" si="31"/>
        <v>Cliente34-Cliente26</v>
      </c>
      <c r="M1975">
        <v>12.812706</v>
      </c>
    </row>
    <row r="1976" spans="1:13" x14ac:dyDescent="0.25">
      <c r="A1976" s="15" t="s">
        <v>4304</v>
      </c>
      <c r="B1976" s="15" t="s">
        <v>4297</v>
      </c>
      <c r="C1976" s="52">
        <v>19.129581000000002</v>
      </c>
      <c r="D1976" s="25">
        <v>2.7777777777777776E-2</v>
      </c>
      <c r="E1976" s="53">
        <v>-23.492460999999999</v>
      </c>
      <c r="F1976" s="53">
        <v>-46.835346000000001</v>
      </c>
      <c r="G1976" s="53">
        <v>-23.544218999999998</v>
      </c>
      <c r="H1976" s="53">
        <v>-46.819251000000001</v>
      </c>
      <c r="I1976" s="53">
        <v>-23.583075999999998</v>
      </c>
      <c r="J1976" s="53">
        <v>-46.771560999999998</v>
      </c>
      <c r="L1976" s="61" t="str">
        <f t="shared" si="31"/>
        <v>Cliente34-Cliente27</v>
      </c>
      <c r="M1976">
        <v>19.129581000000002</v>
      </c>
    </row>
    <row r="1977" spans="1:13" x14ac:dyDescent="0.25">
      <c r="A1977" s="15" t="s">
        <v>4304</v>
      </c>
      <c r="B1977" s="15" t="s">
        <v>4298</v>
      </c>
      <c r="C1977" s="54">
        <v>22.813078999999998</v>
      </c>
      <c r="D1977" s="26">
        <v>3.4722222222222224E-2</v>
      </c>
      <c r="E1977" s="55">
        <v>-23.491952999999999</v>
      </c>
      <c r="F1977" s="55">
        <v>-46.835082</v>
      </c>
      <c r="G1977" s="55">
        <v>-23.534647</v>
      </c>
      <c r="H1977" s="55">
        <v>-46.748140999999997</v>
      </c>
      <c r="I1977" s="55">
        <v>-23.619817999999999</v>
      </c>
      <c r="J1977" s="55">
        <v>-46.701749999999997</v>
      </c>
      <c r="L1977" s="61" t="str">
        <f t="shared" si="31"/>
        <v>Cliente34-Cliente28</v>
      </c>
      <c r="M1977">
        <v>22.813078999999998</v>
      </c>
    </row>
    <row r="1978" spans="1:13" x14ac:dyDescent="0.25">
      <c r="A1978" s="15" t="s">
        <v>4304</v>
      </c>
      <c r="B1978" s="15" t="s">
        <v>4299</v>
      </c>
      <c r="C1978" s="52">
        <v>28.233312999999999</v>
      </c>
      <c r="D1978" s="25">
        <v>4.1666666666666664E-2</v>
      </c>
      <c r="E1978" s="53">
        <v>-23.504708000000001</v>
      </c>
      <c r="F1978" s="53">
        <v>-46.838687</v>
      </c>
      <c r="G1978" s="53">
        <v>-23.586386000000001</v>
      </c>
      <c r="H1978" s="53">
        <v>-46.692081999999999</v>
      </c>
      <c r="I1978" s="53">
        <v>-23.622543</v>
      </c>
      <c r="J1978" s="53">
        <v>-46.612138000000002</v>
      </c>
      <c r="L1978" s="61" t="str">
        <f t="shared" si="31"/>
        <v>Cliente34-Cliente29</v>
      </c>
      <c r="M1978">
        <v>28.233312999999999</v>
      </c>
    </row>
    <row r="1979" spans="1:13" x14ac:dyDescent="0.25">
      <c r="A1979" s="15" t="s">
        <v>4304</v>
      </c>
      <c r="B1979" s="15" t="s">
        <v>4300</v>
      </c>
      <c r="C1979" s="54">
        <v>34.160587999999997</v>
      </c>
      <c r="D1979" s="26">
        <v>5.2777777777777778E-2</v>
      </c>
      <c r="E1979" s="55">
        <v>-23.518878999999998</v>
      </c>
      <c r="F1979" s="55">
        <v>-46.785621999999996</v>
      </c>
      <c r="G1979" s="55">
        <v>-23.533066999999999</v>
      </c>
      <c r="H1979" s="55">
        <v>-46.625526000000001</v>
      </c>
      <c r="I1979" s="55">
        <v>-23.611951000000001</v>
      </c>
      <c r="J1979" s="55">
        <v>-46.558140999999999</v>
      </c>
      <c r="L1979" s="61" t="str">
        <f t="shared" si="31"/>
        <v>Cliente34-Cliente30</v>
      </c>
      <c r="M1979">
        <v>34.160587999999997</v>
      </c>
    </row>
    <row r="1980" spans="1:13" x14ac:dyDescent="0.25">
      <c r="A1980" s="15" t="s">
        <v>4304</v>
      </c>
      <c r="B1980" s="15" t="s">
        <v>4301</v>
      </c>
      <c r="C1980" s="52">
        <v>9.7114349999999998</v>
      </c>
      <c r="D1980" s="25">
        <v>1.8749999999999999E-2</v>
      </c>
      <c r="E1980" s="53">
        <v>-23.479932999999999</v>
      </c>
      <c r="F1980" s="53">
        <v>-46.831420000000001</v>
      </c>
      <c r="G1980" s="53">
        <v>-23.506667</v>
      </c>
      <c r="H1980" s="53">
        <v>-46.838563000000001</v>
      </c>
      <c r="I1980" s="53">
        <v>-23.524325000000001</v>
      </c>
      <c r="J1980" s="53">
        <v>-46.790928000000001</v>
      </c>
      <c r="L1980" s="61" t="str">
        <f t="shared" si="31"/>
        <v>Cliente34-Cliente31</v>
      </c>
      <c r="M1980">
        <v>9.7114349999999998</v>
      </c>
    </row>
    <row r="1981" spans="1:13" x14ac:dyDescent="0.25">
      <c r="A1981" s="15" t="s">
        <v>4304</v>
      </c>
      <c r="B1981" s="15" t="s">
        <v>4302</v>
      </c>
      <c r="C1981" s="54">
        <v>14.167920000000001</v>
      </c>
      <c r="D1981" s="26">
        <v>2.2222222222222223E-2</v>
      </c>
      <c r="E1981" s="55">
        <v>-23.486601</v>
      </c>
      <c r="F1981" s="55">
        <v>-46.837221999999997</v>
      </c>
      <c r="G1981" s="55">
        <v>-23.525808999999999</v>
      </c>
      <c r="H1981" s="55">
        <v>-46.754475999999997</v>
      </c>
      <c r="I1981" s="55">
        <v>-23.508012000000001</v>
      </c>
      <c r="J1981" s="55">
        <v>-46.736162999999998</v>
      </c>
      <c r="L1981" s="61" t="str">
        <f t="shared" si="31"/>
        <v>Cliente34-Cliente32</v>
      </c>
      <c r="M1981">
        <v>14.167920000000001</v>
      </c>
    </row>
    <row r="1982" spans="1:13" x14ac:dyDescent="0.25">
      <c r="A1982" s="15" t="s">
        <v>4304</v>
      </c>
      <c r="B1982" s="15" t="s">
        <v>4303</v>
      </c>
      <c r="C1982" s="52">
        <v>28.179874999999999</v>
      </c>
      <c r="D1982" s="25">
        <v>3.6805555555555557E-2</v>
      </c>
      <c r="E1982" s="53">
        <v>-23.501666</v>
      </c>
      <c r="F1982" s="53">
        <v>-46.838177000000002</v>
      </c>
      <c r="G1982" s="53">
        <v>-23.508590999999999</v>
      </c>
      <c r="H1982" s="53">
        <v>-46.71651</v>
      </c>
      <c r="I1982" s="53">
        <v>-23.501877</v>
      </c>
      <c r="J1982" s="53">
        <v>-46.564261000000002</v>
      </c>
      <c r="L1982" s="61" t="str">
        <f t="shared" si="31"/>
        <v>Cliente34-Cliente33</v>
      </c>
      <c r="M1982">
        <v>28.179874999999999</v>
      </c>
    </row>
    <row r="1983" spans="1:13" x14ac:dyDescent="0.25">
      <c r="A1983" s="15" t="s">
        <v>4304</v>
      </c>
      <c r="B1983" s="15" t="s">
        <v>4304</v>
      </c>
      <c r="C1983" s="54">
        <v>0</v>
      </c>
      <c r="D1983" s="26">
        <v>0</v>
      </c>
      <c r="E1983" s="55">
        <f>'1. Locais'!D38</f>
        <v>-23.46668</v>
      </c>
      <c r="F1983" s="55">
        <f>'1. Locais'!E38</f>
        <v>-46.846220000000002</v>
      </c>
      <c r="G1983" s="55">
        <f>'1. Locais'!D38</f>
        <v>-23.46668</v>
      </c>
      <c r="H1983" s="55">
        <f>'1. Locais'!E38</f>
        <v>-46.846220000000002</v>
      </c>
      <c r="I1983" s="55">
        <f>'1. Locais'!D38</f>
        <v>-23.46668</v>
      </c>
      <c r="J1983" s="55">
        <f>'1. Locais'!E38</f>
        <v>-46.846220000000002</v>
      </c>
      <c r="L1983" s="61" t="str">
        <f t="shared" si="31"/>
        <v>Cliente34-Cliente34</v>
      </c>
      <c r="M1983">
        <v>0</v>
      </c>
    </row>
    <row r="1984" spans="1:13" x14ac:dyDescent="0.25">
      <c r="A1984" s="15" t="s">
        <v>4304</v>
      </c>
      <c r="B1984" s="15" t="s">
        <v>4305</v>
      </c>
      <c r="C1984" s="52">
        <v>3.1851569999999998</v>
      </c>
      <c r="D1984" s="25">
        <v>6.9444444444444441E-3</v>
      </c>
      <c r="E1984" s="53">
        <v>-23.467911999999998</v>
      </c>
      <c r="F1984" s="53">
        <v>-46.849654000000001</v>
      </c>
      <c r="G1984" s="53">
        <v>-23.463633000000002</v>
      </c>
      <c r="H1984" s="53">
        <v>-46.863764000000003</v>
      </c>
      <c r="I1984" s="53">
        <v>-23.470421000000002</v>
      </c>
      <c r="J1984" s="53">
        <v>-46.871569999999998</v>
      </c>
      <c r="L1984" s="61" t="str">
        <f t="shared" si="31"/>
        <v>Cliente34-Cliente35</v>
      </c>
      <c r="M1984">
        <v>3.1851569999999998</v>
      </c>
    </row>
    <row r="1985" spans="1:13" x14ac:dyDescent="0.25">
      <c r="A1985" s="15" t="s">
        <v>4304</v>
      </c>
      <c r="B1985" s="15" t="s">
        <v>4306</v>
      </c>
      <c r="C1985" s="54">
        <v>150.45608799999999</v>
      </c>
      <c r="D1985" s="26">
        <v>0.12916666666666668</v>
      </c>
      <c r="E1985" s="55">
        <v>-23.436160000000001</v>
      </c>
      <c r="F1985" s="55">
        <v>-47.092959</v>
      </c>
      <c r="G1985" s="55">
        <v>-22.949618999999998</v>
      </c>
      <c r="H1985" s="55">
        <v>-47.478471999999996</v>
      </c>
      <c r="I1985" s="55">
        <v>-22.434923000000001</v>
      </c>
      <c r="J1985" s="55">
        <v>-47.569861000000003</v>
      </c>
      <c r="L1985" s="61" t="str">
        <f t="shared" si="31"/>
        <v>Cliente34-Cliente36</v>
      </c>
      <c r="M1985">
        <v>150.45608799999999</v>
      </c>
    </row>
    <row r="1986" spans="1:13" x14ac:dyDescent="0.25">
      <c r="A1986" s="15" t="s">
        <v>4304</v>
      </c>
      <c r="B1986" s="15" t="s">
        <v>4307</v>
      </c>
      <c r="C1986" s="52">
        <v>149.359365</v>
      </c>
      <c r="D1986" s="25">
        <v>0.1277777777777778</v>
      </c>
      <c r="E1986" s="53">
        <v>-23.436636</v>
      </c>
      <c r="F1986" s="53">
        <v>-47.096817000000001</v>
      </c>
      <c r="G1986" s="53">
        <v>-22.943225000000002</v>
      </c>
      <c r="H1986" s="53">
        <v>-47.482339000000003</v>
      </c>
      <c r="I1986" s="53">
        <v>-22.375406000000002</v>
      </c>
      <c r="J1986" s="53">
        <v>-47.618713</v>
      </c>
      <c r="L1986" s="61" t="str">
        <f t="shared" si="31"/>
        <v>Cliente34-Cliente37</v>
      </c>
      <c r="M1986">
        <v>149.359365</v>
      </c>
    </row>
    <row r="1987" spans="1:13" x14ac:dyDescent="0.25">
      <c r="A1987" s="15" t="s">
        <v>4304</v>
      </c>
      <c r="B1987" s="15" t="s">
        <v>4308</v>
      </c>
      <c r="C1987" s="54">
        <v>147.58286000000001</v>
      </c>
      <c r="D1987" s="26">
        <v>0.125</v>
      </c>
      <c r="E1987" s="55">
        <v>-23.436502999999998</v>
      </c>
      <c r="F1987" s="55">
        <v>-47.074652</v>
      </c>
      <c r="G1987" s="55">
        <v>-22.990722999999999</v>
      </c>
      <c r="H1987" s="55">
        <v>-47.464149999999997</v>
      </c>
      <c r="I1987" s="55">
        <v>-22.434446000000001</v>
      </c>
      <c r="J1987" s="55">
        <v>-47.569434999999999</v>
      </c>
      <c r="L1987" s="61" t="str">
        <f t="shared" si="31"/>
        <v>Cliente34-Cliente38</v>
      </c>
      <c r="M1987">
        <v>147.58286000000001</v>
      </c>
    </row>
    <row r="1988" spans="1:13" x14ac:dyDescent="0.25">
      <c r="A1988" s="15" t="s">
        <v>4304</v>
      </c>
      <c r="B1988" s="15" t="s">
        <v>4309</v>
      </c>
      <c r="C1988" s="52">
        <v>97.904730999999998</v>
      </c>
      <c r="D1988" s="25">
        <v>9.4444444444444442E-2</v>
      </c>
      <c r="E1988" s="53">
        <v>-23.519410000000001</v>
      </c>
      <c r="F1988" s="53">
        <v>-46.784776999999998</v>
      </c>
      <c r="G1988" s="53">
        <v>-23.425491999999998</v>
      </c>
      <c r="H1988" s="53">
        <v>-46.403295</v>
      </c>
      <c r="I1988" s="53">
        <v>-23.309477000000001</v>
      </c>
      <c r="J1988" s="53">
        <v>-46.059258999999997</v>
      </c>
      <c r="L1988" s="61" t="str">
        <f t="shared" si="31"/>
        <v>Cliente34-Cliente39</v>
      </c>
      <c r="M1988">
        <v>97.904730999999998</v>
      </c>
    </row>
    <row r="1989" spans="1:13" x14ac:dyDescent="0.25">
      <c r="A1989" s="15" t="s">
        <v>4304</v>
      </c>
      <c r="B1989" s="15" t="s">
        <v>4310</v>
      </c>
      <c r="C1989" s="54">
        <v>104.618042</v>
      </c>
      <c r="D1989" s="26">
        <v>0.1013888888888889</v>
      </c>
      <c r="E1989" s="55">
        <v>-23.504743999999999</v>
      </c>
      <c r="F1989" s="55">
        <v>-46.865184999999997</v>
      </c>
      <c r="G1989" s="55">
        <v>-23.467447</v>
      </c>
      <c r="H1989" s="55">
        <v>-46.505864000000003</v>
      </c>
      <c r="I1989" s="55">
        <v>-23.307568</v>
      </c>
      <c r="J1989" s="55">
        <v>-46.044603000000002</v>
      </c>
      <c r="L1989" s="61" t="str">
        <f t="shared" si="31"/>
        <v>Cliente34-Cliente40</v>
      </c>
      <c r="M1989">
        <v>104.618042</v>
      </c>
    </row>
    <row r="1990" spans="1:13" x14ac:dyDescent="0.25">
      <c r="A1990" s="15" t="s">
        <v>4304</v>
      </c>
      <c r="B1990" s="15" t="s">
        <v>4311</v>
      </c>
      <c r="C1990" s="52">
        <v>88.759989000000004</v>
      </c>
      <c r="D1990" s="25">
        <v>8.819444444444445E-2</v>
      </c>
      <c r="E1990" s="53">
        <v>-23.519714</v>
      </c>
      <c r="F1990" s="53">
        <v>-46.783422000000002</v>
      </c>
      <c r="G1990" s="53">
        <v>-23.413879000000001</v>
      </c>
      <c r="H1990" s="53">
        <v>-46.362974999999999</v>
      </c>
      <c r="I1990" s="53">
        <v>-23.307413</v>
      </c>
      <c r="J1990" s="53">
        <v>-46.042831999999997</v>
      </c>
      <c r="L1990" s="61" t="str">
        <f t="shared" si="31"/>
        <v>Cliente34-Cliente41</v>
      </c>
      <c r="M1990">
        <v>88.759989000000004</v>
      </c>
    </row>
    <row r="1991" spans="1:13" x14ac:dyDescent="0.25">
      <c r="A1991" s="15" t="s">
        <v>4304</v>
      </c>
      <c r="B1991" s="15" t="s">
        <v>4312</v>
      </c>
      <c r="C1991" s="54">
        <v>85.472305000000006</v>
      </c>
      <c r="D1991" s="26">
        <v>8.1250000000000003E-2</v>
      </c>
      <c r="E1991" s="55">
        <v>-23.510376999999998</v>
      </c>
      <c r="F1991" s="55">
        <v>-46.816707000000001</v>
      </c>
      <c r="G1991" s="55">
        <v>-23.529858999999998</v>
      </c>
      <c r="H1991" s="55">
        <v>-46.594628</v>
      </c>
      <c r="I1991" s="55">
        <v>-23.351861</v>
      </c>
      <c r="J1991" s="55">
        <v>-46.197575000000001</v>
      </c>
      <c r="L1991" s="61" t="str">
        <f t="shared" si="31"/>
        <v>Cliente34-Cliente42</v>
      </c>
      <c r="M1991">
        <v>85.472305000000006</v>
      </c>
    </row>
    <row r="1992" spans="1:13" x14ac:dyDescent="0.25">
      <c r="A1992" s="15" t="s">
        <v>4304</v>
      </c>
      <c r="B1992" s="15" t="s">
        <v>4313</v>
      </c>
      <c r="C1992" s="52">
        <v>113.276871</v>
      </c>
      <c r="D1992" s="25">
        <v>0.10555555555555556</v>
      </c>
      <c r="E1992" s="53">
        <v>-23.509985</v>
      </c>
      <c r="F1992" s="53">
        <v>-46.814684999999997</v>
      </c>
      <c r="G1992" s="53">
        <v>-23.412475000000001</v>
      </c>
      <c r="H1992" s="53">
        <v>-46.357961000000003</v>
      </c>
      <c r="I1992" s="53">
        <v>-23.256072</v>
      </c>
      <c r="J1992" s="53">
        <v>-45.944560000000003</v>
      </c>
      <c r="L1992" s="61" t="str">
        <f t="shared" si="31"/>
        <v>Cliente34-Cliente43</v>
      </c>
      <c r="M1992">
        <v>113.276871</v>
      </c>
    </row>
    <row r="1993" spans="1:13" x14ac:dyDescent="0.25">
      <c r="A1993" s="15" t="s">
        <v>4304</v>
      </c>
      <c r="B1993" s="15" t="s">
        <v>4314</v>
      </c>
      <c r="C1993" s="54">
        <v>51.592578000000003</v>
      </c>
      <c r="D1993" s="26">
        <v>5.347222222222222E-2</v>
      </c>
      <c r="E1993" s="55">
        <v>-23.505289999999999</v>
      </c>
      <c r="F1993" s="55">
        <v>-46.847299999999997</v>
      </c>
      <c r="G1993" s="55">
        <v>-23.436160000000001</v>
      </c>
      <c r="H1993" s="55">
        <v>-47.092959</v>
      </c>
      <c r="I1993" s="55">
        <v>-23.406790000000001</v>
      </c>
      <c r="J1993" s="55">
        <v>-47.338889999999999</v>
      </c>
      <c r="L1993" s="61" t="str">
        <f t="shared" si="31"/>
        <v>Cliente34-Cliente44</v>
      </c>
      <c r="M1993">
        <v>51.592578000000003</v>
      </c>
    </row>
    <row r="1994" spans="1:13" x14ac:dyDescent="0.25">
      <c r="A1994" s="15" t="s">
        <v>4304</v>
      </c>
      <c r="B1994" s="15" t="s">
        <v>4315</v>
      </c>
      <c r="C1994" s="52">
        <v>52.370536999999999</v>
      </c>
      <c r="D1994" s="25">
        <v>5.6944444444444443E-2</v>
      </c>
      <c r="E1994" s="53">
        <v>-23.506691</v>
      </c>
      <c r="F1994" s="53">
        <v>-46.899191999999999</v>
      </c>
      <c r="G1994" s="53">
        <v>-23.428076000000001</v>
      </c>
      <c r="H1994" s="53">
        <v>-47.141019</v>
      </c>
      <c r="I1994" s="53">
        <v>-23.482082999999999</v>
      </c>
      <c r="J1994" s="53">
        <v>-47.451269000000003</v>
      </c>
      <c r="L1994" s="61" t="str">
        <f t="shared" si="31"/>
        <v>Cliente34-Cliente45</v>
      </c>
      <c r="M1994">
        <v>52.370536999999999</v>
      </c>
    </row>
    <row r="1995" spans="1:13" x14ac:dyDescent="0.25">
      <c r="A1995" s="15" t="s">
        <v>4304</v>
      </c>
      <c r="B1995" s="15" t="s">
        <v>4316</v>
      </c>
      <c r="C1995" s="54">
        <v>49.665080000000003</v>
      </c>
      <c r="D1995" s="26">
        <v>5.0694444444444452E-2</v>
      </c>
      <c r="E1995" s="55">
        <v>-23.504854000000002</v>
      </c>
      <c r="F1995" s="55">
        <v>-46.847206999999997</v>
      </c>
      <c r="G1995" s="55">
        <v>-23.437957999999998</v>
      </c>
      <c r="H1995" s="55">
        <v>-47.068005999999997</v>
      </c>
      <c r="I1995" s="55">
        <v>-23.400103999999999</v>
      </c>
      <c r="J1995" s="55">
        <v>-47.334395999999998</v>
      </c>
      <c r="L1995" s="61" t="str">
        <f t="shared" si="31"/>
        <v>Cliente34-Cliente46</v>
      </c>
      <c r="M1995">
        <v>49.665080000000003</v>
      </c>
    </row>
    <row r="1996" spans="1:13" x14ac:dyDescent="0.25">
      <c r="A1996" s="15" t="s">
        <v>4304</v>
      </c>
      <c r="B1996" s="15" t="s">
        <v>4317</v>
      </c>
      <c r="C1996" s="52">
        <v>189.90331399999999</v>
      </c>
      <c r="D1996" s="25">
        <v>0.16944444444444443</v>
      </c>
      <c r="E1996" s="53">
        <v>-23.407449</v>
      </c>
      <c r="F1996" s="53">
        <v>-46.855874</v>
      </c>
      <c r="G1996" s="53">
        <v>-23.111777</v>
      </c>
      <c r="H1996" s="53">
        <v>-47.002515000000002</v>
      </c>
      <c r="I1996" s="53">
        <v>-22.454626999999999</v>
      </c>
      <c r="J1996" s="53">
        <v>-47.398665999999999</v>
      </c>
      <c r="L1996" s="61" t="str">
        <f t="shared" si="31"/>
        <v>Cliente34-Cliente47</v>
      </c>
      <c r="M1996">
        <v>189.90331399999999</v>
      </c>
    </row>
    <row r="1997" spans="1:13" x14ac:dyDescent="0.25">
      <c r="A1997" s="15" t="s">
        <v>4304</v>
      </c>
      <c r="B1997" s="15" t="s">
        <v>4318</v>
      </c>
      <c r="C1997" s="54">
        <v>199.01450299999999</v>
      </c>
      <c r="D1997" s="26">
        <v>0.17777777777777778</v>
      </c>
      <c r="E1997" s="55">
        <v>-23.408928</v>
      </c>
      <c r="F1997" s="55">
        <v>-46.823462999999997</v>
      </c>
      <c r="G1997" s="55">
        <v>-23.014717000000001</v>
      </c>
      <c r="H1997" s="55">
        <v>-47.084212000000001</v>
      </c>
      <c r="I1997" s="55">
        <v>-22.247682999999999</v>
      </c>
      <c r="J1997" s="55">
        <v>-47.390053000000002</v>
      </c>
      <c r="L1997" s="61" t="str">
        <f t="shared" si="31"/>
        <v>Cliente34-Cliente48</v>
      </c>
      <c r="M1997">
        <v>199.01450299999999</v>
      </c>
    </row>
    <row r="1998" spans="1:13" x14ac:dyDescent="0.25">
      <c r="A1998" s="15" t="s">
        <v>4304</v>
      </c>
      <c r="B1998" s="15" t="s">
        <v>4319</v>
      </c>
      <c r="C1998" s="52">
        <v>192.65226699999999</v>
      </c>
      <c r="D1998" s="25">
        <v>0.17361111111111113</v>
      </c>
      <c r="E1998" s="53">
        <v>-23.409424000000001</v>
      </c>
      <c r="F1998" s="53">
        <v>-46.831592000000001</v>
      </c>
      <c r="G1998" s="53">
        <v>-23.053681000000001</v>
      </c>
      <c r="H1998" s="53">
        <v>-47.048341000000001</v>
      </c>
      <c r="I1998" s="53">
        <v>-22.344252000000001</v>
      </c>
      <c r="J1998" s="53">
        <v>-47.393180999999998</v>
      </c>
      <c r="L1998" s="61" t="str">
        <f t="shared" si="31"/>
        <v>Cliente34-Cliente49</v>
      </c>
      <c r="M1998">
        <v>192.65226699999999</v>
      </c>
    </row>
    <row r="1999" spans="1:13" x14ac:dyDescent="0.25">
      <c r="A1999" s="15" t="s">
        <v>4304</v>
      </c>
      <c r="B1999" s="15" t="s">
        <v>4320</v>
      </c>
      <c r="C1999" s="54">
        <v>201.219133</v>
      </c>
      <c r="D1999" s="26">
        <v>0.17847222222222223</v>
      </c>
      <c r="E1999" s="55">
        <v>-23.452922999999998</v>
      </c>
      <c r="F1999" s="55">
        <v>-46.914656999999998</v>
      </c>
      <c r="G1999" s="55">
        <v>-23.423383000000001</v>
      </c>
      <c r="H1999" s="55">
        <v>-47.150097000000002</v>
      </c>
      <c r="I1999" s="55">
        <v>-23.092442999999999</v>
      </c>
      <c r="J1999" s="55">
        <v>-48.505071000000001</v>
      </c>
      <c r="L1999" s="61" t="str">
        <f t="shared" si="31"/>
        <v>Cliente34-Cliente50</v>
      </c>
      <c r="M1999">
        <v>201.219133</v>
      </c>
    </row>
    <row r="2000" spans="1:13" x14ac:dyDescent="0.25">
      <c r="A2000" s="15" t="s">
        <v>4304</v>
      </c>
      <c r="B2000" s="15" t="s">
        <v>4321</v>
      </c>
      <c r="C2000" s="52">
        <v>189.94184000000001</v>
      </c>
      <c r="D2000" s="25">
        <v>0.17013888888888887</v>
      </c>
      <c r="E2000" s="53">
        <v>-23.423214000000002</v>
      </c>
      <c r="F2000" s="53">
        <v>-47.240668999999997</v>
      </c>
      <c r="G2000" s="53">
        <v>-23.096444000000002</v>
      </c>
      <c r="H2000" s="53">
        <v>-48.257894</v>
      </c>
      <c r="I2000" s="53">
        <v>-22.939653</v>
      </c>
      <c r="J2000" s="53">
        <v>-48.368091999999997</v>
      </c>
      <c r="L2000" s="61" t="str">
        <f t="shared" si="31"/>
        <v>Cliente34-Cliente51</v>
      </c>
      <c r="M2000">
        <v>189.94184000000001</v>
      </c>
    </row>
    <row r="2001" spans="1:13" x14ac:dyDescent="0.25">
      <c r="A2001" s="15" t="s">
        <v>4305</v>
      </c>
      <c r="B2001" s="15" t="s">
        <v>4268</v>
      </c>
      <c r="C2001" s="54">
        <v>50.723899000000003</v>
      </c>
      <c r="D2001" s="26">
        <v>4.7222222222222221E-2</v>
      </c>
      <c r="E2001" s="55">
        <v>-23.492599999999999</v>
      </c>
      <c r="F2001" s="55">
        <v>-46.853211999999999</v>
      </c>
      <c r="G2001" s="55">
        <v>-23.468762000000002</v>
      </c>
      <c r="H2001" s="55">
        <v>-47.019457000000003</v>
      </c>
      <c r="I2001" s="55">
        <v>-23.414272</v>
      </c>
      <c r="J2001" s="55">
        <v>-47.261800000000001</v>
      </c>
      <c r="L2001" s="61" t="str">
        <f t="shared" si="31"/>
        <v>Cliente35-depósito A</v>
      </c>
      <c r="M2001">
        <v>50.723899000000003</v>
      </c>
    </row>
    <row r="2002" spans="1:13" x14ac:dyDescent="0.25">
      <c r="A2002" s="15" t="s">
        <v>4305</v>
      </c>
      <c r="B2002" s="15" t="s">
        <v>4269</v>
      </c>
      <c r="C2002" s="52">
        <v>163.39058199999999</v>
      </c>
      <c r="D2002" s="25">
        <v>0.14444444444444446</v>
      </c>
      <c r="E2002" s="53">
        <v>-23.404042</v>
      </c>
      <c r="F2002" s="53">
        <v>-46.834935999999999</v>
      </c>
      <c r="G2002" s="53">
        <v>-23.070899000000001</v>
      </c>
      <c r="H2002" s="53">
        <v>-47.030242000000001</v>
      </c>
      <c r="I2002" s="53">
        <v>-22.501370999999999</v>
      </c>
      <c r="J2002" s="53">
        <v>-47.399406999999997</v>
      </c>
      <c r="L2002" s="61" t="str">
        <f t="shared" ref="L2002:L2065" si="32">_xlfn.CONCAT(A2002,"-",B2002)</f>
        <v>Cliente35-depósito B</v>
      </c>
      <c r="M2002">
        <v>163.39058199999999</v>
      </c>
    </row>
    <row r="2003" spans="1:13" x14ac:dyDescent="0.25">
      <c r="A2003" s="15" t="s">
        <v>4305</v>
      </c>
      <c r="B2003" s="15" t="s">
        <v>4270</v>
      </c>
      <c r="C2003" s="54">
        <v>66.571389999999994</v>
      </c>
      <c r="D2003" s="26">
        <v>6.805555555555555E-2</v>
      </c>
      <c r="E2003" s="55">
        <v>-23.504899999999999</v>
      </c>
      <c r="F2003" s="55">
        <v>-46.846547999999999</v>
      </c>
      <c r="G2003" s="55">
        <v>-23.519486000000001</v>
      </c>
      <c r="H2003" s="55">
        <v>-46.617607999999997</v>
      </c>
      <c r="I2003" s="55">
        <v>-23.369465000000002</v>
      </c>
      <c r="J2003" s="55">
        <v>-46.239342999999998</v>
      </c>
      <c r="L2003" s="61" t="str">
        <f t="shared" si="32"/>
        <v>Cliente35-depósito C</v>
      </c>
      <c r="M2003">
        <v>66.571389999999994</v>
      </c>
    </row>
    <row r="2004" spans="1:13" x14ac:dyDescent="0.25">
      <c r="A2004" s="15" t="s">
        <v>4305</v>
      </c>
      <c r="B2004" s="15" t="s">
        <v>4271</v>
      </c>
      <c r="C2004" s="52">
        <v>50.075186000000002</v>
      </c>
      <c r="D2004" s="25">
        <v>5.8333333333333327E-2</v>
      </c>
      <c r="E2004" s="53">
        <v>-23.426694000000001</v>
      </c>
      <c r="F2004" s="53">
        <v>-46.892232</v>
      </c>
      <c r="G2004" s="53">
        <v>-23.368345000000001</v>
      </c>
      <c r="H2004" s="53">
        <v>-46.845517999999998</v>
      </c>
      <c r="I2004" s="53">
        <v>-23.217869</v>
      </c>
      <c r="J2004" s="53">
        <v>-46.882185999999997</v>
      </c>
      <c r="L2004" s="61" t="str">
        <f t="shared" si="32"/>
        <v>Cliente35-Cliente1</v>
      </c>
      <c r="M2004">
        <v>50.075186000000002</v>
      </c>
    </row>
    <row r="2005" spans="1:13" x14ac:dyDescent="0.25">
      <c r="A2005" s="15" t="s">
        <v>4305</v>
      </c>
      <c r="B2005" s="15" t="s">
        <v>4272</v>
      </c>
      <c r="C2005" s="54">
        <v>54.221606000000001</v>
      </c>
      <c r="D2005" s="26">
        <v>6.3888888888888884E-2</v>
      </c>
      <c r="E2005" s="55">
        <v>-23.419395000000002</v>
      </c>
      <c r="F2005" s="55">
        <v>-46.892144000000002</v>
      </c>
      <c r="G2005" s="55">
        <v>-23.344825</v>
      </c>
      <c r="H2005" s="55">
        <v>-46.840640999999998</v>
      </c>
      <c r="I2005" s="55">
        <v>-23.138016</v>
      </c>
      <c r="J2005" s="55">
        <v>-46.943173999999999</v>
      </c>
      <c r="L2005" s="61" t="str">
        <f t="shared" si="32"/>
        <v>Cliente35-Cliente2</v>
      </c>
      <c r="M2005">
        <v>54.221606000000001</v>
      </c>
    </row>
    <row r="2006" spans="1:13" x14ac:dyDescent="0.25">
      <c r="A2006" s="15" t="s">
        <v>4305</v>
      </c>
      <c r="B2006" s="15" t="s">
        <v>4273</v>
      </c>
      <c r="C2006" s="52">
        <v>51.822485999999998</v>
      </c>
      <c r="D2006" s="25">
        <v>6.1111111111111116E-2</v>
      </c>
      <c r="E2006" s="53">
        <v>-23.422339999999998</v>
      </c>
      <c r="F2006" s="53">
        <v>-46.891665000000003</v>
      </c>
      <c r="G2006" s="53">
        <v>-23.362005</v>
      </c>
      <c r="H2006" s="53">
        <v>-46.848300999999999</v>
      </c>
      <c r="I2006" s="53">
        <v>-23.188635999999999</v>
      </c>
      <c r="J2006" s="53">
        <v>-46.906787000000001</v>
      </c>
      <c r="L2006" s="61" t="str">
        <f t="shared" si="32"/>
        <v>Cliente35-Cliente3</v>
      </c>
      <c r="M2006">
        <v>51.822485999999998</v>
      </c>
    </row>
    <row r="2007" spans="1:13" x14ac:dyDescent="0.25">
      <c r="A2007" s="15" t="s">
        <v>4305</v>
      </c>
      <c r="B2007" s="15" t="s">
        <v>4274</v>
      </c>
      <c r="C2007" s="54">
        <v>61.979444999999998</v>
      </c>
      <c r="D2007" s="26">
        <v>6.805555555555555E-2</v>
      </c>
      <c r="E2007" s="55">
        <v>-23.414306</v>
      </c>
      <c r="F2007" s="55">
        <v>-46.892634000000001</v>
      </c>
      <c r="G2007" s="55">
        <v>-23.327490000000001</v>
      </c>
      <c r="H2007" s="55">
        <v>-46.839661999999997</v>
      </c>
      <c r="I2007" s="55">
        <v>-23.107018</v>
      </c>
      <c r="J2007" s="55">
        <v>-46.961675</v>
      </c>
      <c r="L2007" s="61" t="str">
        <f t="shared" si="32"/>
        <v>Cliente35-Cliente4</v>
      </c>
      <c r="M2007">
        <v>61.979444999999998</v>
      </c>
    </row>
    <row r="2008" spans="1:13" x14ac:dyDescent="0.25">
      <c r="A2008" s="15" t="s">
        <v>4305</v>
      </c>
      <c r="B2008" s="15" t="s">
        <v>4275</v>
      </c>
      <c r="C2008" s="52">
        <v>62.072651</v>
      </c>
      <c r="D2008" s="25">
        <v>6.8749999999999992E-2</v>
      </c>
      <c r="E2008" s="53">
        <v>-23.416097000000001</v>
      </c>
      <c r="F2008" s="53">
        <v>-46.892121000000003</v>
      </c>
      <c r="G2008" s="53">
        <v>-23.329234</v>
      </c>
      <c r="H2008" s="53">
        <v>-46.838495000000002</v>
      </c>
      <c r="I2008" s="53">
        <v>-23.113913</v>
      </c>
      <c r="J2008" s="53">
        <v>-46.95731</v>
      </c>
      <c r="L2008" s="61" t="str">
        <f t="shared" si="32"/>
        <v>Cliente35-Cliente5</v>
      </c>
      <c r="M2008">
        <v>62.072651</v>
      </c>
    </row>
    <row r="2009" spans="1:13" x14ac:dyDescent="0.25">
      <c r="A2009" s="15" t="s">
        <v>4305</v>
      </c>
      <c r="B2009" s="15" t="s">
        <v>4276</v>
      </c>
      <c r="C2009" s="54">
        <v>47.811525000000003</v>
      </c>
      <c r="D2009" s="26">
        <v>5.6944444444444443E-2</v>
      </c>
      <c r="E2009" s="55">
        <v>-23.420193999999999</v>
      </c>
      <c r="F2009" s="55">
        <v>-46.891979999999997</v>
      </c>
      <c r="G2009" s="55">
        <v>-23.347497000000001</v>
      </c>
      <c r="H2009" s="55">
        <v>-46.845075999999999</v>
      </c>
      <c r="I2009" s="55">
        <v>-23.166112999999999</v>
      </c>
      <c r="J2009" s="55">
        <v>-46.928412999999999</v>
      </c>
      <c r="L2009" s="61" t="str">
        <f t="shared" si="32"/>
        <v>Cliente35-Cliente6</v>
      </c>
      <c r="M2009">
        <v>47.811525000000003</v>
      </c>
    </row>
    <row r="2010" spans="1:13" x14ac:dyDescent="0.25">
      <c r="A2010" s="15" t="s">
        <v>4305</v>
      </c>
      <c r="B2010" s="15" t="s">
        <v>4277</v>
      </c>
      <c r="C2010" s="52">
        <v>52.566890999999998</v>
      </c>
      <c r="D2010" s="25">
        <v>5.8333333333333327E-2</v>
      </c>
      <c r="E2010" s="53">
        <v>-23.424745999999999</v>
      </c>
      <c r="F2010" s="53">
        <v>-46.891973999999998</v>
      </c>
      <c r="G2010" s="53">
        <v>-23.364144</v>
      </c>
      <c r="H2010" s="53">
        <v>-46.846665000000002</v>
      </c>
      <c r="I2010" s="53">
        <v>-23.205829999999999</v>
      </c>
      <c r="J2010" s="53">
        <v>-46.925846999999997</v>
      </c>
      <c r="L2010" s="61" t="str">
        <f t="shared" si="32"/>
        <v>Cliente35-Cliente7</v>
      </c>
      <c r="M2010">
        <v>52.566890999999998</v>
      </c>
    </row>
    <row r="2011" spans="1:13" x14ac:dyDescent="0.25">
      <c r="A2011" s="15" t="s">
        <v>4305</v>
      </c>
      <c r="B2011" s="15" t="s">
        <v>4278</v>
      </c>
      <c r="C2011" s="54">
        <v>58.195906000000001</v>
      </c>
      <c r="D2011" s="26">
        <v>6.5277777777777782E-2</v>
      </c>
      <c r="E2011" s="55">
        <v>-23.414104999999999</v>
      </c>
      <c r="F2011" s="55">
        <v>-46.892637000000001</v>
      </c>
      <c r="G2011" s="55">
        <v>-23.326516000000002</v>
      </c>
      <c r="H2011" s="55">
        <v>-46.841068</v>
      </c>
      <c r="I2011" s="55">
        <v>-23.087416000000001</v>
      </c>
      <c r="J2011" s="55">
        <v>-46.974594000000003</v>
      </c>
      <c r="L2011" s="61" t="str">
        <f t="shared" si="32"/>
        <v>Cliente35-Cliente8</v>
      </c>
      <c r="M2011">
        <v>58.195906000000001</v>
      </c>
    </row>
    <row r="2012" spans="1:13" x14ac:dyDescent="0.25">
      <c r="A2012" s="15" t="s">
        <v>4305</v>
      </c>
      <c r="B2012" s="15" t="s">
        <v>4279</v>
      </c>
      <c r="C2012" s="52">
        <v>73.609057000000007</v>
      </c>
      <c r="D2012" s="25">
        <v>7.6388888888888895E-2</v>
      </c>
      <c r="E2012" s="53">
        <v>-23.408798000000001</v>
      </c>
      <c r="F2012" s="53">
        <v>-46.891199999999998</v>
      </c>
      <c r="G2012" s="53">
        <v>-23.312861999999999</v>
      </c>
      <c r="H2012" s="53">
        <v>-46.858037000000003</v>
      </c>
      <c r="I2012" s="53">
        <v>-23.024046999999999</v>
      </c>
      <c r="J2012" s="53">
        <v>-47.075871999999997</v>
      </c>
      <c r="L2012" s="61" t="str">
        <f t="shared" si="32"/>
        <v>Cliente35-Cliente9</v>
      </c>
      <c r="M2012">
        <v>73.609057000000007</v>
      </c>
    </row>
    <row r="2013" spans="1:13" x14ac:dyDescent="0.25">
      <c r="A2013" s="15" t="s">
        <v>4305</v>
      </c>
      <c r="B2013" s="15" t="s">
        <v>4280</v>
      </c>
      <c r="C2013" s="54">
        <v>20.291547999999999</v>
      </c>
      <c r="D2013" s="26">
        <v>3.3333333333333333E-2</v>
      </c>
      <c r="E2013" s="55">
        <v>-23.486187000000001</v>
      </c>
      <c r="F2013" s="55">
        <v>-46.857785999999997</v>
      </c>
      <c r="G2013" s="55">
        <v>-23.510648</v>
      </c>
      <c r="H2013" s="55">
        <v>-46.811509000000001</v>
      </c>
      <c r="I2013" s="55">
        <v>-23.508977000000002</v>
      </c>
      <c r="J2013" s="55">
        <v>-46.694519</v>
      </c>
      <c r="L2013" s="61" t="str">
        <f t="shared" si="32"/>
        <v>Cliente35-Cliente10</v>
      </c>
      <c r="M2013">
        <v>20.291547999999999</v>
      </c>
    </row>
    <row r="2014" spans="1:13" x14ac:dyDescent="0.25">
      <c r="A2014" s="15" t="s">
        <v>4305</v>
      </c>
      <c r="B2014" s="15" t="s">
        <v>4281</v>
      </c>
      <c r="C2014" s="52">
        <v>90.040015999999994</v>
      </c>
      <c r="D2014" s="25">
        <v>7.9861111111111105E-2</v>
      </c>
      <c r="E2014" s="53">
        <v>-23.504435000000001</v>
      </c>
      <c r="F2014" s="53">
        <v>-46.847312000000002</v>
      </c>
      <c r="G2014" s="53">
        <v>-23.428775000000002</v>
      </c>
      <c r="H2014" s="53">
        <v>-47.138109</v>
      </c>
      <c r="I2014" s="53">
        <v>-23.140557999999999</v>
      </c>
      <c r="J2014" s="53">
        <v>-47.356068</v>
      </c>
      <c r="L2014" s="61" t="str">
        <f t="shared" si="32"/>
        <v>Cliente35-Cliente11</v>
      </c>
      <c r="M2014">
        <v>90.040015999999994</v>
      </c>
    </row>
    <row r="2015" spans="1:13" x14ac:dyDescent="0.25">
      <c r="A2015" s="15" t="s">
        <v>4305</v>
      </c>
      <c r="B2015" s="15" t="s">
        <v>4282</v>
      </c>
      <c r="C2015" s="54">
        <v>65.612611000000001</v>
      </c>
      <c r="D2015" s="26">
        <v>6.805555555555555E-2</v>
      </c>
      <c r="E2015" s="55">
        <v>-23.506201999999998</v>
      </c>
      <c r="F2015" s="55">
        <v>-46.846440999999999</v>
      </c>
      <c r="G2015" s="55">
        <v>-23.523140000000001</v>
      </c>
      <c r="H2015" s="55">
        <v>-46.612188000000003</v>
      </c>
      <c r="I2015" s="55">
        <v>-23.363319000000001</v>
      </c>
      <c r="J2015" s="55">
        <v>-46.222892000000002</v>
      </c>
      <c r="L2015" s="61" t="str">
        <f t="shared" si="32"/>
        <v>Cliente35-Cliente12</v>
      </c>
      <c r="M2015">
        <v>65.612611000000001</v>
      </c>
    </row>
    <row r="2016" spans="1:13" x14ac:dyDescent="0.25">
      <c r="A2016" s="15" t="s">
        <v>4305</v>
      </c>
      <c r="B2016" s="15" t="s">
        <v>4283</v>
      </c>
      <c r="C2016" s="52">
        <v>73.496589</v>
      </c>
      <c r="D2016" s="25">
        <v>7.3611111111111113E-2</v>
      </c>
      <c r="E2016" s="53">
        <v>-23.507168</v>
      </c>
      <c r="F2016" s="53">
        <v>-46.845787000000001</v>
      </c>
      <c r="G2016" s="53">
        <v>-23.524187000000001</v>
      </c>
      <c r="H2016" s="53">
        <v>-46.60219</v>
      </c>
      <c r="I2016" s="53">
        <v>-23.352357999999999</v>
      </c>
      <c r="J2016" s="53">
        <v>-46.181800000000003</v>
      </c>
      <c r="L2016" s="61" t="str">
        <f t="shared" si="32"/>
        <v>Cliente35-Cliente13</v>
      </c>
      <c r="M2016">
        <v>73.496589</v>
      </c>
    </row>
    <row r="2017" spans="1:13" x14ac:dyDescent="0.25">
      <c r="A2017" s="15" t="s">
        <v>4305</v>
      </c>
      <c r="B2017" s="15" t="s">
        <v>4284</v>
      </c>
      <c r="C2017" s="54">
        <v>71.559147999999993</v>
      </c>
      <c r="D2017" s="26">
        <v>7.013888888888889E-2</v>
      </c>
      <c r="E2017" s="55">
        <v>-23.504328000000001</v>
      </c>
      <c r="F2017" s="55">
        <v>-46.847338999999998</v>
      </c>
      <c r="G2017" s="55">
        <v>-23.519262999999999</v>
      </c>
      <c r="H2017" s="55">
        <v>-46.620029000000002</v>
      </c>
      <c r="I2017" s="55">
        <v>-23.370768000000002</v>
      </c>
      <c r="J2017" s="55">
        <v>-46.242114000000001</v>
      </c>
      <c r="L2017" s="61" t="str">
        <f t="shared" si="32"/>
        <v>Cliente35-Cliente14</v>
      </c>
      <c r="M2017">
        <v>71.559147999999993</v>
      </c>
    </row>
    <row r="2018" spans="1:13" x14ac:dyDescent="0.25">
      <c r="A2018" s="15" t="s">
        <v>4305</v>
      </c>
      <c r="B2018" s="15" t="s">
        <v>4285</v>
      </c>
      <c r="C2018" s="52">
        <v>73.937763000000004</v>
      </c>
      <c r="D2018" s="25">
        <v>7.6388888888888895E-2</v>
      </c>
      <c r="E2018" s="53">
        <v>-23.507168</v>
      </c>
      <c r="F2018" s="53">
        <v>-46.845787000000001</v>
      </c>
      <c r="G2018" s="53">
        <v>-23.524187000000001</v>
      </c>
      <c r="H2018" s="53">
        <v>-46.60219</v>
      </c>
      <c r="I2018" s="53">
        <v>-23.352357999999999</v>
      </c>
      <c r="J2018" s="53">
        <v>-46.181800000000003</v>
      </c>
      <c r="L2018" s="61" t="str">
        <f t="shared" si="32"/>
        <v>Cliente35-Cliente15</v>
      </c>
      <c r="M2018">
        <v>73.937763000000004</v>
      </c>
    </row>
    <row r="2019" spans="1:13" x14ac:dyDescent="0.25">
      <c r="A2019" s="15" t="s">
        <v>4305</v>
      </c>
      <c r="B2019" s="15" t="s">
        <v>4286</v>
      </c>
      <c r="C2019" s="54">
        <v>72.868380999999999</v>
      </c>
      <c r="D2019" s="26">
        <v>7.4999999999999997E-2</v>
      </c>
      <c r="E2019" s="55">
        <v>-23.506682999999999</v>
      </c>
      <c r="F2019" s="55">
        <v>-46.845340999999998</v>
      </c>
      <c r="G2019" s="55">
        <v>-23.529858999999998</v>
      </c>
      <c r="H2019" s="55">
        <v>-46.594628</v>
      </c>
      <c r="I2019" s="55">
        <v>-23.352187000000001</v>
      </c>
      <c r="J2019" s="55">
        <v>-46.180871000000003</v>
      </c>
      <c r="L2019" s="61" t="str">
        <f t="shared" si="32"/>
        <v>Cliente35-Cliente16</v>
      </c>
      <c r="M2019">
        <v>72.868380999999999</v>
      </c>
    </row>
    <row r="2020" spans="1:13" x14ac:dyDescent="0.25">
      <c r="A2020" s="15" t="s">
        <v>4305</v>
      </c>
      <c r="B2020" s="15" t="s">
        <v>4287</v>
      </c>
      <c r="C2020" s="52">
        <v>73.924092999999999</v>
      </c>
      <c r="D2020" s="25">
        <v>7.2916666666666671E-2</v>
      </c>
      <c r="E2020" s="53">
        <v>-23.507168</v>
      </c>
      <c r="F2020" s="53">
        <v>-46.845787000000001</v>
      </c>
      <c r="G2020" s="53">
        <v>-23.524187000000001</v>
      </c>
      <c r="H2020" s="53">
        <v>-46.60219</v>
      </c>
      <c r="I2020" s="53">
        <v>-23.352357999999999</v>
      </c>
      <c r="J2020" s="53">
        <v>-46.181800000000003</v>
      </c>
      <c r="L2020" s="61" t="str">
        <f t="shared" si="32"/>
        <v>Cliente35-Cliente17</v>
      </c>
      <c r="M2020">
        <v>73.924092999999999</v>
      </c>
    </row>
    <row r="2021" spans="1:13" x14ac:dyDescent="0.25">
      <c r="A2021" s="15" t="s">
        <v>4305</v>
      </c>
      <c r="B2021" s="15" t="s">
        <v>4288</v>
      </c>
      <c r="C2021" s="54">
        <v>78.752159000000006</v>
      </c>
      <c r="D2021" s="26">
        <v>7.7777777777777779E-2</v>
      </c>
      <c r="E2021" s="55">
        <v>-23.506784</v>
      </c>
      <c r="F2021" s="55">
        <v>-46.846625000000003</v>
      </c>
      <c r="G2021" s="55">
        <v>-23.523713999999998</v>
      </c>
      <c r="H2021" s="55">
        <v>-46.610359000000003</v>
      </c>
      <c r="I2021" s="55">
        <v>-23.357372999999999</v>
      </c>
      <c r="J2021" s="55">
        <v>-46.208469999999998</v>
      </c>
      <c r="L2021" s="61" t="str">
        <f t="shared" si="32"/>
        <v>Cliente35-Cliente18</v>
      </c>
      <c r="M2021">
        <v>78.752159000000006</v>
      </c>
    </row>
    <row r="2022" spans="1:13" x14ac:dyDescent="0.25">
      <c r="A2022" s="15" t="s">
        <v>4305</v>
      </c>
      <c r="B2022" s="15" t="s">
        <v>4289</v>
      </c>
      <c r="C2022" s="52">
        <v>17.091477999999999</v>
      </c>
      <c r="D2022" s="25">
        <v>2.4305555555555556E-2</v>
      </c>
      <c r="E2022" s="53">
        <v>-23.475445000000001</v>
      </c>
      <c r="F2022" s="53">
        <v>-46.859712000000002</v>
      </c>
      <c r="G2022" s="53">
        <v>-23.504899999999999</v>
      </c>
      <c r="H2022" s="53">
        <v>-46.846547999999999</v>
      </c>
      <c r="I2022" s="53">
        <v>-23.521176000000001</v>
      </c>
      <c r="J2022" s="53">
        <v>-46.746738000000001</v>
      </c>
      <c r="L2022" s="61" t="str">
        <f t="shared" si="32"/>
        <v>Cliente35-Cliente19</v>
      </c>
      <c r="M2022">
        <v>17.091477999999999</v>
      </c>
    </row>
    <row r="2023" spans="1:13" x14ac:dyDescent="0.25">
      <c r="A2023" s="15" t="s">
        <v>4305</v>
      </c>
      <c r="B2023" s="15" t="s">
        <v>4290</v>
      </c>
      <c r="C2023" s="54">
        <v>13.608063</v>
      </c>
      <c r="D2023" s="26">
        <v>2.2222222222222223E-2</v>
      </c>
      <c r="E2023" s="55">
        <v>-23.474986000000001</v>
      </c>
      <c r="F2023" s="55">
        <v>-46.862220999999998</v>
      </c>
      <c r="G2023" s="55">
        <v>-23.495847000000001</v>
      </c>
      <c r="H2023" s="55">
        <v>-46.853498999999999</v>
      </c>
      <c r="I2023" s="55">
        <v>-23.520097</v>
      </c>
      <c r="J2023" s="55">
        <v>-46.780455000000003</v>
      </c>
      <c r="L2023" s="61" t="str">
        <f t="shared" si="32"/>
        <v>Cliente35-Cliente20</v>
      </c>
      <c r="M2023">
        <v>13.608063</v>
      </c>
    </row>
    <row r="2024" spans="1:13" x14ac:dyDescent="0.25">
      <c r="A2024" s="15" t="s">
        <v>4305</v>
      </c>
      <c r="B2024" s="15" t="s">
        <v>4291</v>
      </c>
      <c r="C2024" s="52">
        <v>14.150520999999999</v>
      </c>
      <c r="D2024" s="25">
        <v>2.2916666666666669E-2</v>
      </c>
      <c r="E2024" s="53">
        <v>-23.475102</v>
      </c>
      <c r="F2024" s="53">
        <v>-46.861471999999999</v>
      </c>
      <c r="G2024" s="53">
        <v>-23.499054000000001</v>
      </c>
      <c r="H2024" s="53">
        <v>-46.848432000000003</v>
      </c>
      <c r="I2024" s="53">
        <v>-23.525649999999999</v>
      </c>
      <c r="J2024" s="53">
        <v>-46.755398</v>
      </c>
      <c r="L2024" s="61" t="str">
        <f t="shared" si="32"/>
        <v>Cliente35-Cliente21</v>
      </c>
      <c r="M2024">
        <v>14.150520999999999</v>
      </c>
    </row>
    <row r="2025" spans="1:13" x14ac:dyDescent="0.25">
      <c r="A2025" s="15" t="s">
        <v>4305</v>
      </c>
      <c r="B2025" s="15" t="s">
        <v>4292</v>
      </c>
      <c r="C2025" s="54">
        <v>15.413772</v>
      </c>
      <c r="D2025" s="26">
        <v>2.5694444444444447E-2</v>
      </c>
      <c r="E2025" s="55">
        <v>-23.476921000000001</v>
      </c>
      <c r="F2025" s="55">
        <v>-46.858333999999999</v>
      </c>
      <c r="G2025" s="55">
        <v>-23.507289</v>
      </c>
      <c r="H2025" s="55">
        <v>-46.845996999999997</v>
      </c>
      <c r="I2025" s="55">
        <v>-23.518550999999999</v>
      </c>
      <c r="J2025" s="55">
        <v>-46.74344</v>
      </c>
      <c r="L2025" s="61" t="str">
        <f t="shared" si="32"/>
        <v>Cliente35-Cliente22</v>
      </c>
      <c r="M2025">
        <v>15.413772</v>
      </c>
    </row>
    <row r="2026" spans="1:13" x14ac:dyDescent="0.25">
      <c r="A2026" s="15" t="s">
        <v>4305</v>
      </c>
      <c r="B2026" s="15" t="s">
        <v>4293</v>
      </c>
      <c r="C2026" s="52">
        <v>19.157543</v>
      </c>
      <c r="D2026" s="25">
        <v>2.7777777777777776E-2</v>
      </c>
      <c r="E2026" s="53">
        <v>-23.487144000000001</v>
      </c>
      <c r="F2026" s="53">
        <v>-46.856301000000002</v>
      </c>
      <c r="G2026" s="53">
        <v>-23.512070000000001</v>
      </c>
      <c r="H2026" s="53">
        <v>-46.809539999999998</v>
      </c>
      <c r="I2026" s="53">
        <v>-23.593071999999999</v>
      </c>
      <c r="J2026" s="53">
        <v>-46.803491999999999</v>
      </c>
      <c r="L2026" s="61" t="str">
        <f t="shared" si="32"/>
        <v>Cliente35-Cliente23</v>
      </c>
      <c r="M2026">
        <v>19.157543</v>
      </c>
    </row>
    <row r="2027" spans="1:13" x14ac:dyDescent="0.25">
      <c r="A2027" s="15" t="s">
        <v>4305</v>
      </c>
      <c r="B2027" s="15" t="s">
        <v>4294</v>
      </c>
      <c r="C2027" s="54">
        <v>20.136825999999999</v>
      </c>
      <c r="D2027" s="26">
        <v>2.9861111111111113E-2</v>
      </c>
      <c r="E2027" s="55">
        <v>-23.487165999999998</v>
      </c>
      <c r="F2027" s="55">
        <v>-46.856188000000003</v>
      </c>
      <c r="G2027" s="55">
        <v>-23.517917000000001</v>
      </c>
      <c r="H2027" s="55">
        <v>-46.814776999999999</v>
      </c>
      <c r="I2027" s="55">
        <v>-23.591204000000001</v>
      </c>
      <c r="J2027" s="55">
        <v>-46.798402000000003</v>
      </c>
      <c r="L2027" s="61" t="str">
        <f t="shared" si="32"/>
        <v>Cliente35-Cliente24</v>
      </c>
      <c r="M2027">
        <v>20.136825999999999</v>
      </c>
    </row>
    <row r="2028" spans="1:13" x14ac:dyDescent="0.25">
      <c r="A2028" s="15" t="s">
        <v>4305</v>
      </c>
      <c r="B2028" s="15" t="s">
        <v>4295</v>
      </c>
      <c r="C2028" s="52">
        <v>22.957236999999999</v>
      </c>
      <c r="D2028" s="25">
        <v>3.2638888888888891E-2</v>
      </c>
      <c r="E2028" s="53">
        <v>-23.487282</v>
      </c>
      <c r="F2028" s="53">
        <v>-46.855863999999997</v>
      </c>
      <c r="G2028" s="53">
        <v>-23.518491000000001</v>
      </c>
      <c r="H2028" s="53">
        <v>-46.816158000000001</v>
      </c>
      <c r="I2028" s="53">
        <v>-23.628382999999999</v>
      </c>
      <c r="J2028" s="53">
        <v>-46.830249000000002</v>
      </c>
      <c r="L2028" s="61" t="str">
        <f t="shared" si="32"/>
        <v>Cliente35-Cliente25</v>
      </c>
      <c r="M2028">
        <v>22.957236999999999</v>
      </c>
    </row>
    <row r="2029" spans="1:13" x14ac:dyDescent="0.25">
      <c r="A2029" s="15" t="s">
        <v>4305</v>
      </c>
      <c r="B2029" s="15" t="s">
        <v>4296</v>
      </c>
      <c r="C2029" s="54">
        <v>14.619657999999999</v>
      </c>
      <c r="D2029" s="26">
        <v>2.2916666666666669E-2</v>
      </c>
      <c r="E2029" s="55">
        <v>-23.484059999999999</v>
      </c>
      <c r="F2029" s="55">
        <v>-46.858443999999999</v>
      </c>
      <c r="G2029" s="55">
        <v>-23.510376999999998</v>
      </c>
      <c r="H2029" s="55">
        <v>-46.816707000000001</v>
      </c>
      <c r="I2029" s="55">
        <v>-23.585906000000001</v>
      </c>
      <c r="J2029" s="55">
        <v>-46.808802999999997</v>
      </c>
      <c r="L2029" s="61" t="str">
        <f t="shared" si="32"/>
        <v>Cliente35-Cliente26</v>
      </c>
      <c r="M2029">
        <v>14.619657999999999</v>
      </c>
    </row>
    <row r="2030" spans="1:13" x14ac:dyDescent="0.25">
      <c r="A2030" s="15" t="s">
        <v>4305</v>
      </c>
      <c r="B2030" s="15" t="s">
        <v>4297</v>
      </c>
      <c r="C2030" s="52">
        <v>20.936533000000001</v>
      </c>
      <c r="D2030" s="25">
        <v>3.0555555555555555E-2</v>
      </c>
      <c r="E2030" s="53">
        <v>-23.487282</v>
      </c>
      <c r="F2030" s="53">
        <v>-46.855863999999997</v>
      </c>
      <c r="G2030" s="53">
        <v>-23.518491000000001</v>
      </c>
      <c r="H2030" s="53">
        <v>-46.816158000000001</v>
      </c>
      <c r="I2030" s="53">
        <v>-23.584341999999999</v>
      </c>
      <c r="J2030" s="53">
        <v>-46.785868999999998</v>
      </c>
      <c r="L2030" s="61" t="str">
        <f t="shared" si="32"/>
        <v>Cliente35-Cliente27</v>
      </c>
      <c r="M2030">
        <v>20.936533000000001</v>
      </c>
    </row>
    <row r="2031" spans="1:13" x14ac:dyDescent="0.25">
      <c r="A2031" s="15" t="s">
        <v>4305</v>
      </c>
      <c r="B2031" s="15" t="s">
        <v>4298</v>
      </c>
      <c r="C2031" s="54">
        <v>24.620652</v>
      </c>
      <c r="D2031" s="26">
        <v>3.8194444444444441E-2</v>
      </c>
      <c r="E2031" s="55">
        <v>-23.487165999999998</v>
      </c>
      <c r="F2031" s="55">
        <v>-46.856188000000003</v>
      </c>
      <c r="G2031" s="55">
        <v>-23.520524999999999</v>
      </c>
      <c r="H2031" s="55">
        <v>-46.777844999999999</v>
      </c>
      <c r="I2031" s="55">
        <v>-23.612738</v>
      </c>
      <c r="J2031" s="55">
        <v>-46.700533999999998</v>
      </c>
      <c r="L2031" s="61" t="str">
        <f t="shared" si="32"/>
        <v>Cliente35-Cliente28</v>
      </c>
      <c r="M2031">
        <v>24.620652</v>
      </c>
    </row>
    <row r="2032" spans="1:13" x14ac:dyDescent="0.25">
      <c r="A2032" s="15" t="s">
        <v>4305</v>
      </c>
      <c r="B2032" s="15" t="s">
        <v>4299</v>
      </c>
      <c r="C2032" s="52">
        <v>30.040886</v>
      </c>
      <c r="D2032" s="25">
        <v>4.5138888888888888E-2</v>
      </c>
      <c r="E2032" s="53">
        <v>-23.492599999999999</v>
      </c>
      <c r="F2032" s="53">
        <v>-46.853211999999999</v>
      </c>
      <c r="G2032" s="53">
        <v>-23.546202000000001</v>
      </c>
      <c r="H2032" s="53">
        <v>-46.734848999999997</v>
      </c>
      <c r="I2032" s="53">
        <v>-23.629432000000001</v>
      </c>
      <c r="J2032" s="53">
        <v>-46.630980000000001</v>
      </c>
      <c r="L2032" s="61" t="str">
        <f t="shared" si="32"/>
        <v>Cliente35-Cliente29</v>
      </c>
      <c r="M2032">
        <v>30.040886</v>
      </c>
    </row>
    <row r="2033" spans="1:13" x14ac:dyDescent="0.25">
      <c r="A2033" s="15" t="s">
        <v>4305</v>
      </c>
      <c r="B2033" s="15" t="s">
        <v>4300</v>
      </c>
      <c r="C2033" s="54">
        <v>35.968161000000002</v>
      </c>
      <c r="D2033" s="26">
        <v>5.6250000000000001E-2</v>
      </c>
      <c r="E2033" s="55">
        <v>-23.504328000000001</v>
      </c>
      <c r="F2033" s="55">
        <v>-46.847338999999998</v>
      </c>
      <c r="G2033" s="55">
        <v>-23.517925999999999</v>
      </c>
      <c r="H2033" s="55">
        <v>-46.651291999999998</v>
      </c>
      <c r="I2033" s="55">
        <v>-23.598701999999999</v>
      </c>
      <c r="J2033" s="55">
        <v>-46.58043</v>
      </c>
      <c r="L2033" s="61" t="str">
        <f t="shared" si="32"/>
        <v>Cliente35-Cliente30</v>
      </c>
      <c r="M2033">
        <v>35.968161000000002</v>
      </c>
    </row>
    <row r="2034" spans="1:13" x14ac:dyDescent="0.25">
      <c r="A2034" s="15" t="s">
        <v>4305</v>
      </c>
      <c r="B2034" s="15" t="s">
        <v>4301</v>
      </c>
      <c r="C2034" s="52">
        <v>11.518386</v>
      </c>
      <c r="D2034" s="25">
        <v>2.2222222222222223E-2</v>
      </c>
      <c r="E2034" s="53">
        <v>-23.47503</v>
      </c>
      <c r="F2034" s="53">
        <v>-46.862181999999997</v>
      </c>
      <c r="G2034" s="53">
        <v>-23.495743999999998</v>
      </c>
      <c r="H2034" s="53">
        <v>-46.848886999999998</v>
      </c>
      <c r="I2034" s="53">
        <v>-23.518281999999999</v>
      </c>
      <c r="J2034" s="53">
        <v>-46.788454999999999</v>
      </c>
      <c r="L2034" s="61" t="str">
        <f t="shared" si="32"/>
        <v>Cliente35-Cliente31</v>
      </c>
      <c r="M2034">
        <v>11.518386</v>
      </c>
    </row>
    <row r="2035" spans="1:13" x14ac:dyDescent="0.25">
      <c r="A2035" s="15" t="s">
        <v>4305</v>
      </c>
      <c r="B2035" s="15" t="s">
        <v>4302</v>
      </c>
      <c r="C2035" s="54">
        <v>15.975493</v>
      </c>
      <c r="D2035" s="26">
        <v>2.5694444444444447E-2</v>
      </c>
      <c r="E2035" s="55">
        <v>-23.482620000000001</v>
      </c>
      <c r="F2035" s="55">
        <v>-46.858435999999998</v>
      </c>
      <c r="G2035" s="55">
        <v>-23.507109</v>
      </c>
      <c r="H2035" s="55">
        <v>-46.838839</v>
      </c>
      <c r="I2035" s="55">
        <v>-23.513529999999999</v>
      </c>
      <c r="J2035" s="55">
        <v>-46.726441000000001</v>
      </c>
      <c r="L2035" s="61" t="str">
        <f t="shared" si="32"/>
        <v>Cliente35-Cliente32</v>
      </c>
      <c r="M2035">
        <v>15.975493</v>
      </c>
    </row>
    <row r="2036" spans="1:13" x14ac:dyDescent="0.25">
      <c r="A2036" s="15" t="s">
        <v>4305</v>
      </c>
      <c r="B2036" s="15" t="s">
        <v>4303</v>
      </c>
      <c r="C2036" s="52">
        <v>29.987448000000001</v>
      </c>
      <c r="D2036" s="25">
        <v>4.027777777777778E-2</v>
      </c>
      <c r="E2036" s="53">
        <v>-23.492248</v>
      </c>
      <c r="F2036" s="53">
        <v>-46.853022000000003</v>
      </c>
      <c r="G2036" s="53">
        <v>-23.520254999999999</v>
      </c>
      <c r="H2036" s="53">
        <v>-46.746177000000003</v>
      </c>
      <c r="I2036" s="53">
        <v>-23.530234</v>
      </c>
      <c r="J2036" s="53">
        <v>-46.592069000000002</v>
      </c>
      <c r="L2036" s="61" t="str">
        <f t="shared" si="32"/>
        <v>Cliente35-Cliente33</v>
      </c>
      <c r="M2036">
        <v>29.987448000000001</v>
      </c>
    </row>
    <row r="2037" spans="1:13" x14ac:dyDescent="0.25">
      <c r="A2037" s="15" t="s">
        <v>4305</v>
      </c>
      <c r="B2037" s="15" t="s">
        <v>4304</v>
      </c>
      <c r="C2037" s="54">
        <v>3.7847810000000002</v>
      </c>
      <c r="D2037" s="26">
        <v>8.3333333333333332E-3</v>
      </c>
      <c r="E2037" s="55">
        <v>-23.465001000000001</v>
      </c>
      <c r="F2037" s="55">
        <v>-46.87189</v>
      </c>
      <c r="G2037" s="55">
        <v>-23.471513000000002</v>
      </c>
      <c r="H2037" s="55">
        <v>-46.870598000000001</v>
      </c>
      <c r="I2037" s="55">
        <v>-23.463246000000002</v>
      </c>
      <c r="J2037" s="55">
        <v>-46.860954999999997</v>
      </c>
      <c r="L2037" s="61" t="str">
        <f t="shared" si="32"/>
        <v>Cliente35-Cliente34</v>
      </c>
      <c r="M2037">
        <v>3.7847810000000002</v>
      </c>
    </row>
    <row r="2038" spans="1:13" x14ac:dyDescent="0.25">
      <c r="A2038" s="15" t="s">
        <v>4305</v>
      </c>
      <c r="B2038" s="15" t="s">
        <v>4305</v>
      </c>
      <c r="C2038" s="52">
        <v>0</v>
      </c>
      <c r="D2038" s="25">
        <v>0</v>
      </c>
      <c r="E2038" s="53">
        <f>'1. Locais'!D39</f>
        <v>-23.46236</v>
      </c>
      <c r="F2038" s="53">
        <f>'1. Locais'!E39</f>
        <v>-46.876010000000001</v>
      </c>
      <c r="G2038" s="53">
        <f>'1. Locais'!D39</f>
        <v>-23.46236</v>
      </c>
      <c r="H2038" s="53">
        <f>'1. Locais'!E39</f>
        <v>-46.876010000000001</v>
      </c>
      <c r="I2038" s="53">
        <f>'1. Locais'!D39</f>
        <v>-23.46236</v>
      </c>
      <c r="J2038" s="53">
        <f>'1. Locais'!E39</f>
        <v>-46.876010000000001</v>
      </c>
      <c r="L2038" s="61" t="str">
        <f t="shared" si="32"/>
        <v>Cliente35-Cliente35</v>
      </c>
      <c r="M2038">
        <v>0</v>
      </c>
    </row>
    <row r="2039" spans="1:13" x14ac:dyDescent="0.25">
      <c r="A2039" s="15" t="s">
        <v>4305</v>
      </c>
      <c r="B2039" s="15" t="s">
        <v>4306</v>
      </c>
      <c r="C2039" s="54">
        <v>140.326469</v>
      </c>
      <c r="D2039" s="26">
        <v>0.12916666666666668</v>
      </c>
      <c r="E2039" s="55">
        <v>-23.404913000000001</v>
      </c>
      <c r="F2039" s="55">
        <v>-46.832802999999998</v>
      </c>
      <c r="G2039" s="55">
        <v>-23.089103999999999</v>
      </c>
      <c r="H2039" s="55">
        <v>-47.018389999999997</v>
      </c>
      <c r="I2039" s="55">
        <v>-22.556640999999999</v>
      </c>
      <c r="J2039" s="55">
        <v>-47.368212</v>
      </c>
      <c r="L2039" s="61" t="str">
        <f t="shared" si="32"/>
        <v>Cliente35-Cliente36</v>
      </c>
      <c r="M2039">
        <v>140.326469</v>
      </c>
    </row>
    <row r="2040" spans="1:13" x14ac:dyDescent="0.25">
      <c r="A2040" s="15" t="s">
        <v>4305</v>
      </c>
      <c r="B2040" s="15" t="s">
        <v>4307</v>
      </c>
      <c r="C2040" s="52">
        <v>139.22974600000001</v>
      </c>
      <c r="D2040" s="25">
        <v>0.1277777777777778</v>
      </c>
      <c r="E2040" s="53">
        <v>-23.404042</v>
      </c>
      <c r="F2040" s="53">
        <v>-46.834935999999999</v>
      </c>
      <c r="G2040" s="53">
        <v>-23.070899000000001</v>
      </c>
      <c r="H2040" s="53">
        <v>-47.030242000000001</v>
      </c>
      <c r="I2040" s="53">
        <v>-22.501370999999999</v>
      </c>
      <c r="J2040" s="53">
        <v>-47.399406999999997</v>
      </c>
      <c r="L2040" s="61" t="str">
        <f t="shared" si="32"/>
        <v>Cliente35-Cliente37</v>
      </c>
      <c r="M2040">
        <v>139.22974600000001</v>
      </c>
    </row>
    <row r="2041" spans="1:13" x14ac:dyDescent="0.25">
      <c r="A2041" s="15" t="s">
        <v>4305</v>
      </c>
      <c r="B2041" s="15" t="s">
        <v>4308</v>
      </c>
      <c r="C2041" s="54">
        <v>137.45324199999999</v>
      </c>
      <c r="D2041" s="26">
        <v>0.12569444444444444</v>
      </c>
      <c r="E2041" s="55">
        <v>-23.405422999999999</v>
      </c>
      <c r="F2041" s="55">
        <v>-46.826224000000003</v>
      </c>
      <c r="G2041" s="55">
        <v>-23.100173999999999</v>
      </c>
      <c r="H2041" s="55">
        <v>-47.012645999999997</v>
      </c>
      <c r="I2041" s="55">
        <v>-22.562927999999999</v>
      </c>
      <c r="J2041" s="55">
        <v>-47.365788999999999</v>
      </c>
      <c r="L2041" s="61" t="str">
        <f t="shared" si="32"/>
        <v>Cliente35-Cliente38</v>
      </c>
      <c r="M2041">
        <v>137.45324199999999</v>
      </c>
    </row>
    <row r="2042" spans="1:13" x14ac:dyDescent="0.25">
      <c r="A2042" s="15" t="s">
        <v>4305</v>
      </c>
      <c r="B2042" s="15" t="s">
        <v>4309</v>
      </c>
      <c r="C2042" s="52">
        <v>99.758285999999998</v>
      </c>
      <c r="D2042" s="25">
        <v>9.7222222222222224E-2</v>
      </c>
      <c r="E2042" s="53">
        <v>-23.509892000000001</v>
      </c>
      <c r="F2042" s="53">
        <v>-46.820039000000001</v>
      </c>
      <c r="G2042" s="53">
        <v>-23.477979000000001</v>
      </c>
      <c r="H2042" s="53">
        <v>-46.528593000000001</v>
      </c>
      <c r="I2042" s="53">
        <v>-23.314112000000002</v>
      </c>
      <c r="J2042" s="53">
        <v>-46.067197</v>
      </c>
      <c r="L2042" s="61" t="str">
        <f t="shared" si="32"/>
        <v>Cliente35-Cliente39</v>
      </c>
      <c r="M2042">
        <v>99.758285999999998</v>
      </c>
    </row>
    <row r="2043" spans="1:13" x14ac:dyDescent="0.25">
      <c r="A2043" s="15" t="s">
        <v>4305</v>
      </c>
      <c r="B2043" s="15" t="s">
        <v>4310</v>
      </c>
      <c r="C2043" s="54">
        <v>101.319796</v>
      </c>
      <c r="D2043" s="26">
        <v>0.10069444444444443</v>
      </c>
      <c r="E2043" s="55">
        <v>-23.5105</v>
      </c>
      <c r="F2043" s="55">
        <v>-46.814604000000003</v>
      </c>
      <c r="G2043" s="55">
        <v>-23.461556999999999</v>
      </c>
      <c r="H2043" s="55">
        <v>-46.489685999999999</v>
      </c>
      <c r="I2043" s="55">
        <v>-23.307568</v>
      </c>
      <c r="J2043" s="55">
        <v>-46.044603000000002</v>
      </c>
      <c r="L2043" s="61" t="str">
        <f t="shared" si="32"/>
        <v>Cliente35-Cliente40</v>
      </c>
      <c r="M2043">
        <v>101.319796</v>
      </c>
    </row>
    <row r="2044" spans="1:13" x14ac:dyDescent="0.25">
      <c r="A2044" s="15" t="s">
        <v>4305</v>
      </c>
      <c r="B2044" s="15" t="s">
        <v>4311</v>
      </c>
      <c r="C2044" s="52">
        <v>90.796847999999997</v>
      </c>
      <c r="D2044" s="25">
        <v>9.2361111111111116E-2</v>
      </c>
      <c r="E2044" s="53">
        <v>-23.5105</v>
      </c>
      <c r="F2044" s="53">
        <v>-46.814604000000003</v>
      </c>
      <c r="G2044" s="53">
        <v>-23.461556999999999</v>
      </c>
      <c r="H2044" s="53">
        <v>-46.489685999999999</v>
      </c>
      <c r="I2044" s="53">
        <v>-23.307568</v>
      </c>
      <c r="J2044" s="53">
        <v>-46.044603000000002</v>
      </c>
      <c r="L2044" s="61" t="str">
        <f t="shared" si="32"/>
        <v>Cliente35-Cliente41</v>
      </c>
      <c r="M2044">
        <v>90.796847999999997</v>
      </c>
    </row>
    <row r="2045" spans="1:13" x14ac:dyDescent="0.25">
      <c r="A2045" s="15" t="s">
        <v>4305</v>
      </c>
      <c r="B2045" s="15" t="s">
        <v>4312</v>
      </c>
      <c r="C2045" s="54">
        <v>87.325860000000006</v>
      </c>
      <c r="D2045" s="26">
        <v>8.4027777777777771E-2</v>
      </c>
      <c r="E2045" s="55">
        <v>-23.507061</v>
      </c>
      <c r="F2045" s="55">
        <v>-46.84657</v>
      </c>
      <c r="G2045" s="55">
        <v>-23.523781</v>
      </c>
      <c r="H2045" s="55">
        <v>-46.608165</v>
      </c>
      <c r="I2045" s="55">
        <v>-23.355936</v>
      </c>
      <c r="J2045" s="55">
        <v>-46.205038000000002</v>
      </c>
      <c r="L2045" s="61" t="str">
        <f t="shared" si="32"/>
        <v>Cliente35-Cliente42</v>
      </c>
      <c r="M2045">
        <v>87.325860000000006</v>
      </c>
    </row>
    <row r="2046" spans="1:13" x14ac:dyDescent="0.25">
      <c r="A2046" s="15" t="s">
        <v>4305</v>
      </c>
      <c r="B2046" s="15" t="s">
        <v>4313</v>
      </c>
      <c r="C2046" s="52">
        <v>109.97862499999999</v>
      </c>
      <c r="D2046" s="25">
        <v>0.10486111111111111</v>
      </c>
      <c r="E2046" s="53">
        <v>-23.512547999999999</v>
      </c>
      <c r="F2046" s="53">
        <v>-46.802211999999997</v>
      </c>
      <c r="G2046" s="53">
        <v>-23.409972</v>
      </c>
      <c r="H2046" s="53">
        <v>-46.344794</v>
      </c>
      <c r="I2046" s="53">
        <v>-23.256072</v>
      </c>
      <c r="J2046" s="53">
        <v>-45.944560000000003</v>
      </c>
      <c r="L2046" s="61" t="str">
        <f t="shared" si="32"/>
        <v>Cliente35-Cliente43</v>
      </c>
      <c r="M2046">
        <v>109.97862499999999</v>
      </c>
    </row>
    <row r="2047" spans="1:13" x14ac:dyDescent="0.25">
      <c r="A2047" s="15" t="s">
        <v>4305</v>
      </c>
      <c r="B2047" s="15" t="s">
        <v>4314</v>
      </c>
      <c r="C2047" s="54">
        <v>52.412168999999999</v>
      </c>
      <c r="D2047" s="26">
        <v>5.6250000000000001E-2</v>
      </c>
      <c r="E2047" s="55">
        <v>-23.495837999999999</v>
      </c>
      <c r="F2047" s="55">
        <v>-46.853738</v>
      </c>
      <c r="G2047" s="55">
        <v>-23.456313999999999</v>
      </c>
      <c r="H2047" s="55">
        <v>-47.051454</v>
      </c>
      <c r="I2047" s="55">
        <v>-23.399884</v>
      </c>
      <c r="J2047" s="55">
        <v>-47.333378000000003</v>
      </c>
      <c r="L2047" s="61" t="str">
        <f t="shared" si="32"/>
        <v>Cliente35-Cliente44</v>
      </c>
      <c r="M2047">
        <v>52.412168999999999</v>
      </c>
    </row>
    <row r="2048" spans="1:13" x14ac:dyDescent="0.25">
      <c r="A2048" s="15" t="s">
        <v>4305</v>
      </c>
      <c r="B2048" s="15" t="s">
        <v>4315</v>
      </c>
      <c r="C2048" s="52">
        <v>53.190128000000001</v>
      </c>
      <c r="D2048" s="25">
        <v>5.9027777777777783E-2</v>
      </c>
      <c r="E2048" s="53">
        <v>-23.504328000000001</v>
      </c>
      <c r="F2048" s="53">
        <v>-46.847338999999998</v>
      </c>
      <c r="G2048" s="53">
        <v>-23.436747</v>
      </c>
      <c r="H2048" s="53">
        <v>-47.118594999999999</v>
      </c>
      <c r="I2048" s="53">
        <v>-23.479296999999999</v>
      </c>
      <c r="J2048" s="53">
        <v>-47.448628999999997</v>
      </c>
      <c r="L2048" s="61" t="str">
        <f t="shared" si="32"/>
        <v>Cliente35-Cliente45</v>
      </c>
      <c r="M2048">
        <v>53.190128000000001</v>
      </c>
    </row>
    <row r="2049" spans="1:13" x14ac:dyDescent="0.25">
      <c r="A2049" s="15" t="s">
        <v>4305</v>
      </c>
      <c r="B2049" s="15" t="s">
        <v>4316</v>
      </c>
      <c r="C2049" s="54">
        <v>50.484670999999999</v>
      </c>
      <c r="D2049" s="26">
        <v>5.2777777777777778E-2</v>
      </c>
      <c r="E2049" s="55">
        <v>-23.493584999999999</v>
      </c>
      <c r="F2049" s="55">
        <v>-46.853518000000001</v>
      </c>
      <c r="G2049" s="55">
        <v>-23.461669000000001</v>
      </c>
      <c r="H2049" s="55">
        <v>-47.039842999999998</v>
      </c>
      <c r="I2049" s="55">
        <v>-23.401776000000002</v>
      </c>
      <c r="J2049" s="55">
        <v>-47.328935999999999</v>
      </c>
      <c r="L2049" s="61" t="str">
        <f t="shared" si="32"/>
        <v>Cliente35-Cliente46</v>
      </c>
      <c r="M2049">
        <v>50.484670999999999</v>
      </c>
    </row>
    <row r="2050" spans="1:13" x14ac:dyDescent="0.25">
      <c r="A2050" s="15" t="s">
        <v>4305</v>
      </c>
      <c r="B2050" s="15" t="s">
        <v>4317</v>
      </c>
      <c r="C2050" s="52">
        <v>186.782781</v>
      </c>
      <c r="D2050" s="25">
        <v>0.16319444444444445</v>
      </c>
      <c r="E2050" s="53">
        <v>-23.398188000000001</v>
      </c>
      <c r="F2050" s="53">
        <v>-46.835974</v>
      </c>
      <c r="G2050" s="53">
        <v>-23.036683</v>
      </c>
      <c r="H2050" s="53">
        <v>-47.069716999999997</v>
      </c>
      <c r="I2050" s="53">
        <v>-22.389825999999999</v>
      </c>
      <c r="J2050" s="53">
        <v>-47.393515000000001</v>
      </c>
      <c r="L2050" s="61" t="str">
        <f t="shared" si="32"/>
        <v>Cliente35-Cliente47</v>
      </c>
      <c r="M2050">
        <v>186.782781</v>
      </c>
    </row>
    <row r="2051" spans="1:13" x14ac:dyDescent="0.25">
      <c r="A2051" s="15" t="s">
        <v>4305</v>
      </c>
      <c r="B2051" s="15" t="s">
        <v>4318</v>
      </c>
      <c r="C2051" s="54">
        <v>195.893969</v>
      </c>
      <c r="D2051" s="26">
        <v>0.17152777777777775</v>
      </c>
      <c r="E2051" s="55">
        <v>-23.373290000000001</v>
      </c>
      <c r="F2051" s="55">
        <v>-46.843448000000002</v>
      </c>
      <c r="G2051" s="55">
        <v>-22.939596999999999</v>
      </c>
      <c r="H2051" s="55">
        <v>-47.126145999999999</v>
      </c>
      <c r="I2051" s="55">
        <v>-22.153938</v>
      </c>
      <c r="J2051" s="55">
        <v>-47.400136000000003</v>
      </c>
      <c r="L2051" s="61" t="str">
        <f t="shared" si="32"/>
        <v>Cliente35-Cliente48</v>
      </c>
      <c r="M2051">
        <v>195.893969</v>
      </c>
    </row>
    <row r="2052" spans="1:13" x14ac:dyDescent="0.25">
      <c r="A2052" s="15" t="s">
        <v>4305</v>
      </c>
      <c r="B2052" s="15" t="s">
        <v>4319</v>
      </c>
      <c r="C2052" s="52">
        <v>189.531734</v>
      </c>
      <c r="D2052" s="25">
        <v>0.1673611111111111</v>
      </c>
      <c r="E2052" s="53">
        <v>-23.381046999999999</v>
      </c>
      <c r="F2052" s="53">
        <v>-46.838267999999999</v>
      </c>
      <c r="G2052" s="53">
        <v>-22.978987</v>
      </c>
      <c r="H2052" s="53">
        <v>-47.111787</v>
      </c>
      <c r="I2052" s="53">
        <v>-22.249981999999999</v>
      </c>
      <c r="J2052" s="53">
        <v>-47.389749000000002</v>
      </c>
      <c r="L2052" s="61" t="str">
        <f t="shared" si="32"/>
        <v>Cliente35-Cliente49</v>
      </c>
      <c r="M2052">
        <v>189.531734</v>
      </c>
    </row>
    <row r="2053" spans="1:13" x14ac:dyDescent="0.25">
      <c r="A2053" s="15" t="s">
        <v>4305</v>
      </c>
      <c r="B2053" s="15" t="s">
        <v>4320</v>
      </c>
      <c r="C2053" s="54">
        <v>198.09859900000001</v>
      </c>
      <c r="D2053" s="26">
        <v>0.17291666666666669</v>
      </c>
      <c r="E2053" s="55">
        <v>-23.476901000000002</v>
      </c>
      <c r="F2053" s="55">
        <v>-46.890867</v>
      </c>
      <c r="G2053" s="55">
        <v>-23.413269</v>
      </c>
      <c r="H2053" s="55">
        <v>-47.272063000000003</v>
      </c>
      <c r="I2053" s="55">
        <v>-23.073705</v>
      </c>
      <c r="J2053" s="55">
        <v>-48.529896000000001</v>
      </c>
      <c r="L2053" s="61" t="str">
        <f t="shared" si="32"/>
        <v>Cliente35-Cliente50</v>
      </c>
      <c r="M2053">
        <v>198.09859900000001</v>
      </c>
    </row>
    <row r="2054" spans="1:13" x14ac:dyDescent="0.25">
      <c r="A2054" s="15" t="s">
        <v>4305</v>
      </c>
      <c r="B2054" s="15" t="s">
        <v>4321</v>
      </c>
      <c r="C2054" s="52">
        <v>195.91074599999999</v>
      </c>
      <c r="D2054" s="25">
        <v>0.16874999999999998</v>
      </c>
      <c r="E2054" s="53">
        <v>-23.481476000000001</v>
      </c>
      <c r="F2054" s="53">
        <v>-46.888755000000003</v>
      </c>
      <c r="G2054" s="53">
        <v>-23.409723</v>
      </c>
      <c r="H2054" s="53">
        <v>-47.278654000000003</v>
      </c>
      <c r="I2054" s="53">
        <v>-23.075486000000001</v>
      </c>
      <c r="J2054" s="53">
        <v>-48.525391999999997</v>
      </c>
      <c r="L2054" s="61" t="str">
        <f t="shared" si="32"/>
        <v>Cliente35-Cliente51</v>
      </c>
      <c r="M2054">
        <v>195.91074599999999</v>
      </c>
    </row>
    <row r="2055" spans="1:13" x14ac:dyDescent="0.25">
      <c r="A2055" s="15" t="s">
        <v>4306</v>
      </c>
      <c r="B2055" s="15" t="s">
        <v>4268</v>
      </c>
      <c r="C2055" s="54">
        <v>103.261585</v>
      </c>
      <c r="D2055" s="26">
        <v>9.375E-2</v>
      </c>
      <c r="E2055" s="55">
        <v>-22.278064000000001</v>
      </c>
      <c r="F2055" s="55">
        <v>-47.688977000000001</v>
      </c>
      <c r="G2055" s="55">
        <v>-22.663173</v>
      </c>
      <c r="H2055" s="55">
        <v>-47.617083999999998</v>
      </c>
      <c r="I2055" s="55">
        <v>-22.878145</v>
      </c>
      <c r="J2055" s="55">
        <v>-47.527214000000001</v>
      </c>
      <c r="L2055" s="61" t="str">
        <f t="shared" si="32"/>
        <v>Cliente36-depósito A</v>
      </c>
      <c r="M2055">
        <v>103.261585</v>
      </c>
    </row>
    <row r="2056" spans="1:13" x14ac:dyDescent="0.25">
      <c r="A2056" s="15" t="s">
        <v>4306</v>
      </c>
      <c r="B2056" s="15" t="s">
        <v>4269</v>
      </c>
      <c r="C2056" s="52">
        <v>29.124362000000001</v>
      </c>
      <c r="D2056" s="25">
        <v>2.5694444444444447E-2</v>
      </c>
      <c r="E2056" s="53">
        <v>-22.032595000000001</v>
      </c>
      <c r="F2056" s="53">
        <v>-47.889609999999998</v>
      </c>
      <c r="G2056" s="53">
        <v>-22.036781999999999</v>
      </c>
      <c r="H2056" s="53">
        <v>-47.860608999999997</v>
      </c>
      <c r="I2056" s="53">
        <v>-21.990209</v>
      </c>
      <c r="J2056" s="53">
        <v>-47.888210999999998</v>
      </c>
      <c r="L2056" s="61" t="str">
        <f t="shared" si="32"/>
        <v>Cliente36-depósito B</v>
      </c>
      <c r="M2056">
        <v>29.124362000000001</v>
      </c>
    </row>
    <row r="2057" spans="1:13" x14ac:dyDescent="0.25">
      <c r="A2057" s="15" t="s">
        <v>4306</v>
      </c>
      <c r="B2057" s="15" t="s">
        <v>4270</v>
      </c>
      <c r="C2057" s="54">
        <v>174.21675999999999</v>
      </c>
      <c r="D2057" s="26">
        <v>0.1451388888888889</v>
      </c>
      <c r="E2057" s="55">
        <v>-22.550671000000001</v>
      </c>
      <c r="F2057" s="55">
        <v>-47.372504999999997</v>
      </c>
      <c r="G2057" s="55">
        <v>-22.933971</v>
      </c>
      <c r="H2057" s="55">
        <v>-46.898966000000001</v>
      </c>
      <c r="I2057" s="55">
        <v>-23.178508000000001</v>
      </c>
      <c r="J2057" s="55">
        <v>-46.316702999999997</v>
      </c>
      <c r="L2057" s="61" t="str">
        <f t="shared" si="32"/>
        <v>Cliente36-depósito C</v>
      </c>
      <c r="M2057">
        <v>174.21675999999999</v>
      </c>
    </row>
    <row r="2058" spans="1:13" x14ac:dyDescent="0.25">
      <c r="A2058" s="15" t="s">
        <v>4306</v>
      </c>
      <c r="B2058" s="15" t="s">
        <v>4271</v>
      </c>
      <c r="C2058" s="52">
        <v>95.389414000000002</v>
      </c>
      <c r="D2058" s="25">
        <v>8.3333333333333329E-2</v>
      </c>
      <c r="E2058" s="53">
        <v>-22.280925</v>
      </c>
      <c r="F2058" s="53">
        <v>-47.682585000000003</v>
      </c>
      <c r="G2058" s="53">
        <v>-22.550545</v>
      </c>
      <c r="H2058" s="53">
        <v>-47.372596999999999</v>
      </c>
      <c r="I2058" s="53">
        <v>-22.830970000000001</v>
      </c>
      <c r="J2058" s="53">
        <v>-47.179108999999997</v>
      </c>
      <c r="L2058" s="61" t="str">
        <f t="shared" si="32"/>
        <v>Cliente36-Cliente1</v>
      </c>
      <c r="M2058">
        <v>95.389414000000002</v>
      </c>
    </row>
    <row r="2059" spans="1:13" x14ac:dyDescent="0.25">
      <c r="A2059" s="15" t="s">
        <v>4306</v>
      </c>
      <c r="B2059" s="15" t="s">
        <v>4272</v>
      </c>
      <c r="C2059" s="54">
        <v>88.746318000000002</v>
      </c>
      <c r="D2059" s="26">
        <v>7.9166666666666663E-2</v>
      </c>
      <c r="E2059" s="55">
        <v>-22.280925</v>
      </c>
      <c r="F2059" s="55">
        <v>-47.682585000000003</v>
      </c>
      <c r="G2059" s="55">
        <v>-22.550545</v>
      </c>
      <c r="H2059" s="55">
        <v>-47.372596999999999</v>
      </c>
      <c r="I2059" s="55">
        <v>-22.830970000000001</v>
      </c>
      <c r="J2059" s="55">
        <v>-47.179108999999997</v>
      </c>
      <c r="L2059" s="61" t="str">
        <f t="shared" si="32"/>
        <v>Cliente36-Cliente2</v>
      </c>
      <c r="M2059">
        <v>88.746318000000002</v>
      </c>
    </row>
    <row r="2060" spans="1:13" x14ac:dyDescent="0.25">
      <c r="A2060" s="15" t="s">
        <v>4306</v>
      </c>
      <c r="B2060" s="15" t="s">
        <v>4273</v>
      </c>
      <c r="C2060" s="52">
        <v>90.301614000000001</v>
      </c>
      <c r="D2060" s="25">
        <v>8.3333333333333329E-2</v>
      </c>
      <c r="E2060" s="53">
        <v>-22.302593000000002</v>
      </c>
      <c r="F2060" s="53">
        <v>-47.670093000000001</v>
      </c>
      <c r="G2060" s="53">
        <v>-22.590385000000001</v>
      </c>
      <c r="H2060" s="53">
        <v>-47.367570999999998</v>
      </c>
      <c r="I2060" s="53">
        <v>-22.879221000000001</v>
      </c>
      <c r="J2060" s="53">
        <v>-47.118842000000001</v>
      </c>
      <c r="L2060" s="61" t="str">
        <f t="shared" si="32"/>
        <v>Cliente36-Cliente3</v>
      </c>
      <c r="M2060">
        <v>90.301614000000001</v>
      </c>
    </row>
    <row r="2061" spans="1:13" x14ac:dyDescent="0.25">
      <c r="A2061" s="15" t="s">
        <v>4306</v>
      </c>
      <c r="B2061" s="15" t="s">
        <v>4274</v>
      </c>
      <c r="C2061" s="54">
        <v>87.281743000000006</v>
      </c>
      <c r="D2061" s="26">
        <v>7.6388888888888895E-2</v>
      </c>
      <c r="E2061" s="55">
        <v>-22.278638000000001</v>
      </c>
      <c r="F2061" s="55">
        <v>-47.692543999999998</v>
      </c>
      <c r="G2061" s="55">
        <v>-22.492487000000001</v>
      </c>
      <c r="H2061" s="55">
        <v>-47.433608</v>
      </c>
      <c r="I2061" s="55">
        <v>-22.752683000000001</v>
      </c>
      <c r="J2061" s="55">
        <v>-47.259129000000001</v>
      </c>
      <c r="L2061" s="61" t="str">
        <f t="shared" si="32"/>
        <v>Cliente36-Cliente4</v>
      </c>
      <c r="M2061">
        <v>87.281743000000006</v>
      </c>
    </row>
    <row r="2062" spans="1:13" x14ac:dyDescent="0.25">
      <c r="A2062" s="15" t="s">
        <v>4306</v>
      </c>
      <c r="B2062" s="15" t="s">
        <v>4275</v>
      </c>
      <c r="C2062" s="52">
        <v>87.374949000000001</v>
      </c>
      <c r="D2062" s="25">
        <v>7.7083333333333337E-2</v>
      </c>
      <c r="E2062" s="53">
        <v>-22.277844000000002</v>
      </c>
      <c r="F2062" s="53">
        <v>-47.694102999999998</v>
      </c>
      <c r="G2062" s="53">
        <v>-22.471487</v>
      </c>
      <c r="H2062" s="53">
        <v>-47.503176000000003</v>
      </c>
      <c r="I2062" s="53">
        <v>-22.742453999999999</v>
      </c>
      <c r="J2062" s="53">
        <v>-47.269818000000001</v>
      </c>
      <c r="L2062" s="61" t="str">
        <f t="shared" si="32"/>
        <v>Cliente36-Cliente5</v>
      </c>
      <c r="M2062">
        <v>87.374949000000001</v>
      </c>
    </row>
    <row r="2063" spans="1:13" x14ac:dyDescent="0.25">
      <c r="A2063" s="15" t="s">
        <v>4306</v>
      </c>
      <c r="B2063" s="15" t="s">
        <v>4276</v>
      </c>
      <c r="C2063" s="54">
        <v>96.080381000000003</v>
      </c>
      <c r="D2063" s="26">
        <v>8.3333333333333329E-2</v>
      </c>
      <c r="E2063" s="55">
        <v>-22.280925</v>
      </c>
      <c r="F2063" s="55">
        <v>-47.682585000000003</v>
      </c>
      <c r="G2063" s="55">
        <v>-22.550545</v>
      </c>
      <c r="H2063" s="55">
        <v>-47.372596999999999</v>
      </c>
      <c r="I2063" s="55">
        <v>-22.830970000000001</v>
      </c>
      <c r="J2063" s="55">
        <v>-47.179108999999997</v>
      </c>
      <c r="L2063" s="61" t="str">
        <f t="shared" si="32"/>
        <v>Cliente36-Cliente6</v>
      </c>
      <c r="M2063">
        <v>96.080381000000003</v>
      </c>
    </row>
    <row r="2064" spans="1:13" x14ac:dyDescent="0.25">
      <c r="A2064" s="15" t="s">
        <v>4306</v>
      </c>
      <c r="B2064" s="15" t="s">
        <v>4277</v>
      </c>
      <c r="C2064" s="52">
        <v>89.554723999999993</v>
      </c>
      <c r="D2064" s="25">
        <v>7.8472222222222221E-2</v>
      </c>
      <c r="E2064" s="53">
        <v>-22.278013000000001</v>
      </c>
      <c r="F2064" s="53">
        <v>-47.687629999999999</v>
      </c>
      <c r="G2064" s="53">
        <v>-22.507259000000001</v>
      </c>
      <c r="H2064" s="53">
        <v>-47.398502000000001</v>
      </c>
      <c r="I2064" s="53">
        <v>-22.777498999999999</v>
      </c>
      <c r="J2064" s="53">
        <v>-47.233806000000001</v>
      </c>
      <c r="L2064" s="61" t="str">
        <f t="shared" si="32"/>
        <v>Cliente36-Cliente7</v>
      </c>
      <c r="M2064">
        <v>89.554723999999993</v>
      </c>
    </row>
    <row r="2065" spans="1:13" x14ac:dyDescent="0.25">
      <c r="A2065" s="15" t="s">
        <v>4306</v>
      </c>
      <c r="B2065" s="15" t="s">
        <v>4278</v>
      </c>
      <c r="C2065" s="54">
        <v>97.118695000000002</v>
      </c>
      <c r="D2065" s="26">
        <v>8.4722222222222213E-2</v>
      </c>
      <c r="E2065" s="55">
        <v>-22.280925</v>
      </c>
      <c r="F2065" s="55">
        <v>-47.682585000000003</v>
      </c>
      <c r="G2065" s="55">
        <v>-22.550545</v>
      </c>
      <c r="H2065" s="55">
        <v>-47.372596999999999</v>
      </c>
      <c r="I2065" s="55">
        <v>-22.830970000000001</v>
      </c>
      <c r="J2065" s="55">
        <v>-47.179108999999997</v>
      </c>
      <c r="L2065" s="61" t="str">
        <f t="shared" si="32"/>
        <v>Cliente36-Cliente8</v>
      </c>
      <c r="M2065">
        <v>97.118695000000002</v>
      </c>
    </row>
    <row r="2066" spans="1:13" x14ac:dyDescent="0.25">
      <c r="A2066" s="15" t="s">
        <v>4306</v>
      </c>
      <c r="B2066" s="15" t="s">
        <v>4279</v>
      </c>
      <c r="C2066" s="52">
        <v>68.928877999999997</v>
      </c>
      <c r="D2066" s="25">
        <v>6.1111111111111116E-2</v>
      </c>
      <c r="E2066" s="53">
        <v>-22.247713000000001</v>
      </c>
      <c r="F2066" s="53">
        <v>-47.705658999999997</v>
      </c>
      <c r="G2066" s="53">
        <v>-22.360681</v>
      </c>
      <c r="H2066" s="53">
        <v>-47.635776</v>
      </c>
      <c r="I2066" s="53">
        <v>-22.561537999999999</v>
      </c>
      <c r="J2066" s="53">
        <v>-47.366228999999997</v>
      </c>
      <c r="L2066" s="61" t="str">
        <f t="shared" ref="L2066:L2129" si="33">_xlfn.CONCAT(A2066,"-",B2066)</f>
        <v>Cliente36-Cliente9</v>
      </c>
      <c r="M2066">
        <v>68.928877999999997</v>
      </c>
    </row>
    <row r="2067" spans="1:13" x14ac:dyDescent="0.25">
      <c r="A2067" s="15" t="s">
        <v>4306</v>
      </c>
      <c r="B2067" s="15" t="s">
        <v>4280</v>
      </c>
      <c r="C2067" s="54">
        <v>142.97476</v>
      </c>
      <c r="D2067" s="26">
        <v>0.12430555555555556</v>
      </c>
      <c r="E2067" s="55">
        <v>-22.46059</v>
      </c>
      <c r="F2067" s="55">
        <v>-47.539946999999998</v>
      </c>
      <c r="G2067" s="55">
        <v>-22.89827</v>
      </c>
      <c r="H2067" s="55">
        <v>-47.136758999999998</v>
      </c>
      <c r="I2067" s="55">
        <v>-23.312118999999999</v>
      </c>
      <c r="J2067" s="55">
        <v>-46.827396999999998</v>
      </c>
      <c r="L2067" s="61" t="str">
        <f t="shared" si="33"/>
        <v>Cliente36-Cliente10</v>
      </c>
      <c r="M2067">
        <v>142.97476</v>
      </c>
    </row>
    <row r="2068" spans="1:13" x14ac:dyDescent="0.25">
      <c r="A2068" s="15" t="s">
        <v>4306</v>
      </c>
      <c r="B2068" s="15" t="s">
        <v>4281</v>
      </c>
      <c r="C2068" s="52">
        <v>61.181601999999998</v>
      </c>
      <c r="D2068" s="25">
        <v>5.4166666666666669E-2</v>
      </c>
      <c r="E2068" s="53">
        <v>-22.218862000000001</v>
      </c>
      <c r="F2068" s="53">
        <v>-47.764994000000002</v>
      </c>
      <c r="G2068" s="53">
        <v>-22.328135</v>
      </c>
      <c r="H2068" s="53">
        <v>-47.656146</v>
      </c>
      <c r="I2068" s="53">
        <v>-22.663820000000001</v>
      </c>
      <c r="J2068" s="53">
        <v>-47.617946000000003</v>
      </c>
      <c r="L2068" s="61" t="str">
        <f t="shared" si="33"/>
        <v>Cliente36-Cliente11</v>
      </c>
      <c r="M2068">
        <v>61.181601999999998</v>
      </c>
    </row>
    <row r="2069" spans="1:13" x14ac:dyDescent="0.25">
      <c r="A2069" s="15" t="s">
        <v>4306</v>
      </c>
      <c r="B2069" s="15" t="s">
        <v>4282</v>
      </c>
      <c r="C2069" s="54">
        <v>173.257982</v>
      </c>
      <c r="D2069" s="26">
        <v>0.1451388888888889</v>
      </c>
      <c r="E2069" s="55">
        <v>-22.557964999999999</v>
      </c>
      <c r="F2069" s="55">
        <v>-47.367572000000003</v>
      </c>
      <c r="G2069" s="55">
        <v>-22.935604999999999</v>
      </c>
      <c r="H2069" s="55">
        <v>-46.894351999999998</v>
      </c>
      <c r="I2069" s="55">
        <v>-23.181543999999999</v>
      </c>
      <c r="J2069" s="55">
        <v>-46.310147000000001</v>
      </c>
      <c r="L2069" s="61" t="str">
        <f t="shared" si="33"/>
        <v>Cliente36-Cliente12</v>
      </c>
      <c r="M2069">
        <v>173.257982</v>
      </c>
    </row>
    <row r="2070" spans="1:13" x14ac:dyDescent="0.25">
      <c r="A2070" s="15" t="s">
        <v>4306</v>
      </c>
      <c r="B2070" s="15" t="s">
        <v>4283</v>
      </c>
      <c r="C2070" s="52">
        <v>181.14195900000001</v>
      </c>
      <c r="D2070" s="25">
        <v>0.15</v>
      </c>
      <c r="E2070" s="53">
        <v>-22.560168000000001</v>
      </c>
      <c r="F2070" s="53">
        <v>-47.366624999999999</v>
      </c>
      <c r="G2070" s="53">
        <v>-22.955891999999999</v>
      </c>
      <c r="H2070" s="53">
        <v>-46.856689000000003</v>
      </c>
      <c r="I2070" s="53">
        <v>-23.173147</v>
      </c>
      <c r="J2070" s="53">
        <v>-46.276789000000001</v>
      </c>
      <c r="L2070" s="61" t="str">
        <f t="shared" si="33"/>
        <v>Cliente36-Cliente13</v>
      </c>
      <c r="M2070">
        <v>181.14195900000001</v>
      </c>
    </row>
    <row r="2071" spans="1:13" x14ac:dyDescent="0.25">
      <c r="A2071" s="15" t="s">
        <v>4306</v>
      </c>
      <c r="B2071" s="15" t="s">
        <v>4284</v>
      </c>
      <c r="C2071" s="54">
        <v>179.204519</v>
      </c>
      <c r="D2071" s="26">
        <v>0.14722222222222223</v>
      </c>
      <c r="E2071" s="55">
        <v>-22.550388000000002</v>
      </c>
      <c r="F2071" s="55">
        <v>-47.372698</v>
      </c>
      <c r="G2071" s="55">
        <v>-22.930788</v>
      </c>
      <c r="H2071" s="55">
        <v>-46.902411999999998</v>
      </c>
      <c r="I2071" s="55">
        <v>-23.185607999999998</v>
      </c>
      <c r="J2071" s="55">
        <v>-46.328091000000001</v>
      </c>
      <c r="L2071" s="61" t="str">
        <f t="shared" si="33"/>
        <v>Cliente36-Cliente14</v>
      </c>
      <c r="M2071">
        <v>179.204519</v>
      </c>
    </row>
    <row r="2072" spans="1:13" x14ac:dyDescent="0.25">
      <c r="A2072" s="15" t="s">
        <v>4306</v>
      </c>
      <c r="B2072" s="15" t="s">
        <v>4285</v>
      </c>
      <c r="C2072" s="52">
        <v>182.937105</v>
      </c>
      <c r="D2072" s="25">
        <v>0.15555555555555556</v>
      </c>
      <c r="E2072" s="53">
        <v>-22.608211000000001</v>
      </c>
      <c r="F2072" s="53">
        <v>-47.360734000000001</v>
      </c>
      <c r="G2072" s="53">
        <v>-23.003291999999998</v>
      </c>
      <c r="H2072" s="53">
        <v>-46.775557999999997</v>
      </c>
      <c r="I2072" s="53">
        <v>-23.175080000000001</v>
      </c>
      <c r="J2072" s="53">
        <v>-46.213006999999998</v>
      </c>
      <c r="L2072" s="61" t="str">
        <f t="shared" si="33"/>
        <v>Cliente36-Cliente15</v>
      </c>
      <c r="M2072">
        <v>182.937105</v>
      </c>
    </row>
    <row r="2073" spans="1:13" x14ac:dyDescent="0.25">
      <c r="A2073" s="15" t="s">
        <v>4306</v>
      </c>
      <c r="B2073" s="15" t="s">
        <v>4286</v>
      </c>
      <c r="C2073" s="54">
        <v>180.51375100000001</v>
      </c>
      <c r="D2073" s="26">
        <v>0.15208333333333332</v>
      </c>
      <c r="E2073" s="55">
        <v>-22.560168000000001</v>
      </c>
      <c r="F2073" s="55">
        <v>-47.366624999999999</v>
      </c>
      <c r="G2073" s="55">
        <v>-22.955891999999999</v>
      </c>
      <c r="H2073" s="55">
        <v>-46.856689000000003</v>
      </c>
      <c r="I2073" s="55">
        <v>-23.173147</v>
      </c>
      <c r="J2073" s="55">
        <v>-46.276789000000001</v>
      </c>
      <c r="L2073" s="61" t="str">
        <f t="shared" si="33"/>
        <v>Cliente36-Cliente16</v>
      </c>
      <c r="M2073">
        <v>180.51375100000001</v>
      </c>
    </row>
    <row r="2074" spans="1:13" x14ac:dyDescent="0.25">
      <c r="A2074" s="15" t="s">
        <v>4306</v>
      </c>
      <c r="B2074" s="15" t="s">
        <v>4287</v>
      </c>
      <c r="C2074" s="52">
        <v>181.56946300000001</v>
      </c>
      <c r="D2074" s="25">
        <v>0.15</v>
      </c>
      <c r="E2074" s="53">
        <v>-22.560168000000001</v>
      </c>
      <c r="F2074" s="53">
        <v>-47.366624999999999</v>
      </c>
      <c r="G2074" s="53">
        <v>-22.955891999999999</v>
      </c>
      <c r="H2074" s="53">
        <v>-46.856689000000003</v>
      </c>
      <c r="I2074" s="53">
        <v>-23.173147</v>
      </c>
      <c r="J2074" s="53">
        <v>-46.276789000000001</v>
      </c>
      <c r="L2074" s="61" t="str">
        <f t="shared" si="33"/>
        <v>Cliente36-Cliente17</v>
      </c>
      <c r="M2074">
        <v>181.56946300000001</v>
      </c>
    </row>
    <row r="2075" spans="1:13" x14ac:dyDescent="0.25">
      <c r="A2075" s="15" t="s">
        <v>4306</v>
      </c>
      <c r="B2075" s="15" t="s">
        <v>4288</v>
      </c>
      <c r="C2075" s="54">
        <v>186.39752899999999</v>
      </c>
      <c r="D2075" s="26">
        <v>0.15486111111111112</v>
      </c>
      <c r="E2075" s="55">
        <v>-22.558924000000001</v>
      </c>
      <c r="F2075" s="55">
        <v>-47.367097000000001</v>
      </c>
      <c r="G2075" s="55">
        <v>-22.936585999999998</v>
      </c>
      <c r="H2075" s="55">
        <v>-46.882278999999997</v>
      </c>
      <c r="I2075" s="55">
        <v>-23.181771999999999</v>
      </c>
      <c r="J2075" s="55">
        <v>-46.302263000000004</v>
      </c>
      <c r="L2075" s="61" t="str">
        <f t="shared" si="33"/>
        <v>Cliente36-Cliente18</v>
      </c>
      <c r="M2075">
        <v>186.39752899999999</v>
      </c>
    </row>
    <row r="2076" spans="1:13" x14ac:dyDescent="0.25">
      <c r="A2076" s="15" t="s">
        <v>4306</v>
      </c>
      <c r="B2076" s="15" t="s">
        <v>4289</v>
      </c>
      <c r="C2076" s="52">
        <v>139.754806</v>
      </c>
      <c r="D2076" s="25">
        <v>0.11597222222222221</v>
      </c>
      <c r="E2076" s="53">
        <v>-22.445139999999999</v>
      </c>
      <c r="F2076" s="53">
        <v>-47.563260999999997</v>
      </c>
      <c r="G2076" s="53">
        <v>-22.849512000000001</v>
      </c>
      <c r="H2076" s="53">
        <v>-47.160589000000002</v>
      </c>
      <c r="I2076" s="53">
        <v>-23.266528999999998</v>
      </c>
      <c r="J2076" s="53">
        <v>-46.860360999999997</v>
      </c>
      <c r="L2076" s="61" t="str">
        <f t="shared" si="33"/>
        <v>Cliente36-Cliente19</v>
      </c>
      <c r="M2076">
        <v>139.754806</v>
      </c>
    </row>
    <row r="2077" spans="1:13" x14ac:dyDescent="0.25">
      <c r="A2077" s="15" t="s">
        <v>4306</v>
      </c>
      <c r="B2077" s="15" t="s">
        <v>4290</v>
      </c>
      <c r="C2077" s="54">
        <v>141.32687899999999</v>
      </c>
      <c r="D2077" s="26">
        <v>0.11944444444444445</v>
      </c>
      <c r="E2077" s="55">
        <v>-22.455234999999998</v>
      </c>
      <c r="F2077" s="55">
        <v>-47.551341000000001</v>
      </c>
      <c r="G2077" s="55">
        <v>-22.872489999999999</v>
      </c>
      <c r="H2077" s="55">
        <v>-47.131703999999999</v>
      </c>
      <c r="I2077" s="55">
        <v>-23.294074999999999</v>
      </c>
      <c r="J2077" s="55">
        <v>-46.842619999999997</v>
      </c>
      <c r="L2077" s="61" t="str">
        <f t="shared" si="33"/>
        <v>Cliente36-Cliente20</v>
      </c>
      <c r="M2077">
        <v>141.32687899999999</v>
      </c>
    </row>
    <row r="2078" spans="1:13" x14ac:dyDescent="0.25">
      <c r="A2078" s="15" t="s">
        <v>4306</v>
      </c>
      <c r="B2078" s="15" t="s">
        <v>4291</v>
      </c>
      <c r="C2078" s="52">
        <v>140.92857900000001</v>
      </c>
      <c r="D2078" s="25">
        <v>0.11944444444444445</v>
      </c>
      <c r="E2078" s="53">
        <v>-22.461542999999999</v>
      </c>
      <c r="F2078" s="53">
        <v>-47.536763999999998</v>
      </c>
      <c r="G2078" s="53">
        <v>-22.908276999999998</v>
      </c>
      <c r="H2078" s="53">
        <v>-47.137138</v>
      </c>
      <c r="I2078" s="53">
        <v>-23.313480999999999</v>
      </c>
      <c r="J2078" s="53">
        <v>-46.825271999999998</v>
      </c>
      <c r="L2078" s="61" t="str">
        <f t="shared" si="33"/>
        <v>Cliente36-Cliente21</v>
      </c>
      <c r="M2078">
        <v>140.92857900000001</v>
      </c>
    </row>
    <row r="2079" spans="1:13" x14ac:dyDescent="0.25">
      <c r="A2079" s="15" t="s">
        <v>4306</v>
      </c>
      <c r="B2079" s="15" t="s">
        <v>4292</v>
      </c>
      <c r="C2079" s="54">
        <v>140.05182199999999</v>
      </c>
      <c r="D2079" s="26">
        <v>0.11805555555555557</v>
      </c>
      <c r="E2079" s="55">
        <v>-22.458262999999999</v>
      </c>
      <c r="F2079" s="55">
        <v>-47.545766999999998</v>
      </c>
      <c r="G2079" s="55">
        <v>-22.883666999999999</v>
      </c>
      <c r="H2079" s="55">
        <v>-47.131027000000003</v>
      </c>
      <c r="I2079" s="55">
        <v>-23.303367999999999</v>
      </c>
      <c r="J2079" s="55">
        <v>-46.840018000000001</v>
      </c>
      <c r="L2079" s="61" t="str">
        <f t="shared" si="33"/>
        <v>Cliente36-Cliente22</v>
      </c>
      <c r="M2079">
        <v>140.05182199999999</v>
      </c>
    </row>
    <row r="2080" spans="1:13" x14ac:dyDescent="0.25">
      <c r="A2080" s="15" t="s">
        <v>4306</v>
      </c>
      <c r="B2080" s="15" t="s">
        <v>4293</v>
      </c>
      <c r="C2080" s="52">
        <v>149.202157</v>
      </c>
      <c r="D2080" s="25">
        <v>0.12569444444444444</v>
      </c>
      <c r="E2080" s="53">
        <v>-22.472742</v>
      </c>
      <c r="F2080" s="53">
        <v>-47.499963999999999</v>
      </c>
      <c r="G2080" s="53">
        <v>-22.959524999999999</v>
      </c>
      <c r="H2080" s="53">
        <v>-47.125193000000003</v>
      </c>
      <c r="I2080" s="53">
        <v>-23.359144000000001</v>
      </c>
      <c r="J2080" s="53">
        <v>-46.785300999999997</v>
      </c>
      <c r="L2080" s="61" t="str">
        <f t="shared" si="33"/>
        <v>Cliente36-Cliente23</v>
      </c>
      <c r="M2080">
        <v>149.202157</v>
      </c>
    </row>
    <row r="2081" spans="1:13" x14ac:dyDescent="0.25">
      <c r="A2081" s="15" t="s">
        <v>4306</v>
      </c>
      <c r="B2081" s="15" t="s">
        <v>4294</v>
      </c>
      <c r="C2081" s="54">
        <v>150.18144100000001</v>
      </c>
      <c r="D2081" s="26">
        <v>0.1277777777777778</v>
      </c>
      <c r="E2081" s="55">
        <v>-22.492487000000001</v>
      </c>
      <c r="F2081" s="55">
        <v>-47.433608</v>
      </c>
      <c r="G2081" s="55">
        <v>-22.967970999999999</v>
      </c>
      <c r="H2081" s="55">
        <v>-47.118595999999997</v>
      </c>
      <c r="I2081" s="55">
        <v>-23.363346</v>
      </c>
      <c r="J2081" s="55">
        <v>-46.783973000000003</v>
      </c>
      <c r="L2081" s="61" t="str">
        <f t="shared" si="33"/>
        <v>Cliente36-Cliente24</v>
      </c>
      <c r="M2081">
        <v>150.18144100000001</v>
      </c>
    </row>
    <row r="2082" spans="1:13" x14ac:dyDescent="0.25">
      <c r="A2082" s="15" t="s">
        <v>4306</v>
      </c>
      <c r="B2082" s="15" t="s">
        <v>4295</v>
      </c>
      <c r="C2082" s="52">
        <v>153.00185200000001</v>
      </c>
      <c r="D2082" s="25">
        <v>0.13055555555555556</v>
      </c>
      <c r="E2082" s="53">
        <v>-22.501626000000002</v>
      </c>
      <c r="F2082" s="53">
        <v>-47.402728000000003</v>
      </c>
      <c r="G2082" s="53">
        <v>-22.978552000000001</v>
      </c>
      <c r="H2082" s="53">
        <v>-47.112279999999998</v>
      </c>
      <c r="I2082" s="53">
        <v>-23.379718</v>
      </c>
      <c r="J2082" s="53">
        <v>-46.771113</v>
      </c>
      <c r="L2082" s="61" t="str">
        <f t="shared" si="33"/>
        <v>Cliente36-Cliente25</v>
      </c>
      <c r="M2082">
        <v>153.00185200000001</v>
      </c>
    </row>
    <row r="2083" spans="1:13" x14ac:dyDescent="0.25">
      <c r="A2083" s="15" t="s">
        <v>4306</v>
      </c>
      <c r="B2083" s="15" t="s">
        <v>4296</v>
      </c>
      <c r="C2083" s="54">
        <v>144.66427200000001</v>
      </c>
      <c r="D2083" s="26">
        <v>0.12083333333333333</v>
      </c>
      <c r="E2083" s="55">
        <v>-22.462834999999998</v>
      </c>
      <c r="F2083" s="55">
        <v>-47.523733</v>
      </c>
      <c r="G2083" s="55">
        <v>-22.931868000000001</v>
      </c>
      <c r="H2083" s="55">
        <v>-47.128481999999998</v>
      </c>
      <c r="I2083" s="55">
        <v>-23.350788999999999</v>
      </c>
      <c r="J2083" s="55">
        <v>-46.806215999999999</v>
      </c>
      <c r="L2083" s="61" t="str">
        <f t="shared" si="33"/>
        <v>Cliente36-Cliente26</v>
      </c>
      <c r="M2083">
        <v>144.66427200000001</v>
      </c>
    </row>
    <row r="2084" spans="1:13" x14ac:dyDescent="0.25">
      <c r="A2084" s="15" t="s">
        <v>4306</v>
      </c>
      <c r="B2084" s="15" t="s">
        <v>4297</v>
      </c>
      <c r="C2084" s="52">
        <v>150.98114799999999</v>
      </c>
      <c r="D2084" s="25">
        <v>0.12847222222222224</v>
      </c>
      <c r="E2084" s="53">
        <v>-22.501555</v>
      </c>
      <c r="F2084" s="53">
        <v>-47.402867999999998</v>
      </c>
      <c r="G2084" s="53">
        <v>-22.97147</v>
      </c>
      <c r="H2084" s="53">
        <v>-47.116241000000002</v>
      </c>
      <c r="I2084" s="53">
        <v>-23.374151000000001</v>
      </c>
      <c r="J2084" s="53">
        <v>-46.777597999999998</v>
      </c>
      <c r="L2084" s="61" t="str">
        <f t="shared" si="33"/>
        <v>Cliente36-Cliente27</v>
      </c>
      <c r="M2084">
        <v>150.98114799999999</v>
      </c>
    </row>
    <row r="2085" spans="1:13" x14ac:dyDescent="0.25">
      <c r="A2085" s="15" t="s">
        <v>4306</v>
      </c>
      <c r="B2085" s="15" t="s">
        <v>4298</v>
      </c>
      <c r="C2085" s="54">
        <v>152.312749</v>
      </c>
      <c r="D2085" s="26">
        <v>0.13472222222222222</v>
      </c>
      <c r="E2085" s="55">
        <v>-22.501555</v>
      </c>
      <c r="F2085" s="55">
        <v>-47.402867999999998</v>
      </c>
      <c r="G2085" s="55">
        <v>-22.97147</v>
      </c>
      <c r="H2085" s="55">
        <v>-47.116241000000002</v>
      </c>
      <c r="I2085" s="55">
        <v>-23.374151000000001</v>
      </c>
      <c r="J2085" s="55">
        <v>-46.777597999999998</v>
      </c>
      <c r="L2085" s="61" t="str">
        <f t="shared" si="33"/>
        <v>Cliente36-Cliente28</v>
      </c>
      <c r="M2085">
        <v>152.312749</v>
      </c>
    </row>
    <row r="2086" spans="1:13" x14ac:dyDescent="0.25">
      <c r="A2086" s="15" t="s">
        <v>4306</v>
      </c>
      <c r="B2086" s="15" t="s">
        <v>4299</v>
      </c>
      <c r="C2086" s="52">
        <v>154.57516699999999</v>
      </c>
      <c r="D2086" s="25">
        <v>0.1388888888888889</v>
      </c>
      <c r="E2086" s="53">
        <v>-22.504286</v>
      </c>
      <c r="F2086" s="53">
        <v>-47.399718999999997</v>
      </c>
      <c r="G2086" s="53">
        <v>-22.993321999999999</v>
      </c>
      <c r="H2086" s="53">
        <v>-47.109513</v>
      </c>
      <c r="I2086" s="53">
        <v>-23.409303999999999</v>
      </c>
      <c r="J2086" s="53">
        <v>-46.767651999999998</v>
      </c>
      <c r="L2086" s="61" t="str">
        <f t="shared" si="33"/>
        <v>Cliente36-Cliente29</v>
      </c>
      <c r="M2086">
        <v>154.57516699999999</v>
      </c>
    </row>
    <row r="2087" spans="1:13" x14ac:dyDescent="0.25">
      <c r="A2087" s="15" t="s">
        <v>4306</v>
      </c>
      <c r="B2087" s="15" t="s">
        <v>4300</v>
      </c>
      <c r="C2087" s="54">
        <v>158.63459599999999</v>
      </c>
      <c r="D2087" s="26">
        <v>0.14791666666666667</v>
      </c>
      <c r="E2087" s="55">
        <v>-22.534113999999999</v>
      </c>
      <c r="F2087" s="55">
        <v>-47.383918000000001</v>
      </c>
      <c r="G2087" s="55">
        <v>-23.055720000000001</v>
      </c>
      <c r="H2087" s="55">
        <v>-47.046720999999998</v>
      </c>
      <c r="I2087" s="55">
        <v>-23.504757000000001</v>
      </c>
      <c r="J2087" s="55">
        <v>-46.723725000000002</v>
      </c>
      <c r="L2087" s="61" t="str">
        <f t="shared" si="33"/>
        <v>Cliente36-Cliente30</v>
      </c>
      <c r="M2087">
        <v>158.63459599999999</v>
      </c>
    </row>
    <row r="2088" spans="1:13" x14ac:dyDescent="0.25">
      <c r="A2088" s="15" t="s">
        <v>4306</v>
      </c>
      <c r="B2088" s="15" t="s">
        <v>4301</v>
      </c>
      <c r="C2088" s="52">
        <v>148.90451999999999</v>
      </c>
      <c r="D2088" s="25">
        <v>0.12847222222222224</v>
      </c>
      <c r="E2088" s="53">
        <v>-22.471487</v>
      </c>
      <c r="F2088" s="53">
        <v>-47.503176000000003</v>
      </c>
      <c r="G2088" s="53">
        <v>-22.957585000000002</v>
      </c>
      <c r="H2088" s="53">
        <v>-47.125774999999997</v>
      </c>
      <c r="I2088" s="53">
        <v>-23.357445999999999</v>
      </c>
      <c r="J2088" s="53">
        <v>-46.787207000000002</v>
      </c>
      <c r="L2088" s="61" t="str">
        <f t="shared" si="33"/>
        <v>Cliente36-Cliente31</v>
      </c>
      <c r="M2088">
        <v>148.90451999999999</v>
      </c>
    </row>
    <row r="2089" spans="1:13" x14ac:dyDescent="0.25">
      <c r="A2089" s="15" t="s">
        <v>4306</v>
      </c>
      <c r="B2089" s="15" t="s">
        <v>4302</v>
      </c>
      <c r="C2089" s="54">
        <v>139.500665</v>
      </c>
      <c r="D2089" s="26">
        <v>0.12013888888888889</v>
      </c>
      <c r="E2089" s="55">
        <v>-22.462315</v>
      </c>
      <c r="F2089" s="55">
        <v>-47.525795000000002</v>
      </c>
      <c r="G2089" s="55">
        <v>-22.926476999999998</v>
      </c>
      <c r="H2089" s="55">
        <v>-47.130132000000003</v>
      </c>
      <c r="I2089" s="55">
        <v>-23.349461000000002</v>
      </c>
      <c r="J2089" s="55">
        <v>-46.810260999999997</v>
      </c>
      <c r="L2089" s="61" t="str">
        <f t="shared" si="33"/>
        <v>Cliente36-Cliente32</v>
      </c>
      <c r="M2089">
        <v>139.500665</v>
      </c>
    </row>
    <row r="2090" spans="1:13" x14ac:dyDescent="0.25">
      <c r="A2090" s="15" t="s">
        <v>4306</v>
      </c>
      <c r="B2090" s="15" t="s">
        <v>4303</v>
      </c>
      <c r="C2090" s="52">
        <v>152.658233</v>
      </c>
      <c r="D2090" s="25">
        <v>0.13194444444444445</v>
      </c>
      <c r="E2090" s="53">
        <v>-22.492487000000001</v>
      </c>
      <c r="F2090" s="53">
        <v>-47.433608</v>
      </c>
      <c r="G2090" s="53">
        <v>-22.967970999999999</v>
      </c>
      <c r="H2090" s="53">
        <v>-47.118595999999997</v>
      </c>
      <c r="I2090" s="53">
        <v>-23.363346</v>
      </c>
      <c r="J2090" s="53">
        <v>-46.783973000000003</v>
      </c>
      <c r="L2090" s="61" t="str">
        <f t="shared" si="33"/>
        <v>Cliente36-Cliente33</v>
      </c>
      <c r="M2090">
        <v>152.658233</v>
      </c>
    </row>
    <row r="2091" spans="1:13" x14ac:dyDescent="0.25">
      <c r="A2091" s="15" t="s">
        <v>4306</v>
      </c>
      <c r="B2091" s="15" t="s">
        <v>4304</v>
      </c>
      <c r="C2091" s="54">
        <v>135.37412900000001</v>
      </c>
      <c r="D2091" s="26">
        <v>0.11944444444444445</v>
      </c>
      <c r="E2091" s="55">
        <v>-22.506806999999998</v>
      </c>
      <c r="F2091" s="55">
        <v>-47.398646999999997</v>
      </c>
      <c r="G2091" s="55">
        <v>-23.008006000000002</v>
      </c>
      <c r="H2091" s="55">
        <v>-47.094152999999999</v>
      </c>
      <c r="I2091" s="55">
        <v>-23.370066000000001</v>
      </c>
      <c r="J2091" s="55">
        <v>-46.844718</v>
      </c>
      <c r="L2091" s="61" t="str">
        <f t="shared" si="33"/>
        <v>Cliente36-Cliente34</v>
      </c>
      <c r="M2091">
        <v>135.37412900000001</v>
      </c>
    </row>
    <row r="2092" spans="1:13" x14ac:dyDescent="0.25">
      <c r="A2092" s="15" t="s">
        <v>4306</v>
      </c>
      <c r="B2092" s="15" t="s">
        <v>4305</v>
      </c>
      <c r="C2092" s="52">
        <v>137.128264</v>
      </c>
      <c r="D2092" s="25">
        <v>0.1277777777777778</v>
      </c>
      <c r="E2092" s="53">
        <v>-22.550545</v>
      </c>
      <c r="F2092" s="53">
        <v>-47.372596999999999</v>
      </c>
      <c r="G2092" s="53">
        <v>-23.078078999999999</v>
      </c>
      <c r="H2092" s="53">
        <v>-47.026595</v>
      </c>
      <c r="I2092" s="53">
        <v>-23.383132</v>
      </c>
      <c r="J2092" s="53">
        <v>-46.861694</v>
      </c>
      <c r="L2092" s="61" t="str">
        <f t="shared" si="33"/>
        <v>Cliente36-Cliente35</v>
      </c>
      <c r="M2092">
        <v>137.128264</v>
      </c>
    </row>
    <row r="2093" spans="1:13" x14ac:dyDescent="0.25">
      <c r="A2093" s="15" t="s">
        <v>4306</v>
      </c>
      <c r="B2093" s="15" t="s">
        <v>4306</v>
      </c>
      <c r="C2093" s="54">
        <v>0</v>
      </c>
      <c r="D2093" s="26">
        <v>0</v>
      </c>
      <c r="E2093" s="55">
        <f>'1. Locais'!D40</f>
        <v>-22.044499999999999</v>
      </c>
      <c r="F2093" s="55">
        <f>'1. Locais'!E40</f>
        <v>-47.889980000000001</v>
      </c>
      <c r="G2093" s="55">
        <f>'1. Locais'!D40</f>
        <v>-22.044499999999999</v>
      </c>
      <c r="H2093" s="55">
        <f>'1. Locais'!E40</f>
        <v>-47.889980000000001</v>
      </c>
      <c r="I2093" s="55">
        <f>'1. Locais'!D40</f>
        <v>-22.044499999999999</v>
      </c>
      <c r="J2093" s="55">
        <f>'1. Locais'!E40</f>
        <v>-47.889980000000001</v>
      </c>
      <c r="L2093" s="61" t="str">
        <f t="shared" si="33"/>
        <v>Cliente36-Cliente36</v>
      </c>
      <c r="M2093">
        <v>0</v>
      </c>
    </row>
    <row r="2094" spans="1:13" x14ac:dyDescent="0.25">
      <c r="A2094" s="15" t="s">
        <v>4306</v>
      </c>
      <c r="B2094" s="15" t="s">
        <v>4307</v>
      </c>
      <c r="C2094" s="52">
        <v>3.3852389999999999</v>
      </c>
      <c r="D2094" s="25">
        <v>6.2499999999999995E-3</v>
      </c>
      <c r="E2094" s="53">
        <v>-22.035446</v>
      </c>
      <c r="F2094" s="53">
        <v>-47.892685</v>
      </c>
      <c r="G2094" s="53">
        <v>-22.032595000000001</v>
      </c>
      <c r="H2094" s="53">
        <v>-47.889609999999998</v>
      </c>
      <c r="I2094" s="53">
        <v>-22.034569999999999</v>
      </c>
      <c r="J2094" s="53">
        <v>-47.871170999999997</v>
      </c>
      <c r="L2094" s="61" t="str">
        <f t="shared" si="33"/>
        <v>Cliente36-Cliente37</v>
      </c>
      <c r="M2094">
        <v>3.3852389999999999</v>
      </c>
    </row>
    <row r="2095" spans="1:13" x14ac:dyDescent="0.25">
      <c r="A2095" s="15" t="s">
        <v>4306</v>
      </c>
      <c r="B2095" s="15" t="s">
        <v>4308</v>
      </c>
      <c r="C2095" s="54">
        <v>3.1298539999999999</v>
      </c>
      <c r="D2095" s="26">
        <v>6.2499999999999995E-3</v>
      </c>
      <c r="E2095" s="55">
        <v>-22.035135</v>
      </c>
      <c r="F2095" s="55">
        <v>-47.892549000000002</v>
      </c>
      <c r="G2095" s="55">
        <v>-22.033041000000001</v>
      </c>
      <c r="H2095" s="55">
        <v>-47.883879</v>
      </c>
      <c r="I2095" s="55">
        <v>-22.036225999999999</v>
      </c>
      <c r="J2095" s="55">
        <v>-47.861975000000001</v>
      </c>
      <c r="L2095" s="61" t="str">
        <f t="shared" si="33"/>
        <v>Cliente36-Cliente38</v>
      </c>
      <c r="M2095">
        <v>3.1298539999999999</v>
      </c>
    </row>
    <row r="2096" spans="1:13" x14ac:dyDescent="0.25">
      <c r="A2096" s="15" t="s">
        <v>4306</v>
      </c>
      <c r="B2096" s="15" t="s">
        <v>4309</v>
      </c>
      <c r="C2096" s="52">
        <v>207.40365600000001</v>
      </c>
      <c r="D2096" s="25">
        <v>0.17430555555555557</v>
      </c>
      <c r="E2096" s="53">
        <v>-22.591555</v>
      </c>
      <c r="F2096" s="53">
        <v>-47.367336000000002</v>
      </c>
      <c r="G2096" s="53">
        <v>-22.988987999999999</v>
      </c>
      <c r="H2096" s="53">
        <v>-46.801620999999997</v>
      </c>
      <c r="I2096" s="53">
        <v>-23.164223</v>
      </c>
      <c r="J2096" s="53">
        <v>-46.228814</v>
      </c>
      <c r="L2096" s="61" t="str">
        <f t="shared" si="33"/>
        <v>Cliente36-Cliente39</v>
      </c>
      <c r="M2096">
        <v>207.40365600000001</v>
      </c>
    </row>
    <row r="2097" spans="1:13" x14ac:dyDescent="0.25">
      <c r="A2097" s="15" t="s">
        <v>4306</v>
      </c>
      <c r="B2097" s="15" t="s">
        <v>4310</v>
      </c>
      <c r="C2097" s="54">
        <v>208.96516600000001</v>
      </c>
      <c r="D2097" s="26">
        <v>0.17777777777777778</v>
      </c>
      <c r="E2097" s="55">
        <v>-22.609076999999999</v>
      </c>
      <c r="F2097" s="55">
        <v>-47.359845999999997</v>
      </c>
      <c r="G2097" s="55">
        <v>-23.005049</v>
      </c>
      <c r="H2097" s="55">
        <v>-46.768810000000002</v>
      </c>
      <c r="I2097" s="55">
        <v>-23.182245999999999</v>
      </c>
      <c r="J2097" s="55">
        <v>-46.205109</v>
      </c>
      <c r="L2097" s="61" t="str">
        <f t="shared" si="33"/>
        <v>Cliente36-Cliente40</v>
      </c>
      <c r="M2097">
        <v>208.96516600000001</v>
      </c>
    </row>
    <row r="2098" spans="1:13" x14ac:dyDescent="0.25">
      <c r="A2098" s="15" t="s">
        <v>4306</v>
      </c>
      <c r="B2098" s="15" t="s">
        <v>4311</v>
      </c>
      <c r="C2098" s="52">
        <v>198.258914</v>
      </c>
      <c r="D2098" s="25">
        <v>0.16874999999999998</v>
      </c>
      <c r="E2098" s="53">
        <v>-22.607087</v>
      </c>
      <c r="F2098" s="53">
        <v>-47.361443999999999</v>
      </c>
      <c r="G2098" s="53">
        <v>-23.002051000000002</v>
      </c>
      <c r="H2098" s="53">
        <v>-46.778727000000003</v>
      </c>
      <c r="I2098" s="53">
        <v>-23.165980999999999</v>
      </c>
      <c r="J2098" s="53">
        <v>-46.223700999999998</v>
      </c>
      <c r="L2098" s="61" t="str">
        <f t="shared" si="33"/>
        <v>Cliente36-Cliente41</v>
      </c>
      <c r="M2098">
        <v>198.258914</v>
      </c>
    </row>
    <row r="2099" spans="1:13" x14ac:dyDescent="0.25">
      <c r="A2099" s="15" t="s">
        <v>4306</v>
      </c>
      <c r="B2099" s="15" t="s">
        <v>4312</v>
      </c>
      <c r="C2099" s="54">
        <v>194.97122999999999</v>
      </c>
      <c r="D2099" s="26">
        <v>0.16111111111111112</v>
      </c>
      <c r="E2099" s="55">
        <v>-22.558924000000001</v>
      </c>
      <c r="F2099" s="55">
        <v>-47.367097000000001</v>
      </c>
      <c r="G2099" s="55">
        <v>-22.936585999999998</v>
      </c>
      <c r="H2099" s="55">
        <v>-46.882278999999997</v>
      </c>
      <c r="I2099" s="55">
        <v>-23.181771999999999</v>
      </c>
      <c r="J2099" s="55">
        <v>-46.302263000000004</v>
      </c>
      <c r="L2099" s="61" t="str">
        <f t="shared" si="33"/>
        <v>Cliente36-Cliente42</v>
      </c>
      <c r="M2099">
        <v>194.97122999999999</v>
      </c>
    </row>
    <row r="2100" spans="1:13" x14ac:dyDescent="0.25">
      <c r="A2100" s="15" t="s">
        <v>4306</v>
      </c>
      <c r="B2100" s="15" t="s">
        <v>4313</v>
      </c>
      <c r="C2100" s="52">
        <v>213.64534499999999</v>
      </c>
      <c r="D2100" s="25">
        <v>0.17986111111111111</v>
      </c>
      <c r="E2100" s="53">
        <v>-22.636596000000001</v>
      </c>
      <c r="F2100" s="53">
        <v>-47.331668000000001</v>
      </c>
      <c r="G2100" s="53">
        <v>-23.027180999999999</v>
      </c>
      <c r="H2100" s="53">
        <v>-46.750345000000003</v>
      </c>
      <c r="I2100" s="53">
        <v>-23.210922</v>
      </c>
      <c r="J2100" s="53">
        <v>-46.155890999999997</v>
      </c>
      <c r="L2100" s="61" t="str">
        <f t="shared" si="33"/>
        <v>Cliente36-Cliente43</v>
      </c>
      <c r="M2100">
        <v>213.64534499999999</v>
      </c>
    </row>
    <row r="2101" spans="1:13" x14ac:dyDescent="0.25">
      <c r="A2101" s="15" t="s">
        <v>4306</v>
      </c>
      <c r="B2101" s="15" t="s">
        <v>4314</v>
      </c>
      <c r="C2101" s="54">
        <v>134.93792500000001</v>
      </c>
      <c r="D2101" s="26">
        <v>0.12152777777777778</v>
      </c>
      <c r="E2101" s="55">
        <v>-22.322233000000001</v>
      </c>
      <c r="F2101" s="55">
        <v>-47.656643000000003</v>
      </c>
      <c r="G2101" s="55">
        <v>-22.721191000000001</v>
      </c>
      <c r="H2101" s="55">
        <v>-47.606986999999997</v>
      </c>
      <c r="I2101" s="55">
        <v>-23.331776000000001</v>
      </c>
      <c r="J2101" s="55">
        <v>-47.324772000000003</v>
      </c>
      <c r="L2101" s="61" t="str">
        <f t="shared" si="33"/>
        <v>Cliente36-Cliente44</v>
      </c>
      <c r="M2101">
        <v>134.93792500000001</v>
      </c>
    </row>
    <row r="2102" spans="1:13" x14ac:dyDescent="0.25">
      <c r="A2102" s="15" t="s">
        <v>4306</v>
      </c>
      <c r="B2102" s="15" t="s">
        <v>4315</v>
      </c>
      <c r="C2102" s="52">
        <v>139.23098899999999</v>
      </c>
      <c r="D2102" s="25">
        <v>0.13055555555555556</v>
      </c>
      <c r="E2102" s="53">
        <v>-22.338709000000001</v>
      </c>
      <c r="F2102" s="53">
        <v>-47.651142999999998</v>
      </c>
      <c r="G2102" s="53">
        <v>-22.813600000000001</v>
      </c>
      <c r="H2102" s="53">
        <v>-47.575859000000001</v>
      </c>
      <c r="I2102" s="53">
        <v>-23.343183</v>
      </c>
      <c r="J2102" s="53">
        <v>-47.530853999999998</v>
      </c>
      <c r="L2102" s="61" t="str">
        <f t="shared" si="33"/>
        <v>Cliente36-Cliente45</v>
      </c>
      <c r="M2102">
        <v>139.23098899999999</v>
      </c>
    </row>
    <row r="2103" spans="1:13" x14ac:dyDescent="0.25">
      <c r="A2103" s="15" t="s">
        <v>4306</v>
      </c>
      <c r="B2103" s="15" t="s">
        <v>4316</v>
      </c>
      <c r="C2103" s="54">
        <v>123.711584</v>
      </c>
      <c r="D2103" s="26">
        <v>0.11527777777777777</v>
      </c>
      <c r="E2103" s="55">
        <v>-22.294736</v>
      </c>
      <c r="F2103" s="55">
        <v>-47.675350000000002</v>
      </c>
      <c r="G2103" s="55">
        <v>-22.681712999999998</v>
      </c>
      <c r="H2103" s="55">
        <v>-47.595117999999999</v>
      </c>
      <c r="I2103" s="55">
        <v>-23.127994000000001</v>
      </c>
      <c r="J2103" s="55">
        <v>-47.366145000000003</v>
      </c>
      <c r="L2103" s="61" t="str">
        <f t="shared" si="33"/>
        <v>Cliente36-Cliente46</v>
      </c>
      <c r="M2103">
        <v>123.711584</v>
      </c>
    </row>
    <row r="2104" spans="1:13" x14ac:dyDescent="0.25">
      <c r="A2104" s="15" t="s">
        <v>4306</v>
      </c>
      <c r="B2104" s="15" t="s">
        <v>4317</v>
      </c>
      <c r="C2104" s="52">
        <v>63.385610999999997</v>
      </c>
      <c r="D2104" s="25">
        <v>6.0416666666666667E-2</v>
      </c>
      <c r="E2104" s="53">
        <v>-22.014173</v>
      </c>
      <c r="F2104" s="53">
        <v>-47.890720999999999</v>
      </c>
      <c r="G2104" s="53">
        <v>-21.766850999999999</v>
      </c>
      <c r="H2104" s="53">
        <v>-47.900373999999999</v>
      </c>
      <c r="I2104" s="53">
        <v>-21.269055000000002</v>
      </c>
      <c r="J2104" s="53">
        <v>-47.796778000000003</v>
      </c>
      <c r="L2104" s="61" t="str">
        <f t="shared" si="33"/>
        <v>Cliente36-Cliente47</v>
      </c>
      <c r="M2104">
        <v>63.385610999999997</v>
      </c>
    </row>
    <row r="2105" spans="1:13" x14ac:dyDescent="0.25">
      <c r="A2105" s="15" t="s">
        <v>4306</v>
      </c>
      <c r="B2105" s="15" t="s">
        <v>4318</v>
      </c>
      <c r="C2105" s="54">
        <v>69.893248</v>
      </c>
      <c r="D2105" s="26">
        <v>6.805555555555555E-2</v>
      </c>
      <c r="E2105" s="55">
        <v>-21.992211999999999</v>
      </c>
      <c r="F2105" s="55">
        <v>-47.889333999999998</v>
      </c>
      <c r="G2105" s="55">
        <v>-21.563559999999999</v>
      </c>
      <c r="H2105" s="55">
        <v>-47.945559000000003</v>
      </c>
      <c r="I2105" s="55">
        <v>-21.149887</v>
      </c>
      <c r="J2105" s="55">
        <v>-47.756970000000003</v>
      </c>
      <c r="L2105" s="61" t="str">
        <f t="shared" si="33"/>
        <v>Cliente36-Cliente48</v>
      </c>
      <c r="M2105">
        <v>69.893248</v>
      </c>
    </row>
    <row r="2106" spans="1:13" x14ac:dyDescent="0.25">
      <c r="A2106" s="15" t="s">
        <v>4306</v>
      </c>
      <c r="B2106" s="15" t="s">
        <v>4319</v>
      </c>
      <c r="C2106" s="52">
        <v>65.415014999999997</v>
      </c>
      <c r="D2106" s="25">
        <v>6.3888888888888884E-2</v>
      </c>
      <c r="E2106" s="53">
        <v>-21.997292999999999</v>
      </c>
      <c r="F2106" s="53">
        <v>-47.891120000000001</v>
      </c>
      <c r="G2106" s="53">
        <v>-21.618538000000001</v>
      </c>
      <c r="H2106" s="53">
        <v>-47.950322</v>
      </c>
      <c r="I2106" s="53">
        <v>-21.218088999999999</v>
      </c>
      <c r="J2106" s="53">
        <v>-47.771956000000003</v>
      </c>
      <c r="L2106" s="61" t="str">
        <f t="shared" si="33"/>
        <v>Cliente36-Cliente49</v>
      </c>
      <c r="M2106">
        <v>65.415014999999997</v>
      </c>
    </row>
    <row r="2107" spans="1:13" x14ac:dyDescent="0.25">
      <c r="A2107" s="15" t="s">
        <v>4306</v>
      </c>
      <c r="B2107" s="15" t="s">
        <v>4320</v>
      </c>
      <c r="C2107" s="54">
        <v>91.625138000000007</v>
      </c>
      <c r="D2107" s="26">
        <v>8.6111111111111124E-2</v>
      </c>
      <c r="E2107" s="55">
        <v>-22.110689000000001</v>
      </c>
      <c r="F2107" s="55">
        <v>-48.300483999999997</v>
      </c>
      <c r="G2107" s="55">
        <v>-22.137450000000001</v>
      </c>
      <c r="H2107" s="55">
        <v>-48.461722000000002</v>
      </c>
      <c r="I2107" s="55">
        <v>-22.311126000000002</v>
      </c>
      <c r="J2107" s="55">
        <v>-48.712226000000001</v>
      </c>
      <c r="L2107" s="61" t="str">
        <f t="shared" si="33"/>
        <v>Cliente36-Cliente50</v>
      </c>
      <c r="M2107">
        <v>91.625138000000007</v>
      </c>
    </row>
    <row r="2108" spans="1:13" x14ac:dyDescent="0.25">
      <c r="A2108" s="15" t="s">
        <v>4306</v>
      </c>
      <c r="B2108" s="15" t="s">
        <v>4321</v>
      </c>
      <c r="C2108" s="52">
        <v>91.444318999999993</v>
      </c>
      <c r="D2108" s="25">
        <v>8.4722222222222213E-2</v>
      </c>
      <c r="E2108" s="53">
        <v>-22.111550999999999</v>
      </c>
      <c r="F2108" s="53">
        <v>-48.297545999999997</v>
      </c>
      <c r="G2108" s="53">
        <v>-22.120865999999999</v>
      </c>
      <c r="H2108" s="53">
        <v>-48.456885</v>
      </c>
      <c r="I2108" s="53">
        <v>-22.308951</v>
      </c>
      <c r="J2108" s="53">
        <v>-48.683298999999998</v>
      </c>
      <c r="L2108" s="61" t="str">
        <f t="shared" si="33"/>
        <v>Cliente36-Cliente51</v>
      </c>
      <c r="M2108">
        <v>91.444318999999993</v>
      </c>
    </row>
    <row r="2109" spans="1:13" x14ac:dyDescent="0.25">
      <c r="A2109" s="15" t="s">
        <v>4307</v>
      </c>
      <c r="B2109" s="15" t="s">
        <v>4268</v>
      </c>
      <c r="C2109" s="54">
        <v>102.436403</v>
      </c>
      <c r="D2109" s="26">
        <v>9.3055555555555558E-2</v>
      </c>
      <c r="E2109" s="55">
        <v>-22.278562000000001</v>
      </c>
      <c r="F2109" s="55">
        <v>-47.685284000000003</v>
      </c>
      <c r="G2109" s="55">
        <v>-22.663808</v>
      </c>
      <c r="H2109" s="55">
        <v>-47.617888999999998</v>
      </c>
      <c r="I2109" s="55">
        <v>-22.876051</v>
      </c>
      <c r="J2109" s="55">
        <v>-47.529263</v>
      </c>
      <c r="L2109" s="61" t="str">
        <f t="shared" si="33"/>
        <v>Cliente37-depósito A</v>
      </c>
      <c r="M2109">
        <v>102.436403</v>
      </c>
    </row>
    <row r="2110" spans="1:13" x14ac:dyDescent="0.25">
      <c r="A2110" s="15" t="s">
        <v>4307</v>
      </c>
      <c r="B2110" s="15" t="s">
        <v>4269</v>
      </c>
      <c r="C2110" s="52">
        <v>25.013981000000001</v>
      </c>
      <c r="D2110" s="25">
        <v>2.361111111111111E-2</v>
      </c>
      <c r="E2110" s="53">
        <v>-22.007814</v>
      </c>
      <c r="F2110" s="53">
        <v>-47.890943999999998</v>
      </c>
      <c r="G2110" s="53">
        <v>-21.989574000000001</v>
      </c>
      <c r="H2110" s="53">
        <v>-47.888401000000002</v>
      </c>
      <c r="I2110" s="53">
        <v>-21.882743000000001</v>
      </c>
      <c r="J2110" s="53">
        <v>-48.086500000000001</v>
      </c>
      <c r="L2110" s="61" t="str">
        <f t="shared" si="33"/>
        <v>Cliente37-depósito B</v>
      </c>
      <c r="M2110">
        <v>25.013981000000001</v>
      </c>
    </row>
    <row r="2111" spans="1:13" x14ac:dyDescent="0.25">
      <c r="A2111" s="15" t="s">
        <v>4307</v>
      </c>
      <c r="B2111" s="15" t="s">
        <v>4270</v>
      </c>
      <c r="C2111" s="54">
        <v>173.39157700000001</v>
      </c>
      <c r="D2111" s="26">
        <v>0.14375000000000002</v>
      </c>
      <c r="E2111" s="55">
        <v>-22.558924000000001</v>
      </c>
      <c r="F2111" s="55">
        <v>-47.367097000000001</v>
      </c>
      <c r="G2111" s="55">
        <v>-22.935531000000001</v>
      </c>
      <c r="H2111" s="55">
        <v>-46.895364999999998</v>
      </c>
      <c r="I2111" s="55">
        <v>-23.178538</v>
      </c>
      <c r="J2111" s="55">
        <v>-46.314894000000002</v>
      </c>
      <c r="L2111" s="61" t="str">
        <f t="shared" si="33"/>
        <v>Cliente37-depósito C</v>
      </c>
      <c r="M2111">
        <v>173.39157700000001</v>
      </c>
    </row>
    <row r="2112" spans="1:13" x14ac:dyDescent="0.25">
      <c r="A2112" s="15" t="s">
        <v>4307</v>
      </c>
      <c r="B2112" s="15" t="s">
        <v>4271</v>
      </c>
      <c r="C2112" s="52">
        <v>94.564231000000007</v>
      </c>
      <c r="D2112" s="25">
        <v>8.2638888888888887E-2</v>
      </c>
      <c r="E2112" s="53">
        <v>-22.289674000000002</v>
      </c>
      <c r="F2112" s="53">
        <v>-47.676628999999998</v>
      </c>
      <c r="G2112" s="53">
        <v>-22.550671000000001</v>
      </c>
      <c r="H2112" s="53">
        <v>-47.372504999999997</v>
      </c>
      <c r="I2112" s="53">
        <v>-22.829808</v>
      </c>
      <c r="J2112" s="53">
        <v>-47.180452000000002</v>
      </c>
      <c r="L2112" s="61" t="str">
        <f t="shared" si="33"/>
        <v>Cliente37-Cliente1</v>
      </c>
      <c r="M2112">
        <v>94.564231000000007</v>
      </c>
    </row>
    <row r="2113" spans="1:13" x14ac:dyDescent="0.25">
      <c r="A2113" s="15" t="s">
        <v>4307</v>
      </c>
      <c r="B2113" s="15" t="s">
        <v>4272</v>
      </c>
      <c r="C2113" s="54">
        <v>87.921135000000007</v>
      </c>
      <c r="D2113" s="26">
        <v>7.8472222222222221E-2</v>
      </c>
      <c r="E2113" s="55">
        <v>-22.293004</v>
      </c>
      <c r="F2113" s="55">
        <v>-47.676091</v>
      </c>
      <c r="G2113" s="55">
        <v>-22.557964999999999</v>
      </c>
      <c r="H2113" s="55">
        <v>-47.367572000000003</v>
      </c>
      <c r="I2113" s="55">
        <v>-22.835114000000001</v>
      </c>
      <c r="J2113" s="55">
        <v>-47.175074000000002</v>
      </c>
      <c r="L2113" s="61" t="str">
        <f t="shared" si="33"/>
        <v>Cliente37-Cliente2</v>
      </c>
      <c r="M2113">
        <v>87.921135000000007</v>
      </c>
    </row>
    <row r="2114" spans="1:13" x14ac:dyDescent="0.25">
      <c r="A2114" s="15" t="s">
        <v>4307</v>
      </c>
      <c r="B2114" s="15" t="s">
        <v>4273</v>
      </c>
      <c r="C2114" s="52">
        <v>89.476431000000005</v>
      </c>
      <c r="D2114" s="25">
        <v>8.1944444444444445E-2</v>
      </c>
      <c r="E2114" s="53">
        <v>-22.311945999999999</v>
      </c>
      <c r="F2114" s="53">
        <v>-47.666491000000001</v>
      </c>
      <c r="G2114" s="53">
        <v>-22.607087</v>
      </c>
      <c r="H2114" s="53">
        <v>-47.361443999999999</v>
      </c>
      <c r="I2114" s="53">
        <v>-22.882034999999998</v>
      </c>
      <c r="J2114" s="53">
        <v>-47.116388999999998</v>
      </c>
      <c r="L2114" s="61" t="str">
        <f t="shared" si="33"/>
        <v>Cliente37-Cliente3</v>
      </c>
      <c r="M2114">
        <v>89.476431000000005</v>
      </c>
    </row>
    <row r="2115" spans="1:13" x14ac:dyDescent="0.25">
      <c r="A2115" s="15" t="s">
        <v>4307</v>
      </c>
      <c r="B2115" s="15" t="s">
        <v>4274</v>
      </c>
      <c r="C2115" s="54">
        <v>86.456559999999996</v>
      </c>
      <c r="D2115" s="26">
        <v>7.5694444444444439E-2</v>
      </c>
      <c r="E2115" s="55">
        <v>-22.277958999999999</v>
      </c>
      <c r="F2115" s="55">
        <v>-47.688141000000002</v>
      </c>
      <c r="G2115" s="55">
        <v>-22.502137999999999</v>
      </c>
      <c r="H2115" s="55">
        <v>-47.401598999999997</v>
      </c>
      <c r="I2115" s="55">
        <v>-22.753466</v>
      </c>
      <c r="J2115" s="55">
        <v>-47.258302999999998</v>
      </c>
      <c r="L2115" s="61" t="str">
        <f t="shared" si="33"/>
        <v>Cliente37-Cliente4</v>
      </c>
      <c r="M2115">
        <v>86.456559999999996</v>
      </c>
    </row>
    <row r="2116" spans="1:13" x14ac:dyDescent="0.25">
      <c r="A2116" s="15" t="s">
        <v>4307</v>
      </c>
      <c r="B2116" s="15" t="s">
        <v>4275</v>
      </c>
      <c r="C2116" s="52">
        <v>86.549766000000005</v>
      </c>
      <c r="D2116" s="25">
        <v>7.5694444444444439E-2</v>
      </c>
      <c r="E2116" s="53">
        <v>-22.278064000000001</v>
      </c>
      <c r="F2116" s="53">
        <v>-47.688977000000001</v>
      </c>
      <c r="G2116" s="53">
        <v>-22.501555</v>
      </c>
      <c r="H2116" s="53">
        <v>-47.402867999999998</v>
      </c>
      <c r="I2116" s="53">
        <v>-22.752471</v>
      </c>
      <c r="J2116" s="53">
        <v>-47.259372999999997</v>
      </c>
      <c r="L2116" s="61" t="str">
        <f t="shared" si="33"/>
        <v>Cliente37-Cliente5</v>
      </c>
      <c r="M2116">
        <v>86.549766000000005</v>
      </c>
    </row>
    <row r="2117" spans="1:13" x14ac:dyDescent="0.25">
      <c r="A2117" s="15" t="s">
        <v>4307</v>
      </c>
      <c r="B2117" s="15" t="s">
        <v>4276</v>
      </c>
      <c r="C2117" s="54">
        <v>95.255197999999993</v>
      </c>
      <c r="D2117" s="26">
        <v>8.2638888888888887E-2</v>
      </c>
      <c r="E2117" s="55">
        <v>-22.293004</v>
      </c>
      <c r="F2117" s="55">
        <v>-47.676091</v>
      </c>
      <c r="G2117" s="55">
        <v>-22.557964999999999</v>
      </c>
      <c r="H2117" s="55">
        <v>-47.367572000000003</v>
      </c>
      <c r="I2117" s="55">
        <v>-22.835114000000001</v>
      </c>
      <c r="J2117" s="55">
        <v>-47.175074000000002</v>
      </c>
      <c r="L2117" s="61" t="str">
        <f t="shared" si="33"/>
        <v>Cliente37-Cliente6</v>
      </c>
      <c r="M2117">
        <v>95.255197999999993</v>
      </c>
    </row>
    <row r="2118" spans="1:13" x14ac:dyDescent="0.25">
      <c r="A2118" s="15" t="s">
        <v>4307</v>
      </c>
      <c r="B2118" s="15" t="s">
        <v>4277</v>
      </c>
      <c r="C2118" s="52">
        <v>88.729540999999998</v>
      </c>
      <c r="D2118" s="25">
        <v>7.7777777777777779E-2</v>
      </c>
      <c r="E2118" s="53">
        <v>-22.279879999999999</v>
      </c>
      <c r="F2118" s="53">
        <v>-47.683371999999999</v>
      </c>
      <c r="G2118" s="53">
        <v>-22.516029</v>
      </c>
      <c r="H2118" s="53">
        <v>-47.394624999999998</v>
      </c>
      <c r="I2118" s="53">
        <v>-22.793851</v>
      </c>
      <c r="J2118" s="53">
        <v>-47.225557000000002</v>
      </c>
      <c r="L2118" s="61" t="str">
        <f t="shared" si="33"/>
        <v>Cliente37-Cliente7</v>
      </c>
      <c r="M2118">
        <v>88.729540999999998</v>
      </c>
    </row>
    <row r="2119" spans="1:13" x14ac:dyDescent="0.25">
      <c r="A2119" s="15" t="s">
        <v>4307</v>
      </c>
      <c r="B2119" s="15" t="s">
        <v>4278</v>
      </c>
      <c r="C2119" s="54">
        <v>96.293512000000007</v>
      </c>
      <c r="D2119" s="26">
        <v>8.4027777777777771E-2</v>
      </c>
      <c r="E2119" s="55">
        <v>-22.293004</v>
      </c>
      <c r="F2119" s="55">
        <v>-47.676091</v>
      </c>
      <c r="G2119" s="55">
        <v>-22.557964999999999</v>
      </c>
      <c r="H2119" s="55">
        <v>-47.367572000000003</v>
      </c>
      <c r="I2119" s="55">
        <v>-22.835114000000001</v>
      </c>
      <c r="J2119" s="55">
        <v>-47.175074000000002</v>
      </c>
      <c r="L2119" s="61" t="str">
        <f t="shared" si="33"/>
        <v>Cliente37-Cliente8</v>
      </c>
      <c r="M2119">
        <v>96.293512000000007</v>
      </c>
    </row>
    <row r="2120" spans="1:13" x14ac:dyDescent="0.25">
      <c r="A2120" s="15" t="s">
        <v>4307</v>
      </c>
      <c r="B2120" s="15" t="s">
        <v>4279</v>
      </c>
      <c r="C2120" s="52">
        <v>68.103695000000002</v>
      </c>
      <c r="D2120" s="25">
        <v>6.0416666666666667E-2</v>
      </c>
      <c r="E2120" s="53">
        <v>-22.253532</v>
      </c>
      <c r="F2120" s="53">
        <v>-47.703060999999998</v>
      </c>
      <c r="G2120" s="53">
        <v>-22.374095000000001</v>
      </c>
      <c r="H2120" s="53">
        <v>-47.620426000000002</v>
      </c>
      <c r="I2120" s="53">
        <v>-22.563873000000001</v>
      </c>
      <c r="J2120" s="53">
        <v>-47.365864000000002</v>
      </c>
      <c r="L2120" s="61" t="str">
        <f t="shared" si="33"/>
        <v>Cliente37-Cliente9</v>
      </c>
      <c r="M2120">
        <v>68.103695000000002</v>
      </c>
    </row>
    <row r="2121" spans="1:13" x14ac:dyDescent="0.25">
      <c r="A2121" s="15" t="s">
        <v>4307</v>
      </c>
      <c r="B2121" s="15" t="s">
        <v>4280</v>
      </c>
      <c r="C2121" s="54">
        <v>142.14957699999999</v>
      </c>
      <c r="D2121" s="26">
        <v>0.12361111111111112</v>
      </c>
      <c r="E2121" s="55">
        <v>-22.461925000000001</v>
      </c>
      <c r="F2121" s="55">
        <v>-47.529328</v>
      </c>
      <c r="G2121" s="55">
        <v>-22.910471000000001</v>
      </c>
      <c r="H2121" s="55">
        <v>-47.136947999999997</v>
      </c>
      <c r="I2121" s="55">
        <v>-23.312888999999998</v>
      </c>
      <c r="J2121" s="55">
        <v>-46.825960000000002</v>
      </c>
      <c r="L2121" s="61" t="str">
        <f t="shared" si="33"/>
        <v>Cliente37-Cliente10</v>
      </c>
      <c r="M2121">
        <v>142.14957699999999</v>
      </c>
    </row>
    <row r="2122" spans="1:13" x14ac:dyDescent="0.25">
      <c r="A2122" s="15" t="s">
        <v>4307</v>
      </c>
      <c r="B2122" s="15" t="s">
        <v>4281</v>
      </c>
      <c r="C2122" s="52">
        <v>60.356419000000002</v>
      </c>
      <c r="D2122" s="25">
        <v>5.2777777777777778E-2</v>
      </c>
      <c r="E2122" s="53">
        <v>-22.245039999999999</v>
      </c>
      <c r="F2122" s="53">
        <v>-47.709145999999997</v>
      </c>
      <c r="G2122" s="53">
        <v>-22.337135</v>
      </c>
      <c r="H2122" s="53">
        <v>-47.651384</v>
      </c>
      <c r="I2122" s="53">
        <v>-22.663865000000001</v>
      </c>
      <c r="J2122" s="53">
        <v>-47.618408000000002</v>
      </c>
      <c r="L2122" s="61" t="str">
        <f t="shared" si="33"/>
        <v>Cliente37-Cliente11</v>
      </c>
      <c r="M2122">
        <v>60.356419000000002</v>
      </c>
    </row>
    <row r="2123" spans="1:13" x14ac:dyDescent="0.25">
      <c r="A2123" s="15" t="s">
        <v>4307</v>
      </c>
      <c r="B2123" s="15" t="s">
        <v>4282</v>
      </c>
      <c r="C2123" s="54">
        <v>172.43279899999999</v>
      </c>
      <c r="D2123" s="26">
        <v>0.14375000000000002</v>
      </c>
      <c r="E2123" s="55">
        <v>-22.559846</v>
      </c>
      <c r="F2123" s="55">
        <v>-47.366737999999998</v>
      </c>
      <c r="G2123" s="55">
        <v>-22.935102000000001</v>
      </c>
      <c r="H2123" s="55">
        <v>-46.886113999999999</v>
      </c>
      <c r="I2123" s="55">
        <v>-23.179541</v>
      </c>
      <c r="J2123" s="55">
        <v>-46.312427</v>
      </c>
      <c r="L2123" s="61" t="str">
        <f t="shared" si="33"/>
        <v>Cliente37-Cliente12</v>
      </c>
      <c r="M2123">
        <v>172.43279899999999</v>
      </c>
    </row>
    <row r="2124" spans="1:13" x14ac:dyDescent="0.25">
      <c r="A2124" s="15" t="s">
        <v>4307</v>
      </c>
      <c r="B2124" s="15" t="s">
        <v>4283</v>
      </c>
      <c r="C2124" s="52">
        <v>180.316776</v>
      </c>
      <c r="D2124" s="25">
        <v>0.14930555555555555</v>
      </c>
      <c r="E2124" s="53">
        <v>-22.565353999999999</v>
      </c>
      <c r="F2124" s="53">
        <v>-47.365831999999997</v>
      </c>
      <c r="G2124" s="53">
        <v>-22.963591999999998</v>
      </c>
      <c r="H2124" s="53">
        <v>-46.845143999999998</v>
      </c>
      <c r="I2124" s="53">
        <v>-23.172713000000002</v>
      </c>
      <c r="J2124" s="53">
        <v>-46.262489000000002</v>
      </c>
      <c r="L2124" s="61" t="str">
        <f t="shared" si="33"/>
        <v>Cliente37-Cliente13</v>
      </c>
      <c r="M2124">
        <v>180.316776</v>
      </c>
    </row>
    <row r="2125" spans="1:13" x14ac:dyDescent="0.25">
      <c r="A2125" s="15" t="s">
        <v>4307</v>
      </c>
      <c r="B2125" s="15" t="s">
        <v>4284</v>
      </c>
      <c r="C2125" s="54">
        <v>178.379336</v>
      </c>
      <c r="D2125" s="26">
        <v>0.14652777777777778</v>
      </c>
      <c r="E2125" s="55">
        <v>-22.557964999999999</v>
      </c>
      <c r="F2125" s="55">
        <v>-47.367572000000003</v>
      </c>
      <c r="G2125" s="55">
        <v>-22.933365999999999</v>
      </c>
      <c r="H2125" s="55">
        <v>-46.899569999999997</v>
      </c>
      <c r="I2125" s="55">
        <v>-23.179977999999998</v>
      </c>
      <c r="J2125" s="55">
        <v>-46.321463999999999</v>
      </c>
      <c r="L2125" s="61" t="str">
        <f t="shared" si="33"/>
        <v>Cliente37-Cliente14</v>
      </c>
      <c r="M2125">
        <v>178.379336</v>
      </c>
    </row>
    <row r="2126" spans="1:13" x14ac:dyDescent="0.25">
      <c r="A2126" s="15" t="s">
        <v>4307</v>
      </c>
      <c r="B2126" s="15" t="s">
        <v>4285</v>
      </c>
      <c r="C2126" s="52">
        <v>182.11192199999999</v>
      </c>
      <c r="D2126" s="25">
        <v>0.15486111111111112</v>
      </c>
      <c r="E2126" s="53">
        <v>-22.611726000000001</v>
      </c>
      <c r="F2126" s="53">
        <v>-47.355148</v>
      </c>
      <c r="G2126" s="53">
        <v>-23.004802000000002</v>
      </c>
      <c r="H2126" s="53">
        <v>-46.769443000000003</v>
      </c>
      <c r="I2126" s="53">
        <v>-23.170137</v>
      </c>
      <c r="J2126" s="53">
        <v>-46.220036</v>
      </c>
      <c r="L2126" s="61" t="str">
        <f t="shared" si="33"/>
        <v>Cliente37-Cliente15</v>
      </c>
      <c r="M2126">
        <v>182.11192199999999</v>
      </c>
    </row>
    <row r="2127" spans="1:13" x14ac:dyDescent="0.25">
      <c r="A2127" s="15" t="s">
        <v>4307</v>
      </c>
      <c r="B2127" s="15" t="s">
        <v>4286</v>
      </c>
      <c r="C2127" s="54">
        <v>179.688568</v>
      </c>
      <c r="D2127" s="26">
        <v>0.15069444444444444</v>
      </c>
      <c r="E2127" s="55">
        <v>-22.565353999999999</v>
      </c>
      <c r="F2127" s="55">
        <v>-47.365831999999997</v>
      </c>
      <c r="G2127" s="55">
        <v>-22.963591999999998</v>
      </c>
      <c r="H2127" s="55">
        <v>-46.845143999999998</v>
      </c>
      <c r="I2127" s="55">
        <v>-23.172713000000002</v>
      </c>
      <c r="J2127" s="55">
        <v>-46.262489000000002</v>
      </c>
      <c r="L2127" s="61" t="str">
        <f t="shared" si="33"/>
        <v>Cliente37-Cliente16</v>
      </c>
      <c r="M2127">
        <v>179.688568</v>
      </c>
    </row>
    <row r="2128" spans="1:13" x14ac:dyDescent="0.25">
      <c r="A2128" s="15" t="s">
        <v>4307</v>
      </c>
      <c r="B2128" s="15" t="s">
        <v>4287</v>
      </c>
      <c r="C2128" s="52">
        <v>180.74428</v>
      </c>
      <c r="D2128" s="25">
        <v>0.14930555555555555</v>
      </c>
      <c r="E2128" s="53">
        <v>-22.565353999999999</v>
      </c>
      <c r="F2128" s="53">
        <v>-47.365831999999997</v>
      </c>
      <c r="G2128" s="53">
        <v>-22.963591999999998</v>
      </c>
      <c r="H2128" s="53">
        <v>-46.845143999999998</v>
      </c>
      <c r="I2128" s="53">
        <v>-23.172713000000002</v>
      </c>
      <c r="J2128" s="53">
        <v>-46.262489000000002</v>
      </c>
      <c r="L2128" s="61" t="str">
        <f t="shared" si="33"/>
        <v>Cliente37-Cliente17</v>
      </c>
      <c r="M2128">
        <v>180.74428</v>
      </c>
    </row>
    <row r="2129" spans="1:13" x14ac:dyDescent="0.25">
      <c r="A2129" s="15" t="s">
        <v>4307</v>
      </c>
      <c r="B2129" s="15" t="s">
        <v>4288</v>
      </c>
      <c r="C2129" s="54">
        <v>185.57234600000001</v>
      </c>
      <c r="D2129" s="26">
        <v>0.15416666666666667</v>
      </c>
      <c r="E2129" s="55">
        <v>-22.560168000000001</v>
      </c>
      <c r="F2129" s="55">
        <v>-47.366624999999999</v>
      </c>
      <c r="G2129" s="55">
        <v>-22.945516000000001</v>
      </c>
      <c r="H2129" s="55">
        <v>-46.872473999999997</v>
      </c>
      <c r="I2129" s="55">
        <v>-23.181813999999999</v>
      </c>
      <c r="J2129" s="55">
        <v>-46.303246999999999</v>
      </c>
      <c r="L2129" s="61" t="str">
        <f t="shared" si="33"/>
        <v>Cliente37-Cliente18</v>
      </c>
      <c r="M2129">
        <v>185.57234600000001</v>
      </c>
    </row>
    <row r="2130" spans="1:13" x14ac:dyDescent="0.25">
      <c r="A2130" s="15" t="s">
        <v>4307</v>
      </c>
      <c r="B2130" s="15" t="s">
        <v>4289</v>
      </c>
      <c r="C2130" s="52">
        <v>138.92962299999999</v>
      </c>
      <c r="D2130" s="25">
        <v>0.11527777777777777</v>
      </c>
      <c r="E2130" s="53">
        <v>-22.451402000000002</v>
      </c>
      <c r="F2130" s="53">
        <v>-47.556750999999998</v>
      </c>
      <c r="G2130" s="53">
        <v>-22.855844000000001</v>
      </c>
      <c r="H2130" s="53">
        <v>-47.150579</v>
      </c>
      <c r="I2130" s="53">
        <v>-23.26332</v>
      </c>
      <c r="J2130" s="53">
        <v>-46.865354000000004</v>
      </c>
      <c r="L2130" s="61" t="str">
        <f t="shared" ref="L2130:L2193" si="34">_xlfn.CONCAT(A2130,"-",B2130)</f>
        <v>Cliente37-Cliente19</v>
      </c>
      <c r="M2130">
        <v>138.92962299999999</v>
      </c>
    </row>
    <row r="2131" spans="1:13" x14ac:dyDescent="0.25">
      <c r="A2131" s="15" t="s">
        <v>4307</v>
      </c>
      <c r="B2131" s="15" t="s">
        <v>4290</v>
      </c>
      <c r="C2131" s="54">
        <v>140.50169600000001</v>
      </c>
      <c r="D2131" s="26">
        <v>0.11805555555555557</v>
      </c>
      <c r="E2131" s="55">
        <v>-22.46059</v>
      </c>
      <c r="F2131" s="55">
        <v>-47.539946999999998</v>
      </c>
      <c r="G2131" s="55">
        <v>-22.882379</v>
      </c>
      <c r="H2131" s="55">
        <v>-47.130868</v>
      </c>
      <c r="I2131" s="55">
        <v>-23.295711000000001</v>
      </c>
      <c r="J2131" s="55">
        <v>-46.841707999999997</v>
      </c>
      <c r="L2131" s="61" t="str">
        <f t="shared" si="34"/>
        <v>Cliente37-Cliente20</v>
      </c>
      <c r="M2131">
        <v>140.50169600000001</v>
      </c>
    </row>
    <row r="2132" spans="1:13" x14ac:dyDescent="0.25">
      <c r="A2132" s="15" t="s">
        <v>4307</v>
      </c>
      <c r="B2132" s="15" t="s">
        <v>4291</v>
      </c>
      <c r="C2132" s="52">
        <v>140.103396</v>
      </c>
      <c r="D2132" s="25">
        <v>0.11875000000000001</v>
      </c>
      <c r="E2132" s="53">
        <v>-22.461925000000001</v>
      </c>
      <c r="F2132" s="53">
        <v>-47.529328</v>
      </c>
      <c r="G2132" s="53">
        <v>-22.910471000000001</v>
      </c>
      <c r="H2132" s="53">
        <v>-47.136947999999997</v>
      </c>
      <c r="I2132" s="53">
        <v>-23.312888999999998</v>
      </c>
      <c r="J2132" s="53">
        <v>-46.825960000000002</v>
      </c>
      <c r="L2132" s="61" t="str">
        <f t="shared" si="34"/>
        <v>Cliente37-Cliente21</v>
      </c>
      <c r="M2132">
        <v>140.103396</v>
      </c>
    </row>
    <row r="2133" spans="1:13" x14ac:dyDescent="0.25">
      <c r="A2133" s="15" t="s">
        <v>4307</v>
      </c>
      <c r="B2133" s="15" t="s">
        <v>4292</v>
      </c>
      <c r="C2133" s="54">
        <v>139.22663900000001</v>
      </c>
      <c r="D2133" s="26">
        <v>0.1173611111111111</v>
      </c>
      <c r="E2133" s="55">
        <v>-22.461542999999999</v>
      </c>
      <c r="F2133" s="55">
        <v>-47.536763999999998</v>
      </c>
      <c r="G2133" s="55">
        <v>-22.885992000000002</v>
      </c>
      <c r="H2133" s="55">
        <v>-47.131588000000001</v>
      </c>
      <c r="I2133" s="55">
        <v>-23.302610000000001</v>
      </c>
      <c r="J2133" s="55">
        <v>-46.840466999999997</v>
      </c>
      <c r="L2133" s="61" t="str">
        <f t="shared" si="34"/>
        <v>Cliente37-Cliente22</v>
      </c>
      <c r="M2133">
        <v>139.22663900000001</v>
      </c>
    </row>
    <row r="2134" spans="1:13" x14ac:dyDescent="0.25">
      <c r="A2134" s="15" t="s">
        <v>4307</v>
      </c>
      <c r="B2134" s="15" t="s">
        <v>4293</v>
      </c>
      <c r="C2134" s="52">
        <v>148.37697399999999</v>
      </c>
      <c r="D2134" s="25">
        <v>0.125</v>
      </c>
      <c r="E2134" s="53">
        <v>-22.502137999999999</v>
      </c>
      <c r="F2134" s="53">
        <v>-47.401598999999997</v>
      </c>
      <c r="G2134" s="53">
        <v>-22.969265</v>
      </c>
      <c r="H2134" s="53">
        <v>-47.117648000000003</v>
      </c>
      <c r="I2134" s="53">
        <v>-23.360911000000002</v>
      </c>
      <c r="J2134" s="53">
        <v>-46.784500000000001</v>
      </c>
      <c r="L2134" s="61" t="str">
        <f t="shared" si="34"/>
        <v>Cliente37-Cliente23</v>
      </c>
      <c r="M2134">
        <v>148.37697399999999</v>
      </c>
    </row>
    <row r="2135" spans="1:13" x14ac:dyDescent="0.25">
      <c r="A2135" s="15" t="s">
        <v>4307</v>
      </c>
      <c r="B2135" s="15" t="s">
        <v>4294</v>
      </c>
      <c r="C2135" s="54">
        <v>149.356258</v>
      </c>
      <c r="D2135" s="26">
        <v>0.12708333333333333</v>
      </c>
      <c r="E2135" s="55">
        <v>-22.502590999999999</v>
      </c>
      <c r="F2135" s="55">
        <v>-47.401133000000002</v>
      </c>
      <c r="G2135" s="55">
        <v>-22.977492999999999</v>
      </c>
      <c r="H2135" s="55">
        <v>-47.112698000000002</v>
      </c>
      <c r="I2135" s="55">
        <v>-23.373138000000001</v>
      </c>
      <c r="J2135" s="55">
        <v>-46.778409000000003</v>
      </c>
      <c r="L2135" s="61" t="str">
        <f t="shared" si="34"/>
        <v>Cliente37-Cliente24</v>
      </c>
      <c r="M2135">
        <v>149.356258</v>
      </c>
    </row>
    <row r="2136" spans="1:13" x14ac:dyDescent="0.25">
      <c r="A2136" s="15" t="s">
        <v>4307</v>
      </c>
      <c r="B2136" s="15" t="s">
        <v>4295</v>
      </c>
      <c r="C2136" s="52">
        <v>152.176669</v>
      </c>
      <c r="D2136" s="25">
        <v>0.12986111111111112</v>
      </c>
      <c r="E2136" s="53">
        <v>-22.505400000000002</v>
      </c>
      <c r="F2136" s="53">
        <v>-47.399203</v>
      </c>
      <c r="G2136" s="53">
        <v>-22.989923000000001</v>
      </c>
      <c r="H2136" s="53">
        <v>-47.111446000000001</v>
      </c>
      <c r="I2136" s="53">
        <v>-23.381491</v>
      </c>
      <c r="J2136" s="53">
        <v>-46.770012999999999</v>
      </c>
      <c r="L2136" s="61" t="str">
        <f t="shared" si="34"/>
        <v>Cliente37-Cliente25</v>
      </c>
      <c r="M2136">
        <v>152.176669</v>
      </c>
    </row>
    <row r="2137" spans="1:13" x14ac:dyDescent="0.25">
      <c r="A2137" s="15" t="s">
        <v>4307</v>
      </c>
      <c r="B2137" s="15" t="s">
        <v>4296</v>
      </c>
      <c r="C2137" s="54">
        <v>143.839089</v>
      </c>
      <c r="D2137" s="26">
        <v>0.12013888888888889</v>
      </c>
      <c r="E2137" s="55">
        <v>-22.472742</v>
      </c>
      <c r="F2137" s="55">
        <v>-47.499963999999999</v>
      </c>
      <c r="G2137" s="55">
        <v>-22.941599</v>
      </c>
      <c r="H2137" s="55">
        <v>-47.126221999999999</v>
      </c>
      <c r="I2137" s="55">
        <v>-23.351893</v>
      </c>
      <c r="J2137" s="55">
        <v>-46.798056000000003</v>
      </c>
      <c r="L2137" s="61" t="str">
        <f t="shared" si="34"/>
        <v>Cliente37-Cliente26</v>
      </c>
      <c r="M2137">
        <v>143.839089</v>
      </c>
    </row>
    <row r="2138" spans="1:13" x14ac:dyDescent="0.25">
      <c r="A2138" s="15" t="s">
        <v>4307</v>
      </c>
      <c r="B2138" s="15" t="s">
        <v>4297</v>
      </c>
      <c r="C2138" s="52">
        <v>150.15596500000001</v>
      </c>
      <c r="D2138" s="25">
        <v>0.1277777777777778</v>
      </c>
      <c r="E2138" s="53">
        <v>-22.504286</v>
      </c>
      <c r="F2138" s="53">
        <v>-47.399718999999997</v>
      </c>
      <c r="G2138" s="53">
        <v>-22.979727</v>
      </c>
      <c r="H2138" s="53">
        <v>-47.112000999999999</v>
      </c>
      <c r="I2138" s="53">
        <v>-23.378919</v>
      </c>
      <c r="J2138" s="53">
        <v>-46.771901999999997</v>
      </c>
      <c r="L2138" s="61" t="str">
        <f t="shared" si="34"/>
        <v>Cliente37-Cliente27</v>
      </c>
      <c r="M2138">
        <v>150.15596500000001</v>
      </c>
    </row>
    <row r="2139" spans="1:13" x14ac:dyDescent="0.25">
      <c r="A2139" s="15" t="s">
        <v>4307</v>
      </c>
      <c r="B2139" s="15" t="s">
        <v>4298</v>
      </c>
      <c r="C2139" s="54">
        <v>151.48756599999999</v>
      </c>
      <c r="D2139" s="26">
        <v>0.13402777777777777</v>
      </c>
      <c r="E2139" s="55">
        <v>-22.504286</v>
      </c>
      <c r="F2139" s="55">
        <v>-47.399718999999997</v>
      </c>
      <c r="G2139" s="55">
        <v>-22.979727</v>
      </c>
      <c r="H2139" s="55">
        <v>-47.112000999999999</v>
      </c>
      <c r="I2139" s="55">
        <v>-23.378087000000001</v>
      </c>
      <c r="J2139" s="55">
        <v>-46.772838</v>
      </c>
      <c r="L2139" s="61" t="str">
        <f t="shared" si="34"/>
        <v>Cliente37-Cliente28</v>
      </c>
      <c r="M2139">
        <v>151.48756599999999</v>
      </c>
    </row>
    <row r="2140" spans="1:13" x14ac:dyDescent="0.25">
      <c r="A2140" s="15" t="s">
        <v>4307</v>
      </c>
      <c r="B2140" s="15" t="s">
        <v>4299</v>
      </c>
      <c r="C2140" s="52">
        <v>153.74998400000001</v>
      </c>
      <c r="D2140" s="25">
        <v>0.13819444444444443</v>
      </c>
      <c r="E2140" s="53">
        <v>-22.506806999999998</v>
      </c>
      <c r="F2140" s="53">
        <v>-47.398646999999997</v>
      </c>
      <c r="G2140" s="53">
        <v>-22.996815999999999</v>
      </c>
      <c r="H2140" s="53">
        <v>-47.104523</v>
      </c>
      <c r="I2140" s="53">
        <v>-23.407332</v>
      </c>
      <c r="J2140" s="53">
        <v>-46.767837999999998</v>
      </c>
      <c r="L2140" s="61" t="str">
        <f t="shared" si="34"/>
        <v>Cliente37-Cliente29</v>
      </c>
      <c r="M2140">
        <v>153.74998400000001</v>
      </c>
    </row>
    <row r="2141" spans="1:13" x14ac:dyDescent="0.25">
      <c r="A2141" s="15" t="s">
        <v>4307</v>
      </c>
      <c r="B2141" s="15" t="s">
        <v>4300</v>
      </c>
      <c r="C2141" s="54">
        <v>157.80941300000001</v>
      </c>
      <c r="D2141" s="26">
        <v>0.14722222222222223</v>
      </c>
      <c r="E2141" s="55">
        <v>-22.550671000000001</v>
      </c>
      <c r="F2141" s="55">
        <v>-47.372504999999997</v>
      </c>
      <c r="G2141" s="55">
        <v>-23.069886</v>
      </c>
      <c r="H2141" s="55">
        <v>-47.031554999999997</v>
      </c>
      <c r="I2141" s="55">
        <v>-23.507064</v>
      </c>
      <c r="J2141" s="55">
        <v>-46.721980000000002</v>
      </c>
      <c r="L2141" s="61" t="str">
        <f t="shared" si="34"/>
        <v>Cliente37-Cliente30</v>
      </c>
      <c r="M2141">
        <v>157.80941300000001</v>
      </c>
    </row>
    <row r="2142" spans="1:13" x14ac:dyDescent="0.25">
      <c r="A2142" s="15" t="s">
        <v>4307</v>
      </c>
      <c r="B2142" s="15" t="s">
        <v>4301</v>
      </c>
      <c r="C2142" s="52">
        <v>148.07933700000001</v>
      </c>
      <c r="D2142" s="25">
        <v>0.1277777777777778</v>
      </c>
      <c r="E2142" s="53">
        <v>-22.501626000000002</v>
      </c>
      <c r="F2142" s="53">
        <v>-47.402728000000003</v>
      </c>
      <c r="G2142" s="53">
        <v>-22.960871999999998</v>
      </c>
      <c r="H2142" s="53">
        <v>-47.124448000000001</v>
      </c>
      <c r="I2142" s="53">
        <v>-23.358542</v>
      </c>
      <c r="J2142" s="53">
        <v>-46.785787999999997</v>
      </c>
      <c r="L2142" s="61" t="str">
        <f t="shared" si="34"/>
        <v>Cliente37-Cliente31</v>
      </c>
      <c r="M2142">
        <v>148.07933700000001</v>
      </c>
    </row>
    <row r="2143" spans="1:13" x14ac:dyDescent="0.25">
      <c r="A2143" s="15" t="s">
        <v>4307</v>
      </c>
      <c r="B2143" s="15" t="s">
        <v>4302</v>
      </c>
      <c r="C2143" s="54">
        <v>138.67548199999999</v>
      </c>
      <c r="D2143" s="26">
        <v>0.11875000000000001</v>
      </c>
      <c r="E2143" s="55">
        <v>-22.471487</v>
      </c>
      <c r="F2143" s="55">
        <v>-47.503176000000003</v>
      </c>
      <c r="G2143" s="55">
        <v>-22.938085999999998</v>
      </c>
      <c r="H2143" s="55">
        <v>-47.126828000000003</v>
      </c>
      <c r="I2143" s="55">
        <v>-23.350614</v>
      </c>
      <c r="J2143" s="55">
        <v>-46.807232999999997</v>
      </c>
      <c r="L2143" s="61" t="str">
        <f t="shared" si="34"/>
        <v>Cliente37-Cliente32</v>
      </c>
      <c r="M2143">
        <v>138.67548199999999</v>
      </c>
    </row>
    <row r="2144" spans="1:13" x14ac:dyDescent="0.25">
      <c r="A2144" s="15" t="s">
        <v>4307</v>
      </c>
      <c r="B2144" s="15" t="s">
        <v>4303</v>
      </c>
      <c r="C2144" s="52">
        <v>151.83304999999999</v>
      </c>
      <c r="D2144" s="25">
        <v>0.13125000000000001</v>
      </c>
      <c r="E2144" s="53">
        <v>-22.502590999999999</v>
      </c>
      <c r="F2144" s="53">
        <v>-47.401133000000002</v>
      </c>
      <c r="G2144" s="53">
        <v>-22.977492999999999</v>
      </c>
      <c r="H2144" s="53">
        <v>-47.112698000000002</v>
      </c>
      <c r="I2144" s="53">
        <v>-23.372895</v>
      </c>
      <c r="J2144" s="53">
        <v>-46.778578000000003</v>
      </c>
      <c r="L2144" s="61" t="str">
        <f t="shared" si="34"/>
        <v>Cliente37-Cliente33</v>
      </c>
      <c r="M2144">
        <v>151.83304999999999</v>
      </c>
    </row>
    <row r="2145" spans="1:13" x14ac:dyDescent="0.25">
      <c r="A2145" s="15" t="s">
        <v>4307</v>
      </c>
      <c r="B2145" s="15" t="s">
        <v>4304</v>
      </c>
      <c r="C2145" s="54">
        <v>143.311544</v>
      </c>
      <c r="D2145" s="26">
        <v>0.12638888888888888</v>
      </c>
      <c r="E2145" s="55">
        <v>-22.66405</v>
      </c>
      <c r="F2145" s="55">
        <v>-47.617550000000001</v>
      </c>
      <c r="G2145" s="55">
        <v>-22.993321999999999</v>
      </c>
      <c r="H2145" s="55">
        <v>-47.109513</v>
      </c>
      <c r="I2145" s="55">
        <v>-23.365102</v>
      </c>
      <c r="J2145" s="55">
        <v>-46.846198999999999</v>
      </c>
      <c r="L2145" s="61" t="str">
        <f t="shared" si="34"/>
        <v>Cliente37-Cliente34</v>
      </c>
      <c r="M2145">
        <v>143.311544</v>
      </c>
    </row>
    <row r="2146" spans="1:13" x14ac:dyDescent="0.25">
      <c r="A2146" s="15" t="s">
        <v>4307</v>
      </c>
      <c r="B2146" s="15" t="s">
        <v>4305</v>
      </c>
      <c r="C2146" s="52">
        <v>136.30308099999999</v>
      </c>
      <c r="D2146" s="25">
        <v>0.12708333333333333</v>
      </c>
      <c r="E2146" s="53">
        <v>-22.558235</v>
      </c>
      <c r="F2146" s="53">
        <v>-47.367431000000003</v>
      </c>
      <c r="G2146" s="53">
        <v>-23.087823</v>
      </c>
      <c r="H2146" s="53">
        <v>-47.019677999999999</v>
      </c>
      <c r="I2146" s="53">
        <v>-23.383703000000001</v>
      </c>
      <c r="J2146" s="53">
        <v>-46.862200999999999</v>
      </c>
      <c r="L2146" s="61" t="str">
        <f t="shared" si="34"/>
        <v>Cliente37-Cliente35</v>
      </c>
      <c r="M2146">
        <v>136.30308099999999</v>
      </c>
    </row>
    <row r="2147" spans="1:13" x14ac:dyDescent="0.25">
      <c r="A2147" s="15" t="s">
        <v>4307</v>
      </c>
      <c r="B2147" s="15" t="s">
        <v>4306</v>
      </c>
      <c r="C2147" s="54">
        <v>2.5774539999999999</v>
      </c>
      <c r="D2147" s="26">
        <v>6.2499999999999995E-3</v>
      </c>
      <c r="E2147" s="55">
        <v>-22.02054</v>
      </c>
      <c r="F2147" s="55">
        <v>-47.886422000000003</v>
      </c>
      <c r="G2147" s="55">
        <v>-22.031632999999999</v>
      </c>
      <c r="H2147" s="55">
        <v>-47.890320000000003</v>
      </c>
      <c r="I2147" s="55">
        <v>-22.034849000000001</v>
      </c>
      <c r="J2147" s="55">
        <v>-47.892632999999996</v>
      </c>
      <c r="L2147" s="61" t="str">
        <f t="shared" si="34"/>
        <v>Cliente37-Cliente36</v>
      </c>
      <c r="M2147">
        <v>2.5774539999999999</v>
      </c>
    </row>
    <row r="2148" spans="1:13" x14ac:dyDescent="0.25">
      <c r="A2148" s="15" t="s">
        <v>4307</v>
      </c>
      <c r="B2148" s="15" t="s">
        <v>4307</v>
      </c>
      <c r="C2148" s="52">
        <v>0</v>
      </c>
      <c r="D2148" s="25">
        <v>0</v>
      </c>
      <c r="E2148" s="53">
        <f>'1. Locais'!D41</f>
        <v>-22.02384</v>
      </c>
      <c r="F2148" s="53">
        <f>'1. Locais'!E41</f>
        <v>-47.880209999999998</v>
      </c>
      <c r="G2148" s="53">
        <f>'1. Locais'!D41</f>
        <v>-22.02384</v>
      </c>
      <c r="H2148" s="53">
        <f>'1. Locais'!E41</f>
        <v>-47.880209999999998</v>
      </c>
      <c r="I2148" s="53">
        <f>'1. Locais'!D41</f>
        <v>-22.02384</v>
      </c>
      <c r="J2148" s="53">
        <f>'1. Locais'!E41</f>
        <v>-47.880209999999998</v>
      </c>
      <c r="L2148" s="61" t="str">
        <f t="shared" si="34"/>
        <v>Cliente37-Cliente37</v>
      </c>
      <c r="M2148">
        <v>0</v>
      </c>
    </row>
    <row r="2149" spans="1:13" x14ac:dyDescent="0.25">
      <c r="A2149" s="15" t="s">
        <v>4307</v>
      </c>
      <c r="B2149" s="15" t="s">
        <v>4308</v>
      </c>
      <c r="C2149" s="54">
        <v>2.2114660000000002</v>
      </c>
      <c r="D2149" s="26">
        <v>4.8611111111111112E-3</v>
      </c>
      <c r="E2149" s="55">
        <v>-22.027073000000001</v>
      </c>
      <c r="F2149" s="55">
        <v>-47.872084000000001</v>
      </c>
      <c r="G2149" s="55">
        <v>-22.034991000000002</v>
      </c>
      <c r="H2149" s="55">
        <v>-47.871665999999998</v>
      </c>
      <c r="I2149" s="55">
        <v>-22.036481999999999</v>
      </c>
      <c r="J2149" s="55">
        <v>-47.861024999999998</v>
      </c>
      <c r="L2149" s="61" t="str">
        <f t="shared" si="34"/>
        <v>Cliente37-Cliente38</v>
      </c>
      <c r="M2149">
        <v>2.2114660000000002</v>
      </c>
    </row>
    <row r="2150" spans="1:13" x14ac:dyDescent="0.25">
      <c r="A2150" s="15" t="s">
        <v>4307</v>
      </c>
      <c r="B2150" s="15" t="s">
        <v>4309</v>
      </c>
      <c r="C2150" s="52">
        <v>206.578473</v>
      </c>
      <c r="D2150" s="25">
        <v>0.17361111111111113</v>
      </c>
      <c r="E2150" s="53">
        <v>-22.609076999999999</v>
      </c>
      <c r="F2150" s="53">
        <v>-47.359845999999997</v>
      </c>
      <c r="G2150" s="53">
        <v>-23.000485000000001</v>
      </c>
      <c r="H2150" s="53">
        <v>-46.781464</v>
      </c>
      <c r="I2150" s="53">
        <v>-23.164242000000002</v>
      </c>
      <c r="J2150" s="53">
        <v>-46.227277000000001</v>
      </c>
      <c r="L2150" s="61" t="str">
        <f t="shared" si="34"/>
        <v>Cliente37-Cliente39</v>
      </c>
      <c r="M2150">
        <v>206.578473</v>
      </c>
    </row>
    <row r="2151" spans="1:13" x14ac:dyDescent="0.25">
      <c r="A2151" s="15" t="s">
        <v>4307</v>
      </c>
      <c r="B2151" s="15" t="s">
        <v>4310</v>
      </c>
      <c r="C2151" s="54">
        <v>208.139983</v>
      </c>
      <c r="D2151" s="26">
        <v>0.17708333333333334</v>
      </c>
      <c r="E2151" s="55">
        <v>-22.612594999999999</v>
      </c>
      <c r="F2151" s="55">
        <v>-47.353957999999999</v>
      </c>
      <c r="G2151" s="55">
        <v>-23.005476000000002</v>
      </c>
      <c r="H2151" s="55">
        <v>-46.768071999999997</v>
      </c>
      <c r="I2151" s="55">
        <v>-23.181325000000001</v>
      </c>
      <c r="J2151" s="55">
        <v>-46.206194000000004</v>
      </c>
      <c r="L2151" s="61" t="str">
        <f t="shared" si="34"/>
        <v>Cliente37-Cliente40</v>
      </c>
      <c r="M2151">
        <v>208.139983</v>
      </c>
    </row>
    <row r="2152" spans="1:13" x14ac:dyDescent="0.25">
      <c r="A2152" s="15" t="s">
        <v>4307</v>
      </c>
      <c r="B2152" s="15" t="s">
        <v>4311</v>
      </c>
      <c r="C2152" s="52">
        <v>197.43373099999999</v>
      </c>
      <c r="D2152" s="25">
        <v>0.1673611111111111</v>
      </c>
      <c r="E2152" s="53">
        <v>-22.611726000000001</v>
      </c>
      <c r="F2152" s="53">
        <v>-47.355148</v>
      </c>
      <c r="G2152" s="53">
        <v>-23.004802000000002</v>
      </c>
      <c r="H2152" s="53">
        <v>-46.769443000000003</v>
      </c>
      <c r="I2152" s="53">
        <v>-23.170137</v>
      </c>
      <c r="J2152" s="53">
        <v>-46.220036</v>
      </c>
      <c r="L2152" s="61" t="str">
        <f t="shared" si="34"/>
        <v>Cliente37-Cliente41</v>
      </c>
      <c r="M2152">
        <v>197.43373099999999</v>
      </c>
    </row>
    <row r="2153" spans="1:13" x14ac:dyDescent="0.25">
      <c r="A2153" s="15" t="s">
        <v>4307</v>
      </c>
      <c r="B2153" s="15" t="s">
        <v>4312</v>
      </c>
      <c r="C2153" s="54">
        <v>194.14604700000001</v>
      </c>
      <c r="D2153" s="26">
        <v>0.16041666666666668</v>
      </c>
      <c r="E2153" s="55">
        <v>-22.560168000000001</v>
      </c>
      <c r="F2153" s="55">
        <v>-47.366624999999999</v>
      </c>
      <c r="G2153" s="55">
        <v>-22.945516000000001</v>
      </c>
      <c r="H2153" s="55">
        <v>-46.872473999999997</v>
      </c>
      <c r="I2153" s="55">
        <v>-23.181813999999999</v>
      </c>
      <c r="J2153" s="55">
        <v>-46.303246999999999</v>
      </c>
      <c r="L2153" s="61" t="str">
        <f t="shared" si="34"/>
        <v>Cliente37-Cliente42</v>
      </c>
      <c r="M2153">
        <v>194.14604700000001</v>
      </c>
    </row>
    <row r="2154" spans="1:13" x14ac:dyDescent="0.25">
      <c r="A2154" s="15" t="s">
        <v>4307</v>
      </c>
      <c r="B2154" s="15" t="s">
        <v>4313</v>
      </c>
      <c r="C2154" s="52">
        <v>212.82016200000001</v>
      </c>
      <c r="D2154" s="25">
        <v>0.17916666666666667</v>
      </c>
      <c r="E2154" s="53">
        <v>-22.640955000000002</v>
      </c>
      <c r="F2154" s="53">
        <v>-47.328392999999998</v>
      </c>
      <c r="G2154" s="53">
        <v>-23.027965999999999</v>
      </c>
      <c r="H2154" s="53">
        <v>-46.749415999999997</v>
      </c>
      <c r="I2154" s="53">
        <v>-23.210086</v>
      </c>
      <c r="J2154" s="53">
        <v>-46.156601000000002</v>
      </c>
      <c r="L2154" s="61" t="str">
        <f t="shared" si="34"/>
        <v>Cliente37-Cliente43</v>
      </c>
      <c r="M2154">
        <v>212.82016200000001</v>
      </c>
    </row>
    <row r="2155" spans="1:13" x14ac:dyDescent="0.25">
      <c r="A2155" s="15" t="s">
        <v>4307</v>
      </c>
      <c r="B2155" s="15" t="s">
        <v>4314</v>
      </c>
      <c r="C2155" s="54">
        <v>134.112742</v>
      </c>
      <c r="D2155" s="26">
        <v>0.12083333333333333</v>
      </c>
      <c r="E2155" s="55">
        <v>-22.326198999999999</v>
      </c>
      <c r="F2155" s="55">
        <v>-47.656830999999997</v>
      </c>
      <c r="G2155" s="55">
        <v>-22.729199999999999</v>
      </c>
      <c r="H2155" s="55">
        <v>-47.603695999999999</v>
      </c>
      <c r="I2155" s="55">
        <v>-23.335849</v>
      </c>
      <c r="J2155" s="55">
        <v>-47.324257000000003</v>
      </c>
      <c r="L2155" s="61" t="str">
        <f t="shared" si="34"/>
        <v>Cliente37-Cliente44</v>
      </c>
      <c r="M2155">
        <v>134.112742</v>
      </c>
    </row>
    <row r="2156" spans="1:13" x14ac:dyDescent="0.25">
      <c r="A2156" s="15" t="s">
        <v>4307</v>
      </c>
      <c r="B2156" s="15" t="s">
        <v>4315</v>
      </c>
      <c r="C2156" s="52">
        <v>138.40580600000001</v>
      </c>
      <c r="D2156" s="25">
        <v>0.12986111111111112</v>
      </c>
      <c r="E2156" s="53">
        <v>-22.345435999999999</v>
      </c>
      <c r="F2156" s="53">
        <v>-47.651631000000002</v>
      </c>
      <c r="G2156" s="53">
        <v>-22.815107999999999</v>
      </c>
      <c r="H2156" s="53">
        <v>-47.575792999999997</v>
      </c>
      <c r="I2156" s="53">
        <v>-23.343387</v>
      </c>
      <c r="J2156" s="53">
        <v>-47.530664999999999</v>
      </c>
      <c r="L2156" s="61" t="str">
        <f t="shared" si="34"/>
        <v>Cliente37-Cliente45</v>
      </c>
      <c r="M2156">
        <v>138.40580600000001</v>
      </c>
    </row>
    <row r="2157" spans="1:13" x14ac:dyDescent="0.25">
      <c r="A2157" s="15" t="s">
        <v>4307</v>
      </c>
      <c r="B2157" s="15" t="s">
        <v>4316</v>
      </c>
      <c r="C2157" s="54">
        <v>122.88640100000001</v>
      </c>
      <c r="D2157" s="26">
        <v>0.11388888888888889</v>
      </c>
      <c r="E2157" s="55">
        <v>-22.310952</v>
      </c>
      <c r="F2157" s="55">
        <v>-47.667307000000001</v>
      </c>
      <c r="G2157" s="55">
        <v>-22.691856999999999</v>
      </c>
      <c r="H2157" s="55">
        <v>-47.600498000000002</v>
      </c>
      <c r="I2157" s="55">
        <v>-23.140557999999999</v>
      </c>
      <c r="J2157" s="55">
        <v>-47.356068</v>
      </c>
      <c r="L2157" s="61" t="str">
        <f t="shared" si="34"/>
        <v>Cliente37-Cliente46</v>
      </c>
      <c r="M2157">
        <v>122.88640100000001</v>
      </c>
    </row>
    <row r="2158" spans="1:13" x14ac:dyDescent="0.25">
      <c r="A2158" s="15" t="s">
        <v>4307</v>
      </c>
      <c r="B2158" s="15" t="s">
        <v>4317</v>
      </c>
      <c r="C2158" s="52">
        <v>62.095641999999998</v>
      </c>
      <c r="D2158" s="25">
        <v>5.7638888888888885E-2</v>
      </c>
      <c r="E2158" s="53">
        <v>-21.984572</v>
      </c>
      <c r="F2158" s="53">
        <v>-47.887027000000003</v>
      </c>
      <c r="G2158" s="53">
        <v>-21.604254999999998</v>
      </c>
      <c r="H2158" s="53">
        <v>-47.954715999999998</v>
      </c>
      <c r="I2158" s="53">
        <v>-21.212372999999999</v>
      </c>
      <c r="J2158" s="53">
        <v>-47.771399000000002</v>
      </c>
      <c r="L2158" s="61" t="str">
        <f t="shared" si="34"/>
        <v>Cliente37-Cliente47</v>
      </c>
      <c r="M2158">
        <v>62.095641999999998</v>
      </c>
    </row>
    <row r="2159" spans="1:13" x14ac:dyDescent="0.25">
      <c r="A2159" s="15" t="s">
        <v>4307</v>
      </c>
      <c r="B2159" s="15" t="s">
        <v>4318</v>
      </c>
      <c r="C2159" s="54">
        <v>68.603278000000003</v>
      </c>
      <c r="D2159" s="26">
        <v>6.5277777777777782E-2</v>
      </c>
      <c r="E2159" s="55">
        <v>-21.841038000000001</v>
      </c>
      <c r="F2159" s="55">
        <v>-47.910957000000003</v>
      </c>
      <c r="G2159" s="55">
        <v>-21.269055000000002</v>
      </c>
      <c r="H2159" s="55">
        <v>-47.796778000000003</v>
      </c>
      <c r="I2159" s="55">
        <v>-21.149039999999999</v>
      </c>
      <c r="J2159" s="55">
        <v>-47.758808999999999</v>
      </c>
      <c r="L2159" s="61" t="str">
        <f t="shared" si="34"/>
        <v>Cliente37-Cliente48</v>
      </c>
      <c r="M2159">
        <v>68.603278000000003</v>
      </c>
    </row>
    <row r="2160" spans="1:13" x14ac:dyDescent="0.25">
      <c r="A2160" s="15" t="s">
        <v>4307</v>
      </c>
      <c r="B2160" s="15" t="s">
        <v>4319</v>
      </c>
      <c r="C2160" s="52">
        <v>64.125045</v>
      </c>
      <c r="D2160" s="25">
        <v>6.1111111111111116E-2</v>
      </c>
      <c r="E2160" s="53">
        <v>-21.964632999999999</v>
      </c>
      <c r="F2160" s="53">
        <v>-47.890925000000003</v>
      </c>
      <c r="G2160" s="53">
        <v>-21.597154</v>
      </c>
      <c r="H2160" s="53">
        <v>-47.954763</v>
      </c>
      <c r="I2160" s="53">
        <v>-21.211518000000002</v>
      </c>
      <c r="J2160" s="53">
        <v>-47.774952999999996</v>
      </c>
      <c r="L2160" s="61" t="str">
        <f t="shared" si="34"/>
        <v>Cliente37-Cliente49</v>
      </c>
      <c r="M2160">
        <v>64.125045</v>
      </c>
    </row>
    <row r="2161" spans="1:13" x14ac:dyDescent="0.25">
      <c r="A2161" s="15" t="s">
        <v>4307</v>
      </c>
      <c r="B2161" s="15" t="s">
        <v>4320</v>
      </c>
      <c r="C2161" s="54">
        <v>94.085153000000005</v>
      </c>
      <c r="D2161" s="26">
        <v>8.8888888888888892E-2</v>
      </c>
      <c r="E2161" s="55">
        <v>-22.064121</v>
      </c>
      <c r="F2161" s="55">
        <v>-48.102634000000002</v>
      </c>
      <c r="G2161" s="55">
        <v>-22.094197999999999</v>
      </c>
      <c r="H2161" s="55">
        <v>-48.451774999999998</v>
      </c>
      <c r="I2161" s="55">
        <v>-22.303045000000001</v>
      </c>
      <c r="J2161" s="55">
        <v>-48.583967999999999</v>
      </c>
      <c r="L2161" s="61" t="str">
        <f t="shared" si="34"/>
        <v>Cliente37-Cliente50</v>
      </c>
      <c r="M2161">
        <v>94.085153000000005</v>
      </c>
    </row>
    <row r="2162" spans="1:13" x14ac:dyDescent="0.25">
      <c r="A2162" s="15" t="s">
        <v>4307</v>
      </c>
      <c r="B2162" s="15" t="s">
        <v>4321</v>
      </c>
      <c r="C2162" s="52">
        <v>93.904332999999994</v>
      </c>
      <c r="D2162" s="25">
        <v>8.7500000000000008E-2</v>
      </c>
      <c r="E2162" s="53">
        <v>-22.063573000000002</v>
      </c>
      <c r="F2162" s="53">
        <v>-48.101835000000001</v>
      </c>
      <c r="G2162" s="53">
        <v>-22.092345000000002</v>
      </c>
      <c r="H2162" s="53">
        <v>-48.449891999999998</v>
      </c>
      <c r="I2162" s="53">
        <v>-22.302388000000001</v>
      </c>
      <c r="J2162" s="53">
        <v>-48.576504</v>
      </c>
      <c r="L2162" s="61" t="str">
        <f t="shared" si="34"/>
        <v>Cliente37-Cliente51</v>
      </c>
      <c r="M2162">
        <v>93.904332999999994</v>
      </c>
    </row>
    <row r="2163" spans="1:13" x14ac:dyDescent="0.25">
      <c r="A2163" s="15" t="s">
        <v>4308</v>
      </c>
      <c r="B2163" s="15" t="s">
        <v>4268</v>
      </c>
      <c r="C2163" s="54">
        <v>101.006624</v>
      </c>
      <c r="D2163" s="26">
        <v>9.0972222222222218E-2</v>
      </c>
      <c r="E2163" s="55">
        <v>-22.279879999999999</v>
      </c>
      <c r="F2163" s="55">
        <v>-47.683371999999999</v>
      </c>
      <c r="G2163" s="55">
        <v>-22.663865000000001</v>
      </c>
      <c r="H2163" s="55">
        <v>-47.618408000000002</v>
      </c>
      <c r="I2163" s="55">
        <v>-22.881844000000001</v>
      </c>
      <c r="J2163" s="55">
        <v>-47.524306000000003</v>
      </c>
      <c r="L2163" s="61" t="str">
        <f t="shared" si="34"/>
        <v>Cliente38-depósito A</v>
      </c>
      <c r="M2163">
        <v>101.006624</v>
      </c>
    </row>
    <row r="2164" spans="1:13" x14ac:dyDescent="0.25">
      <c r="A2164" s="15" t="s">
        <v>4308</v>
      </c>
      <c r="B2164" s="15" t="s">
        <v>4269</v>
      </c>
      <c r="C2164" s="52">
        <v>26.349311</v>
      </c>
      <c r="D2164" s="25">
        <v>2.1527777777777781E-2</v>
      </c>
      <c r="E2164" s="53">
        <v>-22.036805000000001</v>
      </c>
      <c r="F2164" s="53">
        <v>-47.859951000000002</v>
      </c>
      <c r="G2164" s="53">
        <v>-22.011768</v>
      </c>
      <c r="H2164" s="53">
        <v>-47.858113000000003</v>
      </c>
      <c r="I2164" s="53">
        <v>-21.882743000000001</v>
      </c>
      <c r="J2164" s="53">
        <v>-48.086500000000001</v>
      </c>
      <c r="L2164" s="61" t="str">
        <f t="shared" si="34"/>
        <v>Cliente38-depósito B</v>
      </c>
      <c r="M2164">
        <v>26.349311</v>
      </c>
    </row>
    <row r="2165" spans="1:13" x14ac:dyDescent="0.25">
      <c r="A2165" s="15" t="s">
        <v>4308</v>
      </c>
      <c r="B2165" s="15" t="s">
        <v>4270</v>
      </c>
      <c r="C2165" s="54">
        <v>171.96179799999999</v>
      </c>
      <c r="D2165" s="26">
        <v>0.14166666666666666</v>
      </c>
      <c r="E2165" s="55">
        <v>-22.559954000000001</v>
      </c>
      <c r="F2165" s="55">
        <v>-47.366698</v>
      </c>
      <c r="G2165" s="55">
        <v>-22.935604999999999</v>
      </c>
      <c r="H2165" s="55">
        <v>-46.894351999999998</v>
      </c>
      <c r="I2165" s="55">
        <v>-23.178538</v>
      </c>
      <c r="J2165" s="55">
        <v>-46.314894000000002</v>
      </c>
      <c r="L2165" s="61" t="str">
        <f t="shared" si="34"/>
        <v>Cliente38-depósito C</v>
      </c>
      <c r="M2165">
        <v>171.96179799999999</v>
      </c>
    </row>
    <row r="2166" spans="1:13" x14ac:dyDescent="0.25">
      <c r="A2166" s="15" t="s">
        <v>4308</v>
      </c>
      <c r="B2166" s="15" t="s">
        <v>4271</v>
      </c>
      <c r="C2166" s="52">
        <v>93.134452999999993</v>
      </c>
      <c r="D2166" s="25">
        <v>8.0555555555555561E-2</v>
      </c>
      <c r="E2166" s="53">
        <v>-22.294736</v>
      </c>
      <c r="F2166" s="53">
        <v>-47.675350000000002</v>
      </c>
      <c r="G2166" s="53">
        <v>-22.558235</v>
      </c>
      <c r="H2166" s="53">
        <v>-47.367431000000003</v>
      </c>
      <c r="I2166" s="53">
        <v>-22.835114000000001</v>
      </c>
      <c r="J2166" s="53">
        <v>-47.175074000000002</v>
      </c>
      <c r="L2166" s="61" t="str">
        <f t="shared" si="34"/>
        <v>Cliente38-Cliente1</v>
      </c>
      <c r="M2166">
        <v>93.134452999999993</v>
      </c>
    </row>
    <row r="2167" spans="1:13" x14ac:dyDescent="0.25">
      <c r="A2167" s="15" t="s">
        <v>4308</v>
      </c>
      <c r="B2167" s="15" t="s">
        <v>4272</v>
      </c>
      <c r="C2167" s="54">
        <v>86.690196</v>
      </c>
      <c r="D2167" s="26">
        <v>7.5694444444444439E-2</v>
      </c>
      <c r="E2167" s="55">
        <v>-22.279879999999999</v>
      </c>
      <c r="F2167" s="55">
        <v>-47.683371999999999</v>
      </c>
      <c r="G2167" s="55">
        <v>-22.507259000000001</v>
      </c>
      <c r="H2167" s="55">
        <v>-47.398502000000001</v>
      </c>
      <c r="I2167" s="55">
        <v>-22.773682000000001</v>
      </c>
      <c r="J2167" s="55">
        <v>-47.235911999999999</v>
      </c>
      <c r="L2167" s="61" t="str">
        <f t="shared" si="34"/>
        <v>Cliente38-Cliente2</v>
      </c>
      <c r="M2167">
        <v>86.690196</v>
      </c>
    </row>
    <row r="2168" spans="1:13" x14ac:dyDescent="0.25">
      <c r="A2168" s="15" t="s">
        <v>4308</v>
      </c>
      <c r="B2168" s="15" t="s">
        <v>4273</v>
      </c>
      <c r="C2168" s="52">
        <v>88.046653000000006</v>
      </c>
      <c r="D2168" s="25">
        <v>7.9861111111111105E-2</v>
      </c>
      <c r="E2168" s="53">
        <v>-22.313677999999999</v>
      </c>
      <c r="F2168" s="53">
        <v>-47.66301</v>
      </c>
      <c r="G2168" s="53">
        <v>-22.608211000000001</v>
      </c>
      <c r="H2168" s="53">
        <v>-47.360734000000001</v>
      </c>
      <c r="I2168" s="53">
        <v>-22.882034999999998</v>
      </c>
      <c r="J2168" s="53">
        <v>-47.116388999999998</v>
      </c>
      <c r="L2168" s="61" t="str">
        <f t="shared" si="34"/>
        <v>Cliente38-Cliente3</v>
      </c>
      <c r="M2168">
        <v>88.046653000000006</v>
      </c>
    </row>
    <row r="2169" spans="1:13" x14ac:dyDescent="0.25">
      <c r="A2169" s="15" t="s">
        <v>4308</v>
      </c>
      <c r="B2169" s="15" t="s">
        <v>4274</v>
      </c>
      <c r="C2169" s="54">
        <v>85.026781</v>
      </c>
      <c r="D2169" s="26">
        <v>7.3611111111111113E-2</v>
      </c>
      <c r="E2169" s="55">
        <v>-22.278562000000001</v>
      </c>
      <c r="F2169" s="55">
        <v>-47.685284000000003</v>
      </c>
      <c r="G2169" s="55">
        <v>-22.502590999999999</v>
      </c>
      <c r="H2169" s="55">
        <v>-47.401133000000002</v>
      </c>
      <c r="I2169" s="55">
        <v>-22.753466</v>
      </c>
      <c r="J2169" s="55">
        <v>-47.258302999999998</v>
      </c>
      <c r="L2169" s="61" t="str">
        <f t="shared" si="34"/>
        <v>Cliente38-Cliente4</v>
      </c>
      <c r="M2169">
        <v>85.026781</v>
      </c>
    </row>
    <row r="2170" spans="1:13" x14ac:dyDescent="0.25">
      <c r="A2170" s="15" t="s">
        <v>4308</v>
      </c>
      <c r="B2170" s="15" t="s">
        <v>4275</v>
      </c>
      <c r="C2170" s="52">
        <v>85.119986999999995</v>
      </c>
      <c r="D2170" s="25">
        <v>7.3611111111111113E-2</v>
      </c>
      <c r="E2170" s="53">
        <v>-22.278013000000001</v>
      </c>
      <c r="F2170" s="53">
        <v>-47.687629999999999</v>
      </c>
      <c r="G2170" s="53">
        <v>-22.501626000000002</v>
      </c>
      <c r="H2170" s="53">
        <v>-47.402728000000003</v>
      </c>
      <c r="I2170" s="53">
        <v>-22.752471</v>
      </c>
      <c r="J2170" s="53">
        <v>-47.259372999999997</v>
      </c>
      <c r="L2170" s="61" t="str">
        <f t="shared" si="34"/>
        <v>Cliente38-Cliente5</v>
      </c>
      <c r="M2170">
        <v>85.119986999999995</v>
      </c>
    </row>
    <row r="2171" spans="1:13" x14ac:dyDescent="0.25">
      <c r="A2171" s="15" t="s">
        <v>4308</v>
      </c>
      <c r="B2171" s="15" t="s">
        <v>4276</v>
      </c>
      <c r="C2171" s="54">
        <v>93.825418999999997</v>
      </c>
      <c r="D2171" s="26">
        <v>8.0555555555555561E-2</v>
      </c>
      <c r="E2171" s="55">
        <v>-22.294736</v>
      </c>
      <c r="F2171" s="55">
        <v>-47.675350000000002</v>
      </c>
      <c r="G2171" s="55">
        <v>-22.558235</v>
      </c>
      <c r="H2171" s="55">
        <v>-47.367431000000003</v>
      </c>
      <c r="I2171" s="55">
        <v>-22.835114000000001</v>
      </c>
      <c r="J2171" s="55">
        <v>-47.175074000000002</v>
      </c>
      <c r="L2171" s="61" t="str">
        <f t="shared" si="34"/>
        <v>Cliente38-Cliente6</v>
      </c>
      <c r="M2171">
        <v>93.825418999999997</v>
      </c>
    </row>
    <row r="2172" spans="1:13" x14ac:dyDescent="0.25">
      <c r="A2172" s="15" t="s">
        <v>4308</v>
      </c>
      <c r="B2172" s="15" t="s">
        <v>4277</v>
      </c>
      <c r="C2172" s="52">
        <v>87.299762999999999</v>
      </c>
      <c r="D2172" s="25">
        <v>7.4999999999999997E-2</v>
      </c>
      <c r="E2172" s="53">
        <v>-22.288361999999999</v>
      </c>
      <c r="F2172" s="53">
        <v>-47.677266000000003</v>
      </c>
      <c r="G2172" s="53">
        <v>-22.519819999999999</v>
      </c>
      <c r="H2172" s="53">
        <v>-47.393304000000001</v>
      </c>
      <c r="I2172" s="53">
        <v>-22.793851</v>
      </c>
      <c r="J2172" s="53">
        <v>-47.225557000000002</v>
      </c>
      <c r="L2172" s="61" t="str">
        <f t="shared" si="34"/>
        <v>Cliente38-Cliente7</v>
      </c>
      <c r="M2172">
        <v>87.299762999999999</v>
      </c>
    </row>
    <row r="2173" spans="1:13" x14ac:dyDescent="0.25">
      <c r="A2173" s="15" t="s">
        <v>4308</v>
      </c>
      <c r="B2173" s="15" t="s">
        <v>4278</v>
      </c>
      <c r="C2173" s="54">
        <v>94.863732999999996</v>
      </c>
      <c r="D2173" s="26">
        <v>8.1944444444444445E-2</v>
      </c>
      <c r="E2173" s="55">
        <v>-22.294736</v>
      </c>
      <c r="F2173" s="55">
        <v>-47.675350000000002</v>
      </c>
      <c r="G2173" s="55">
        <v>-22.558235</v>
      </c>
      <c r="H2173" s="55">
        <v>-47.367431000000003</v>
      </c>
      <c r="I2173" s="55">
        <v>-22.835114000000001</v>
      </c>
      <c r="J2173" s="55">
        <v>-47.175074000000002</v>
      </c>
      <c r="L2173" s="61" t="str">
        <f t="shared" si="34"/>
        <v>Cliente38-Cliente8</v>
      </c>
      <c r="M2173">
        <v>94.863732999999996</v>
      </c>
    </row>
    <row r="2174" spans="1:13" x14ac:dyDescent="0.25">
      <c r="A2174" s="15" t="s">
        <v>4308</v>
      </c>
      <c r="B2174" s="15" t="s">
        <v>4279</v>
      </c>
      <c r="C2174" s="52">
        <v>66.673916000000006</v>
      </c>
      <c r="D2174" s="25">
        <v>5.8333333333333327E-2</v>
      </c>
      <c r="E2174" s="53">
        <v>-22.268332999999998</v>
      </c>
      <c r="F2174" s="53">
        <v>-47.704065999999997</v>
      </c>
      <c r="G2174" s="53">
        <v>-22.392634999999999</v>
      </c>
      <c r="H2174" s="53">
        <v>-47.600347999999997</v>
      </c>
      <c r="I2174" s="53">
        <v>-22.563873000000001</v>
      </c>
      <c r="J2174" s="53">
        <v>-47.365864000000002</v>
      </c>
      <c r="L2174" s="61" t="str">
        <f t="shared" si="34"/>
        <v>Cliente38-Cliente9</v>
      </c>
      <c r="M2174">
        <v>66.673916000000006</v>
      </c>
    </row>
    <row r="2175" spans="1:13" x14ac:dyDescent="0.25">
      <c r="A2175" s="15" t="s">
        <v>4308</v>
      </c>
      <c r="B2175" s="15" t="s">
        <v>4280</v>
      </c>
      <c r="C2175" s="54">
        <v>140.719798</v>
      </c>
      <c r="D2175" s="26">
        <v>0.12152777777777778</v>
      </c>
      <c r="E2175" s="55">
        <v>-22.462315</v>
      </c>
      <c r="F2175" s="55">
        <v>-47.525795000000002</v>
      </c>
      <c r="G2175" s="55">
        <v>-22.912201</v>
      </c>
      <c r="H2175" s="55">
        <v>-47.136541000000001</v>
      </c>
      <c r="I2175" s="55">
        <v>-23.312888999999998</v>
      </c>
      <c r="J2175" s="55">
        <v>-46.825960000000002</v>
      </c>
      <c r="L2175" s="61" t="str">
        <f t="shared" si="34"/>
        <v>Cliente38-Cliente10</v>
      </c>
      <c r="M2175">
        <v>140.719798</v>
      </c>
    </row>
    <row r="2176" spans="1:13" x14ac:dyDescent="0.25">
      <c r="A2176" s="15" t="s">
        <v>4308</v>
      </c>
      <c r="B2176" s="15" t="s">
        <v>4281</v>
      </c>
      <c r="C2176" s="52">
        <v>58.926640999999996</v>
      </c>
      <c r="D2176" s="25">
        <v>5.0694444444444452E-2</v>
      </c>
      <c r="E2176" s="53">
        <v>-22.246392</v>
      </c>
      <c r="F2176" s="53">
        <v>-47.707006</v>
      </c>
      <c r="G2176" s="53">
        <v>-22.338709000000001</v>
      </c>
      <c r="H2176" s="53">
        <v>-47.651142999999998</v>
      </c>
      <c r="I2176" s="53">
        <v>-22.663865000000001</v>
      </c>
      <c r="J2176" s="53">
        <v>-47.618408000000002</v>
      </c>
      <c r="L2176" s="61" t="str">
        <f t="shared" si="34"/>
        <v>Cliente38-Cliente11</v>
      </c>
      <c r="M2176">
        <v>58.926640999999996</v>
      </c>
    </row>
    <row r="2177" spans="1:13" x14ac:dyDescent="0.25">
      <c r="A2177" s="15" t="s">
        <v>4308</v>
      </c>
      <c r="B2177" s="15" t="s">
        <v>4282</v>
      </c>
      <c r="C2177" s="54">
        <v>171.00301999999999</v>
      </c>
      <c r="D2177" s="26">
        <v>0.14166666666666666</v>
      </c>
      <c r="E2177" s="55">
        <v>-22.561537999999999</v>
      </c>
      <c r="F2177" s="55">
        <v>-47.366228999999997</v>
      </c>
      <c r="G2177" s="55">
        <v>-22.936585999999998</v>
      </c>
      <c r="H2177" s="55">
        <v>-46.882278999999997</v>
      </c>
      <c r="I2177" s="55">
        <v>-23.182203999999999</v>
      </c>
      <c r="J2177" s="55">
        <v>-46.308517999999999</v>
      </c>
      <c r="L2177" s="61" t="str">
        <f t="shared" si="34"/>
        <v>Cliente38-Cliente12</v>
      </c>
      <c r="M2177">
        <v>171.00301999999999</v>
      </c>
    </row>
    <row r="2178" spans="1:13" x14ac:dyDescent="0.25">
      <c r="A2178" s="15" t="s">
        <v>4308</v>
      </c>
      <c r="B2178" s="15" t="s">
        <v>4283</v>
      </c>
      <c r="C2178" s="52">
        <v>178.88699700000001</v>
      </c>
      <c r="D2178" s="25">
        <v>0.14722222222222223</v>
      </c>
      <c r="E2178" s="53">
        <v>-22.590385000000001</v>
      </c>
      <c r="F2178" s="53">
        <v>-47.367570999999998</v>
      </c>
      <c r="G2178" s="53">
        <v>-22.965029000000001</v>
      </c>
      <c r="H2178" s="53">
        <v>-46.843806999999998</v>
      </c>
      <c r="I2178" s="53">
        <v>-23.172713000000002</v>
      </c>
      <c r="J2178" s="53">
        <v>-46.262489000000002</v>
      </c>
      <c r="L2178" s="61" t="str">
        <f t="shared" si="34"/>
        <v>Cliente38-Cliente13</v>
      </c>
      <c r="M2178">
        <v>178.88699700000001</v>
      </c>
    </row>
    <row r="2179" spans="1:13" x14ac:dyDescent="0.25">
      <c r="A2179" s="15" t="s">
        <v>4308</v>
      </c>
      <c r="B2179" s="15" t="s">
        <v>4284</v>
      </c>
      <c r="C2179" s="54">
        <v>176.949557</v>
      </c>
      <c r="D2179" s="26">
        <v>0.14444444444444446</v>
      </c>
      <c r="E2179" s="55">
        <v>-22.558924000000001</v>
      </c>
      <c r="F2179" s="55">
        <v>-47.367097000000001</v>
      </c>
      <c r="G2179" s="55">
        <v>-22.933971</v>
      </c>
      <c r="H2179" s="55">
        <v>-46.898966000000001</v>
      </c>
      <c r="I2179" s="55">
        <v>-23.179977999999998</v>
      </c>
      <c r="J2179" s="55">
        <v>-46.321463999999999</v>
      </c>
      <c r="L2179" s="61" t="str">
        <f t="shared" si="34"/>
        <v>Cliente38-Cliente14</v>
      </c>
      <c r="M2179">
        <v>176.949557</v>
      </c>
    </row>
    <row r="2180" spans="1:13" x14ac:dyDescent="0.25">
      <c r="A2180" s="15" t="s">
        <v>4308</v>
      </c>
      <c r="B2180" s="15" t="s">
        <v>4285</v>
      </c>
      <c r="C2180" s="52">
        <v>180.682143</v>
      </c>
      <c r="D2180" s="25">
        <v>0.15277777777777776</v>
      </c>
      <c r="E2180" s="53">
        <v>-22.631270000000001</v>
      </c>
      <c r="F2180" s="53">
        <v>-47.336255999999999</v>
      </c>
      <c r="G2180" s="53">
        <v>-23.006118000000001</v>
      </c>
      <c r="H2180" s="53">
        <v>-46.767358999999999</v>
      </c>
      <c r="I2180" s="53">
        <v>-23.181325000000001</v>
      </c>
      <c r="J2180" s="53">
        <v>-46.206194000000004</v>
      </c>
      <c r="L2180" s="61" t="str">
        <f t="shared" si="34"/>
        <v>Cliente38-Cliente15</v>
      </c>
      <c r="M2180">
        <v>180.682143</v>
      </c>
    </row>
    <row r="2181" spans="1:13" x14ac:dyDescent="0.25">
      <c r="A2181" s="15" t="s">
        <v>4308</v>
      </c>
      <c r="B2181" s="15" t="s">
        <v>4286</v>
      </c>
      <c r="C2181" s="54">
        <v>178.25878900000001</v>
      </c>
      <c r="D2181" s="26">
        <v>0.14861111111111111</v>
      </c>
      <c r="E2181" s="55">
        <v>-22.590385000000001</v>
      </c>
      <c r="F2181" s="55">
        <v>-47.367570999999998</v>
      </c>
      <c r="G2181" s="55">
        <v>-22.965029000000001</v>
      </c>
      <c r="H2181" s="55">
        <v>-46.843806999999998</v>
      </c>
      <c r="I2181" s="55">
        <v>-23.172713000000002</v>
      </c>
      <c r="J2181" s="55">
        <v>-46.262489000000002</v>
      </c>
      <c r="L2181" s="61" t="str">
        <f t="shared" si="34"/>
        <v>Cliente38-Cliente16</v>
      </c>
      <c r="M2181">
        <v>178.25878900000001</v>
      </c>
    </row>
    <row r="2182" spans="1:13" x14ac:dyDescent="0.25">
      <c r="A2182" s="15" t="s">
        <v>4308</v>
      </c>
      <c r="B2182" s="15" t="s">
        <v>4287</v>
      </c>
      <c r="C2182" s="52">
        <v>179.314502</v>
      </c>
      <c r="D2182" s="25">
        <v>0.14722222222222223</v>
      </c>
      <c r="E2182" s="53">
        <v>-22.590385000000001</v>
      </c>
      <c r="F2182" s="53">
        <v>-47.367570999999998</v>
      </c>
      <c r="G2182" s="53">
        <v>-22.965029000000001</v>
      </c>
      <c r="H2182" s="53">
        <v>-46.843806999999998</v>
      </c>
      <c r="I2182" s="53">
        <v>-23.172713000000002</v>
      </c>
      <c r="J2182" s="53">
        <v>-46.262489000000002</v>
      </c>
      <c r="L2182" s="61" t="str">
        <f t="shared" si="34"/>
        <v>Cliente38-Cliente17</v>
      </c>
      <c r="M2182">
        <v>179.314502</v>
      </c>
    </row>
    <row r="2183" spans="1:13" x14ac:dyDescent="0.25">
      <c r="A2183" s="15" t="s">
        <v>4308</v>
      </c>
      <c r="B2183" s="15" t="s">
        <v>4288</v>
      </c>
      <c r="C2183" s="54">
        <v>184.14256800000001</v>
      </c>
      <c r="D2183" s="26">
        <v>0.15208333333333332</v>
      </c>
      <c r="E2183" s="55">
        <v>-22.563873000000001</v>
      </c>
      <c r="F2183" s="55">
        <v>-47.365864000000002</v>
      </c>
      <c r="G2183" s="55">
        <v>-22.952708999999999</v>
      </c>
      <c r="H2183" s="55">
        <v>-46.861837999999999</v>
      </c>
      <c r="I2183" s="55">
        <v>-23.182459999999999</v>
      </c>
      <c r="J2183" s="55">
        <v>-46.293764000000003</v>
      </c>
      <c r="L2183" s="61" t="str">
        <f t="shared" si="34"/>
        <v>Cliente38-Cliente18</v>
      </c>
      <c r="M2183">
        <v>184.14256800000001</v>
      </c>
    </row>
    <row r="2184" spans="1:13" x14ac:dyDescent="0.25">
      <c r="A2184" s="15" t="s">
        <v>4308</v>
      </c>
      <c r="B2184" s="15" t="s">
        <v>4289</v>
      </c>
      <c r="C2184" s="52">
        <v>137.49984499999999</v>
      </c>
      <c r="D2184" s="25">
        <v>0.1125</v>
      </c>
      <c r="E2184" s="53">
        <v>-22.456520999999999</v>
      </c>
      <c r="F2184" s="53">
        <v>-47.549176000000003</v>
      </c>
      <c r="G2184" s="53">
        <v>-22.864706999999999</v>
      </c>
      <c r="H2184" s="53">
        <v>-47.135399999999997</v>
      </c>
      <c r="I2184" s="53">
        <v>-23.268625</v>
      </c>
      <c r="J2184" s="53">
        <v>-46.857863999999999</v>
      </c>
      <c r="L2184" s="61" t="str">
        <f t="shared" si="34"/>
        <v>Cliente38-Cliente19</v>
      </c>
      <c r="M2184">
        <v>137.49984499999999</v>
      </c>
    </row>
    <row r="2185" spans="1:13" x14ac:dyDescent="0.25">
      <c r="A2185" s="15" t="s">
        <v>4308</v>
      </c>
      <c r="B2185" s="15" t="s">
        <v>4290</v>
      </c>
      <c r="C2185" s="54">
        <v>139.07191800000001</v>
      </c>
      <c r="D2185" s="26">
        <v>0.11597222222222221</v>
      </c>
      <c r="E2185" s="55">
        <v>-22.461872</v>
      </c>
      <c r="F2185" s="55">
        <v>-47.535277000000001</v>
      </c>
      <c r="G2185" s="55">
        <v>-22.883666999999999</v>
      </c>
      <c r="H2185" s="55">
        <v>-47.131027000000003</v>
      </c>
      <c r="I2185" s="55">
        <v>-23.295711000000001</v>
      </c>
      <c r="J2185" s="55">
        <v>-46.841707999999997</v>
      </c>
      <c r="L2185" s="61" t="str">
        <f t="shared" si="34"/>
        <v>Cliente38-Cliente20</v>
      </c>
      <c r="M2185">
        <v>139.07191800000001</v>
      </c>
    </row>
    <row r="2186" spans="1:13" x14ac:dyDescent="0.25">
      <c r="A2186" s="15" t="s">
        <v>4308</v>
      </c>
      <c r="B2186" s="15" t="s">
        <v>4291</v>
      </c>
      <c r="C2186" s="52">
        <v>138.673618</v>
      </c>
      <c r="D2186" s="25">
        <v>0.11666666666666665</v>
      </c>
      <c r="E2186" s="53">
        <v>-22.462834999999998</v>
      </c>
      <c r="F2186" s="53">
        <v>-47.523733</v>
      </c>
      <c r="G2186" s="53">
        <v>-22.919438</v>
      </c>
      <c r="H2186" s="53">
        <v>-47.134283000000003</v>
      </c>
      <c r="I2186" s="53">
        <v>-23.315722000000001</v>
      </c>
      <c r="J2186" s="53">
        <v>-46.823979999999999</v>
      </c>
      <c r="L2186" s="61" t="str">
        <f t="shared" si="34"/>
        <v>Cliente38-Cliente21</v>
      </c>
      <c r="M2186">
        <v>138.673618</v>
      </c>
    </row>
    <row r="2187" spans="1:13" x14ac:dyDescent="0.25">
      <c r="A2187" s="15" t="s">
        <v>4308</v>
      </c>
      <c r="B2187" s="15" t="s">
        <v>4292</v>
      </c>
      <c r="C2187" s="54">
        <v>137.79686100000001</v>
      </c>
      <c r="D2187" s="26">
        <v>0.11527777777777777</v>
      </c>
      <c r="E2187" s="55">
        <v>-22.461925000000001</v>
      </c>
      <c r="F2187" s="55">
        <v>-47.529328</v>
      </c>
      <c r="G2187" s="55">
        <v>-22.89827</v>
      </c>
      <c r="H2187" s="55">
        <v>-47.136758999999998</v>
      </c>
      <c r="I2187" s="55">
        <v>-23.307891000000001</v>
      </c>
      <c r="J2187" s="55">
        <v>-46.835746999999998</v>
      </c>
      <c r="L2187" s="61" t="str">
        <f t="shared" si="34"/>
        <v>Cliente38-Cliente22</v>
      </c>
      <c r="M2187">
        <v>137.79686100000001</v>
      </c>
    </row>
    <row r="2188" spans="1:13" x14ac:dyDescent="0.25">
      <c r="A2188" s="15" t="s">
        <v>4308</v>
      </c>
      <c r="B2188" s="15" t="s">
        <v>4293</v>
      </c>
      <c r="C2188" s="52">
        <v>146.94719599999999</v>
      </c>
      <c r="D2188" s="25">
        <v>0.12291666666666667</v>
      </c>
      <c r="E2188" s="53">
        <v>-22.504286</v>
      </c>
      <c r="F2188" s="53">
        <v>-47.399718999999997</v>
      </c>
      <c r="G2188" s="53">
        <v>-22.97147</v>
      </c>
      <c r="H2188" s="53">
        <v>-47.116241000000002</v>
      </c>
      <c r="I2188" s="53">
        <v>-23.360911000000002</v>
      </c>
      <c r="J2188" s="53">
        <v>-46.784500000000001</v>
      </c>
      <c r="L2188" s="61" t="str">
        <f t="shared" si="34"/>
        <v>Cliente38-Cliente23</v>
      </c>
      <c r="M2188">
        <v>146.94719599999999</v>
      </c>
    </row>
    <row r="2189" spans="1:13" x14ac:dyDescent="0.25">
      <c r="A2189" s="15" t="s">
        <v>4308</v>
      </c>
      <c r="B2189" s="15" t="s">
        <v>4294</v>
      </c>
      <c r="C2189" s="54">
        <v>147.926479</v>
      </c>
      <c r="D2189" s="26">
        <v>0.125</v>
      </c>
      <c r="E2189" s="55">
        <v>-22.505400000000002</v>
      </c>
      <c r="F2189" s="55">
        <v>-47.399203</v>
      </c>
      <c r="G2189" s="55">
        <v>-22.978552000000001</v>
      </c>
      <c r="H2189" s="55">
        <v>-47.112279999999998</v>
      </c>
      <c r="I2189" s="55">
        <v>-23.373138000000001</v>
      </c>
      <c r="J2189" s="55">
        <v>-46.778409000000003</v>
      </c>
      <c r="L2189" s="61" t="str">
        <f t="shared" si="34"/>
        <v>Cliente38-Cliente24</v>
      </c>
      <c r="M2189">
        <v>147.926479</v>
      </c>
    </row>
    <row r="2190" spans="1:13" x14ac:dyDescent="0.25">
      <c r="A2190" s="15" t="s">
        <v>4308</v>
      </c>
      <c r="B2190" s="15" t="s">
        <v>4295</v>
      </c>
      <c r="C2190" s="52">
        <v>150.74689000000001</v>
      </c>
      <c r="D2190" s="25">
        <v>0.1277777777777778</v>
      </c>
      <c r="E2190" s="53">
        <v>-22.506806999999998</v>
      </c>
      <c r="F2190" s="53">
        <v>-47.398646999999997</v>
      </c>
      <c r="G2190" s="53">
        <v>-22.990967999999999</v>
      </c>
      <c r="H2190" s="53">
        <v>-47.111179</v>
      </c>
      <c r="I2190" s="53">
        <v>-23.381491</v>
      </c>
      <c r="J2190" s="53">
        <v>-46.770012999999999</v>
      </c>
      <c r="L2190" s="61" t="str">
        <f t="shared" si="34"/>
        <v>Cliente38-Cliente25</v>
      </c>
      <c r="M2190">
        <v>150.74689000000001</v>
      </c>
    </row>
    <row r="2191" spans="1:13" x14ac:dyDescent="0.25">
      <c r="A2191" s="15" t="s">
        <v>4308</v>
      </c>
      <c r="B2191" s="15" t="s">
        <v>4296</v>
      </c>
      <c r="C2191" s="54">
        <v>142.409311</v>
      </c>
      <c r="D2191" s="26">
        <v>0.11805555555555557</v>
      </c>
      <c r="E2191" s="55">
        <v>-22.501555</v>
      </c>
      <c r="F2191" s="55">
        <v>-47.402867999999998</v>
      </c>
      <c r="G2191" s="55">
        <v>-22.943541</v>
      </c>
      <c r="H2191" s="55">
        <v>-47.126103999999998</v>
      </c>
      <c r="I2191" s="55">
        <v>-23.351893</v>
      </c>
      <c r="J2191" s="55">
        <v>-46.798056000000003</v>
      </c>
      <c r="L2191" s="61" t="str">
        <f t="shared" si="34"/>
        <v>Cliente38-Cliente26</v>
      </c>
      <c r="M2191">
        <v>142.409311</v>
      </c>
    </row>
    <row r="2192" spans="1:13" x14ac:dyDescent="0.25">
      <c r="A2192" s="15" t="s">
        <v>4308</v>
      </c>
      <c r="B2192" s="15" t="s">
        <v>4297</v>
      </c>
      <c r="C2192" s="52">
        <v>148.72618600000001</v>
      </c>
      <c r="D2192" s="25">
        <v>0.12569444444444444</v>
      </c>
      <c r="E2192" s="53">
        <v>-22.505599</v>
      </c>
      <c r="F2192" s="53">
        <v>-47.399146000000002</v>
      </c>
      <c r="G2192" s="53">
        <v>-22.988553</v>
      </c>
      <c r="H2192" s="53">
        <v>-47.111597000000003</v>
      </c>
      <c r="I2192" s="53">
        <v>-23.378919</v>
      </c>
      <c r="J2192" s="53">
        <v>-46.771901999999997</v>
      </c>
      <c r="L2192" s="61" t="str">
        <f t="shared" si="34"/>
        <v>Cliente38-Cliente27</v>
      </c>
      <c r="M2192">
        <v>148.72618600000001</v>
      </c>
    </row>
    <row r="2193" spans="1:13" x14ac:dyDescent="0.25">
      <c r="A2193" s="15" t="s">
        <v>4308</v>
      </c>
      <c r="B2193" s="15" t="s">
        <v>4298</v>
      </c>
      <c r="C2193" s="54">
        <v>150.05778799999999</v>
      </c>
      <c r="D2193" s="26">
        <v>0.13194444444444445</v>
      </c>
      <c r="E2193" s="55">
        <v>-22.505599</v>
      </c>
      <c r="F2193" s="55">
        <v>-47.399146000000002</v>
      </c>
      <c r="G2193" s="55">
        <v>-22.988553</v>
      </c>
      <c r="H2193" s="55">
        <v>-47.111597000000003</v>
      </c>
      <c r="I2193" s="55">
        <v>-23.378087000000001</v>
      </c>
      <c r="J2193" s="55">
        <v>-46.772838</v>
      </c>
      <c r="L2193" s="61" t="str">
        <f t="shared" si="34"/>
        <v>Cliente38-Cliente28</v>
      </c>
      <c r="M2193">
        <v>150.05778799999999</v>
      </c>
    </row>
    <row r="2194" spans="1:13" x14ac:dyDescent="0.25">
      <c r="A2194" s="15" t="s">
        <v>4308</v>
      </c>
      <c r="B2194" s="15" t="s">
        <v>4299</v>
      </c>
      <c r="C2194" s="52">
        <v>152.32020600000001</v>
      </c>
      <c r="D2194" s="25">
        <v>0.1361111111111111</v>
      </c>
      <c r="E2194" s="53">
        <v>-22.510155000000001</v>
      </c>
      <c r="F2194" s="53">
        <v>-47.397657000000002</v>
      </c>
      <c r="G2194" s="53">
        <v>-23.005072999999999</v>
      </c>
      <c r="H2194" s="53">
        <v>-47.097119999999997</v>
      </c>
      <c r="I2194" s="53">
        <v>-23.411633999999999</v>
      </c>
      <c r="J2194" s="53">
        <v>-46.767124000000003</v>
      </c>
      <c r="L2194" s="61" t="str">
        <f t="shared" ref="L2194:L2257" si="35">_xlfn.CONCAT(A2194,"-",B2194)</f>
        <v>Cliente38-Cliente29</v>
      </c>
      <c r="M2194">
        <v>152.32020600000001</v>
      </c>
    </row>
    <row r="2195" spans="1:13" x14ac:dyDescent="0.25">
      <c r="A2195" s="15" t="s">
        <v>4308</v>
      </c>
      <c r="B2195" s="15" t="s">
        <v>4300</v>
      </c>
      <c r="C2195" s="54">
        <v>156.37963400000001</v>
      </c>
      <c r="D2195" s="26">
        <v>0.1451388888888889</v>
      </c>
      <c r="E2195" s="55">
        <v>-22.557964999999999</v>
      </c>
      <c r="F2195" s="55">
        <v>-47.367572000000003</v>
      </c>
      <c r="G2195" s="55">
        <v>-23.070630000000001</v>
      </c>
      <c r="H2195" s="55">
        <v>-47.030904</v>
      </c>
      <c r="I2195" s="55">
        <v>-23.507064</v>
      </c>
      <c r="J2195" s="55">
        <v>-46.721980000000002</v>
      </c>
      <c r="L2195" s="61" t="str">
        <f t="shared" si="35"/>
        <v>Cliente38-Cliente30</v>
      </c>
      <c r="M2195">
        <v>156.37963400000001</v>
      </c>
    </row>
    <row r="2196" spans="1:13" x14ac:dyDescent="0.25">
      <c r="A2196" s="15" t="s">
        <v>4308</v>
      </c>
      <c r="B2196" s="15" t="s">
        <v>4301</v>
      </c>
      <c r="C2196" s="52">
        <v>147.684144</v>
      </c>
      <c r="D2196" s="25">
        <v>0.13263888888888889</v>
      </c>
      <c r="E2196" s="53">
        <v>-22.534113999999999</v>
      </c>
      <c r="F2196" s="53">
        <v>-47.383918000000001</v>
      </c>
      <c r="G2196" s="53">
        <v>-23.03773</v>
      </c>
      <c r="H2196" s="53">
        <v>-47.069488</v>
      </c>
      <c r="I2196" s="53">
        <v>-23.444385</v>
      </c>
      <c r="J2196" s="53">
        <v>-46.777731000000003</v>
      </c>
      <c r="L2196" s="61" t="str">
        <f t="shared" si="35"/>
        <v>Cliente38-Cliente31</v>
      </c>
      <c r="M2196">
        <v>147.684144</v>
      </c>
    </row>
    <row r="2197" spans="1:13" x14ac:dyDescent="0.25">
      <c r="A2197" s="15" t="s">
        <v>4308</v>
      </c>
      <c r="B2197" s="15" t="s">
        <v>4302</v>
      </c>
      <c r="C2197" s="54">
        <v>137.24570299999999</v>
      </c>
      <c r="D2197" s="26">
        <v>0.11666666666666665</v>
      </c>
      <c r="E2197" s="55">
        <v>-22.492487000000001</v>
      </c>
      <c r="F2197" s="55">
        <v>-47.433608</v>
      </c>
      <c r="G2197" s="55">
        <v>-22.940014999999999</v>
      </c>
      <c r="H2197" s="55">
        <v>-47.126449999999998</v>
      </c>
      <c r="I2197" s="55">
        <v>-23.350614</v>
      </c>
      <c r="J2197" s="55">
        <v>-46.807232999999997</v>
      </c>
      <c r="L2197" s="61" t="str">
        <f t="shared" si="35"/>
        <v>Cliente38-Cliente32</v>
      </c>
      <c r="M2197">
        <v>137.24570299999999</v>
      </c>
    </row>
    <row r="2198" spans="1:13" x14ac:dyDescent="0.25">
      <c r="A2198" s="15" t="s">
        <v>4308</v>
      </c>
      <c r="B2198" s="15" t="s">
        <v>4303</v>
      </c>
      <c r="C2198" s="52">
        <v>150.40327099999999</v>
      </c>
      <c r="D2198" s="25">
        <v>0.12916666666666668</v>
      </c>
      <c r="E2198" s="53">
        <v>-22.505400000000002</v>
      </c>
      <c r="F2198" s="53">
        <v>-47.399203</v>
      </c>
      <c r="G2198" s="53">
        <v>-22.978552000000001</v>
      </c>
      <c r="H2198" s="53">
        <v>-47.112279999999998</v>
      </c>
      <c r="I2198" s="53">
        <v>-23.372895</v>
      </c>
      <c r="J2198" s="53">
        <v>-46.778578000000003</v>
      </c>
      <c r="L2198" s="61" t="str">
        <f t="shared" si="35"/>
        <v>Cliente38-Cliente33</v>
      </c>
      <c r="M2198">
        <v>150.40327099999999</v>
      </c>
    </row>
    <row r="2199" spans="1:13" x14ac:dyDescent="0.25">
      <c r="A2199" s="15" t="s">
        <v>4308</v>
      </c>
      <c r="B2199" s="15" t="s">
        <v>4304</v>
      </c>
      <c r="C2199" s="54">
        <v>133.119167</v>
      </c>
      <c r="D2199" s="26">
        <v>0.11666666666666665</v>
      </c>
      <c r="E2199" s="55">
        <v>-22.519819999999999</v>
      </c>
      <c r="F2199" s="55">
        <v>-47.393304000000001</v>
      </c>
      <c r="G2199" s="55">
        <v>-23.016147</v>
      </c>
      <c r="H2199" s="55">
        <v>-47.083191999999997</v>
      </c>
      <c r="I2199" s="55">
        <v>-23.372540000000001</v>
      </c>
      <c r="J2199" s="55">
        <v>-46.843980000000002</v>
      </c>
      <c r="L2199" s="61" t="str">
        <f t="shared" si="35"/>
        <v>Cliente38-Cliente34</v>
      </c>
      <c r="M2199">
        <v>133.119167</v>
      </c>
    </row>
    <row r="2200" spans="1:13" x14ac:dyDescent="0.25">
      <c r="A2200" s="15" t="s">
        <v>4308</v>
      </c>
      <c r="B2200" s="15" t="s">
        <v>4305</v>
      </c>
      <c r="C2200" s="52">
        <v>134.873302</v>
      </c>
      <c r="D2200" s="25">
        <v>0.125</v>
      </c>
      <c r="E2200" s="53">
        <v>-22.559846</v>
      </c>
      <c r="F2200" s="53">
        <v>-47.366737999999998</v>
      </c>
      <c r="G2200" s="53">
        <v>-23.088802000000001</v>
      </c>
      <c r="H2200" s="53">
        <v>-47.018971000000001</v>
      </c>
      <c r="I2200" s="53">
        <v>-23.383703000000001</v>
      </c>
      <c r="J2200" s="53">
        <v>-46.862200999999999</v>
      </c>
      <c r="L2200" s="61" t="str">
        <f t="shared" si="35"/>
        <v>Cliente38-Cliente35</v>
      </c>
      <c r="M2200">
        <v>134.873302</v>
      </c>
    </row>
    <row r="2201" spans="1:13" x14ac:dyDescent="0.25">
      <c r="A2201" s="15" t="s">
        <v>4308</v>
      </c>
      <c r="B2201" s="15" t="s">
        <v>4306</v>
      </c>
      <c r="C2201" s="54">
        <v>3.1870210000000001</v>
      </c>
      <c r="D2201" s="26">
        <v>6.9444444444444441E-3</v>
      </c>
      <c r="E2201" s="55">
        <v>-22.036715000000001</v>
      </c>
      <c r="F2201" s="55">
        <v>-47.859954000000002</v>
      </c>
      <c r="G2201" s="55">
        <v>-22.034699</v>
      </c>
      <c r="H2201" s="55">
        <v>-47.870938000000002</v>
      </c>
      <c r="I2201" s="55">
        <v>-22.032437000000002</v>
      </c>
      <c r="J2201" s="55">
        <v>-47.890624000000003</v>
      </c>
      <c r="L2201" s="61" t="str">
        <f t="shared" si="35"/>
        <v>Cliente38-Cliente36</v>
      </c>
      <c r="M2201">
        <v>3.1870210000000001</v>
      </c>
    </row>
    <row r="2202" spans="1:13" x14ac:dyDescent="0.25">
      <c r="A2202" s="15" t="s">
        <v>4308</v>
      </c>
      <c r="B2202" s="15" t="s">
        <v>4307</v>
      </c>
      <c r="C2202" s="52">
        <v>2.1313080000000002</v>
      </c>
      <c r="D2202" s="25">
        <v>4.1666666666666666E-3</v>
      </c>
      <c r="E2202" s="53">
        <v>-22.037082999999999</v>
      </c>
      <c r="F2202" s="53">
        <v>-47.859782000000003</v>
      </c>
      <c r="G2202" s="53">
        <v>-22.036175</v>
      </c>
      <c r="H2202" s="53">
        <v>-47.86157</v>
      </c>
      <c r="I2202" s="53">
        <v>-22.034476999999999</v>
      </c>
      <c r="J2202" s="53">
        <v>-47.871208000000003</v>
      </c>
      <c r="L2202" s="61" t="str">
        <f t="shared" si="35"/>
        <v>Cliente38-Cliente37</v>
      </c>
      <c r="M2202">
        <v>2.1313080000000002</v>
      </c>
    </row>
    <row r="2203" spans="1:13" x14ac:dyDescent="0.25">
      <c r="A2203" s="15" t="s">
        <v>4308</v>
      </c>
      <c r="B2203" s="15" t="s">
        <v>4308</v>
      </c>
      <c r="C2203" s="54">
        <v>0</v>
      </c>
      <c r="D2203" s="26">
        <v>0</v>
      </c>
      <c r="E2203" s="55">
        <f>'1. Locais'!D42</f>
        <v>-22.03848</v>
      </c>
      <c r="F2203" s="55">
        <f>'1. Locais'!E42</f>
        <v>-47.86018</v>
      </c>
      <c r="G2203" s="55">
        <f>'1. Locais'!D42</f>
        <v>-22.03848</v>
      </c>
      <c r="H2203" s="55">
        <f>'1. Locais'!E42</f>
        <v>-47.86018</v>
      </c>
      <c r="I2203" s="55">
        <f>'1. Locais'!D42</f>
        <v>-22.03848</v>
      </c>
      <c r="J2203" s="55">
        <f>'1. Locais'!E42</f>
        <v>-47.86018</v>
      </c>
      <c r="L2203" s="61" t="str">
        <f t="shared" si="35"/>
        <v>Cliente38-Cliente38</v>
      </c>
      <c r="M2203">
        <v>0</v>
      </c>
    </row>
    <row r="2204" spans="1:13" x14ac:dyDescent="0.25">
      <c r="A2204" s="15" t="s">
        <v>4308</v>
      </c>
      <c r="B2204" s="15" t="s">
        <v>4309</v>
      </c>
      <c r="C2204" s="52">
        <v>205.14869400000001</v>
      </c>
      <c r="D2204" s="25">
        <v>0.17152777777777775</v>
      </c>
      <c r="E2204" s="53">
        <v>-22.611726000000001</v>
      </c>
      <c r="F2204" s="53">
        <v>-47.355148</v>
      </c>
      <c r="G2204" s="53">
        <v>-23.002051000000002</v>
      </c>
      <c r="H2204" s="53">
        <v>-46.778727000000003</v>
      </c>
      <c r="I2204" s="53">
        <v>-23.164242000000002</v>
      </c>
      <c r="J2204" s="53">
        <v>-46.227277000000001</v>
      </c>
      <c r="L2204" s="61" t="str">
        <f t="shared" si="35"/>
        <v>Cliente38-Cliente39</v>
      </c>
      <c r="M2204">
        <v>205.14869400000001</v>
      </c>
    </row>
    <row r="2205" spans="1:13" x14ac:dyDescent="0.25">
      <c r="A2205" s="15" t="s">
        <v>4308</v>
      </c>
      <c r="B2205" s="15" t="s">
        <v>4310</v>
      </c>
      <c r="C2205" s="54">
        <v>206.710204</v>
      </c>
      <c r="D2205" s="26">
        <v>0.17500000000000002</v>
      </c>
      <c r="E2205" s="55">
        <v>-22.63355</v>
      </c>
      <c r="F2205" s="55">
        <v>-47.334181000000001</v>
      </c>
      <c r="G2205" s="55">
        <v>-23.010922000000001</v>
      </c>
      <c r="H2205" s="55">
        <v>-46.764951000000003</v>
      </c>
      <c r="I2205" s="55">
        <v>-23.187075</v>
      </c>
      <c r="J2205" s="55">
        <v>-46.197251000000001</v>
      </c>
      <c r="L2205" s="61" t="str">
        <f t="shared" si="35"/>
        <v>Cliente38-Cliente40</v>
      </c>
      <c r="M2205">
        <v>206.710204</v>
      </c>
    </row>
    <row r="2206" spans="1:13" x14ac:dyDescent="0.25">
      <c r="A2206" s="15" t="s">
        <v>4308</v>
      </c>
      <c r="B2206" s="15" t="s">
        <v>4311</v>
      </c>
      <c r="C2206" s="52">
        <v>196.003952</v>
      </c>
      <c r="D2206" s="25">
        <v>0.16527777777777777</v>
      </c>
      <c r="E2206" s="53">
        <v>-22.613568000000001</v>
      </c>
      <c r="F2206" s="53">
        <v>-47.352915000000003</v>
      </c>
      <c r="G2206" s="53">
        <v>-23.005049</v>
      </c>
      <c r="H2206" s="53">
        <v>-46.768810000000002</v>
      </c>
      <c r="I2206" s="53">
        <v>-23.170137</v>
      </c>
      <c r="J2206" s="53">
        <v>-46.220036</v>
      </c>
      <c r="L2206" s="61" t="str">
        <f t="shared" si="35"/>
        <v>Cliente38-Cliente41</v>
      </c>
      <c r="M2206">
        <v>196.003952</v>
      </c>
    </row>
    <row r="2207" spans="1:13" x14ac:dyDescent="0.25">
      <c r="A2207" s="15" t="s">
        <v>4308</v>
      </c>
      <c r="B2207" s="15" t="s">
        <v>4312</v>
      </c>
      <c r="C2207" s="54">
        <v>192.71626900000001</v>
      </c>
      <c r="D2207" s="26">
        <v>0.15833333333333333</v>
      </c>
      <c r="E2207" s="55">
        <v>-22.563873000000001</v>
      </c>
      <c r="F2207" s="55">
        <v>-47.365864000000002</v>
      </c>
      <c r="G2207" s="55">
        <v>-22.952708999999999</v>
      </c>
      <c r="H2207" s="55">
        <v>-46.861837999999999</v>
      </c>
      <c r="I2207" s="55">
        <v>-23.182459999999999</v>
      </c>
      <c r="J2207" s="55">
        <v>-46.293764000000003</v>
      </c>
      <c r="L2207" s="61" t="str">
        <f t="shared" si="35"/>
        <v>Cliente38-Cliente42</v>
      </c>
      <c r="M2207">
        <v>192.71626900000001</v>
      </c>
    </row>
    <row r="2208" spans="1:13" x14ac:dyDescent="0.25">
      <c r="A2208" s="15" t="s">
        <v>4308</v>
      </c>
      <c r="B2208" s="15" t="s">
        <v>4313</v>
      </c>
      <c r="C2208" s="52">
        <v>211.39038400000001</v>
      </c>
      <c r="D2208" s="25">
        <v>0.17708333333333334</v>
      </c>
      <c r="E2208" s="53">
        <v>-22.661708000000001</v>
      </c>
      <c r="F2208" s="53">
        <v>-47.319645000000001</v>
      </c>
      <c r="G2208" s="53">
        <v>-23.029201</v>
      </c>
      <c r="H2208" s="53">
        <v>-46.746392999999998</v>
      </c>
      <c r="I2208" s="53">
        <v>-23.215617999999999</v>
      </c>
      <c r="J2208" s="53">
        <v>-46.148643999999997</v>
      </c>
      <c r="L2208" s="61" t="str">
        <f t="shared" si="35"/>
        <v>Cliente38-Cliente43</v>
      </c>
      <c r="M2208">
        <v>211.39038400000001</v>
      </c>
    </row>
    <row r="2209" spans="1:13" x14ac:dyDescent="0.25">
      <c r="A2209" s="15" t="s">
        <v>4308</v>
      </c>
      <c r="B2209" s="15" t="s">
        <v>4314</v>
      </c>
      <c r="C2209" s="54">
        <v>132.682963</v>
      </c>
      <c r="D2209" s="26">
        <v>0.11875000000000001</v>
      </c>
      <c r="E2209" s="55">
        <v>-22.328135</v>
      </c>
      <c r="F2209" s="55">
        <v>-47.656146</v>
      </c>
      <c r="G2209" s="55">
        <v>-22.731725000000001</v>
      </c>
      <c r="H2209" s="55">
        <v>-47.602803999999999</v>
      </c>
      <c r="I2209" s="55">
        <v>-23.335849</v>
      </c>
      <c r="J2209" s="55">
        <v>-47.324257000000003</v>
      </c>
      <c r="L2209" s="61" t="str">
        <f t="shared" si="35"/>
        <v>Cliente38-Cliente44</v>
      </c>
      <c r="M2209">
        <v>132.682963</v>
      </c>
    </row>
    <row r="2210" spans="1:13" x14ac:dyDescent="0.25">
      <c r="A2210" s="15" t="s">
        <v>4308</v>
      </c>
      <c r="B2210" s="15" t="s">
        <v>4315</v>
      </c>
      <c r="C2210" s="52">
        <v>136.97602699999999</v>
      </c>
      <c r="D2210" s="25">
        <v>0.1277777777777778</v>
      </c>
      <c r="E2210" s="53">
        <v>-22.348524000000001</v>
      </c>
      <c r="F2210" s="53">
        <v>-47.650436999999997</v>
      </c>
      <c r="G2210" s="53">
        <v>-22.822344000000001</v>
      </c>
      <c r="H2210" s="53">
        <v>-47.576098999999999</v>
      </c>
      <c r="I2210" s="53">
        <v>-23.342832999999999</v>
      </c>
      <c r="J2210" s="53">
        <v>-47.530741999999996</v>
      </c>
      <c r="L2210" s="61" t="str">
        <f t="shared" si="35"/>
        <v>Cliente38-Cliente45</v>
      </c>
      <c r="M2210">
        <v>136.97602699999999</v>
      </c>
    </row>
    <row r="2211" spans="1:13" x14ac:dyDescent="0.25">
      <c r="A2211" s="15" t="s">
        <v>4308</v>
      </c>
      <c r="B2211" s="15" t="s">
        <v>4316</v>
      </c>
      <c r="C2211" s="54">
        <v>121.456622</v>
      </c>
      <c r="D2211" s="26">
        <v>0.11180555555555556</v>
      </c>
      <c r="E2211" s="55">
        <v>-22.312778000000002</v>
      </c>
      <c r="F2211" s="55">
        <v>-47.665376999999999</v>
      </c>
      <c r="G2211" s="55">
        <v>-22.693245999999998</v>
      </c>
      <c r="H2211" s="55">
        <v>-47.601728999999999</v>
      </c>
      <c r="I2211" s="55">
        <v>-23.140557999999999</v>
      </c>
      <c r="J2211" s="55">
        <v>-47.356068</v>
      </c>
      <c r="L2211" s="61" t="str">
        <f t="shared" si="35"/>
        <v>Cliente38-Cliente46</v>
      </c>
      <c r="M2211">
        <v>121.456622</v>
      </c>
    </row>
    <row r="2212" spans="1:13" x14ac:dyDescent="0.25">
      <c r="A2212" s="15" t="s">
        <v>4308</v>
      </c>
      <c r="B2212" s="15" t="s">
        <v>4317</v>
      </c>
      <c r="C2212" s="52">
        <v>63.557732000000001</v>
      </c>
      <c r="D2212" s="25">
        <v>5.5555555555555552E-2</v>
      </c>
      <c r="E2212" s="53">
        <v>-21.990452000000001</v>
      </c>
      <c r="F2212" s="53">
        <v>-47.886757000000003</v>
      </c>
      <c r="G2212" s="53">
        <v>-21.617519000000001</v>
      </c>
      <c r="H2212" s="53">
        <v>-47.950792999999997</v>
      </c>
      <c r="I2212" s="53">
        <v>-21.215399000000001</v>
      </c>
      <c r="J2212" s="53">
        <v>-47.77317</v>
      </c>
      <c r="L2212" s="61" t="str">
        <f t="shared" si="35"/>
        <v>Cliente38-Cliente47</v>
      </c>
      <c r="M2212">
        <v>63.557732000000001</v>
      </c>
    </row>
    <row r="2213" spans="1:13" x14ac:dyDescent="0.25">
      <c r="A2213" s="15" t="s">
        <v>4308</v>
      </c>
      <c r="B2213" s="15" t="s">
        <v>4318</v>
      </c>
      <c r="C2213" s="54">
        <v>70.065368000000007</v>
      </c>
      <c r="D2213" s="26">
        <v>6.3194444444444442E-2</v>
      </c>
      <c r="E2213" s="55">
        <v>-21.959533</v>
      </c>
      <c r="F2213" s="55">
        <v>-47.891800000000003</v>
      </c>
      <c r="G2213" s="55">
        <v>-21.280495999999999</v>
      </c>
      <c r="H2213" s="55">
        <v>-47.805967000000003</v>
      </c>
      <c r="I2213" s="55">
        <v>-21.149258</v>
      </c>
      <c r="J2213" s="55">
        <v>-47.758648999999998</v>
      </c>
      <c r="L2213" s="61" t="str">
        <f t="shared" si="35"/>
        <v>Cliente38-Cliente48</v>
      </c>
      <c r="M2213">
        <v>70.065368000000007</v>
      </c>
    </row>
    <row r="2214" spans="1:13" x14ac:dyDescent="0.25">
      <c r="A2214" s="15" t="s">
        <v>4308</v>
      </c>
      <c r="B2214" s="15" t="s">
        <v>4319</v>
      </c>
      <c r="C2214" s="52">
        <v>65.587135000000004</v>
      </c>
      <c r="D2214" s="25">
        <v>5.9027777777777783E-2</v>
      </c>
      <c r="E2214" s="53">
        <v>-21.988804999999999</v>
      </c>
      <c r="F2214" s="53">
        <v>-47.887709999999998</v>
      </c>
      <c r="G2214" s="53">
        <v>-21.602993000000001</v>
      </c>
      <c r="H2214" s="53">
        <v>-47.954554000000002</v>
      </c>
      <c r="I2214" s="53">
        <v>-21.217123999999998</v>
      </c>
      <c r="J2214" s="53">
        <v>-47.772049000000003</v>
      </c>
      <c r="L2214" s="61" t="str">
        <f t="shared" si="35"/>
        <v>Cliente38-Cliente49</v>
      </c>
      <c r="M2214">
        <v>65.587135000000004</v>
      </c>
    </row>
    <row r="2215" spans="1:13" x14ac:dyDescent="0.25">
      <c r="A2215" s="15" t="s">
        <v>4308</v>
      </c>
      <c r="B2215" s="15" t="s">
        <v>4320</v>
      </c>
      <c r="C2215" s="54">
        <v>92.920079000000001</v>
      </c>
      <c r="D2215" s="26">
        <v>8.6111111111111124E-2</v>
      </c>
      <c r="E2215" s="55">
        <v>-22.111664999999999</v>
      </c>
      <c r="F2215" s="55">
        <v>-48.292498000000002</v>
      </c>
      <c r="G2215" s="55">
        <v>-22.120297000000001</v>
      </c>
      <c r="H2215" s="55">
        <v>-48.456715000000003</v>
      </c>
      <c r="I2215" s="55">
        <v>-22.309524</v>
      </c>
      <c r="J2215" s="55">
        <v>-48.695062</v>
      </c>
      <c r="L2215" s="61" t="str">
        <f t="shared" si="35"/>
        <v>Cliente38-Cliente50</v>
      </c>
      <c r="M2215">
        <v>92.920079000000001</v>
      </c>
    </row>
    <row r="2216" spans="1:13" x14ac:dyDescent="0.25">
      <c r="A2216" s="15" t="s">
        <v>4308</v>
      </c>
      <c r="B2216" s="15" t="s">
        <v>4321</v>
      </c>
      <c r="C2216" s="52">
        <v>92.739260000000002</v>
      </c>
      <c r="D2216" s="25">
        <v>8.5416666666666655E-2</v>
      </c>
      <c r="E2216" s="53">
        <v>-22.106867000000001</v>
      </c>
      <c r="F2216" s="53">
        <v>-48.264569999999999</v>
      </c>
      <c r="G2216" s="53">
        <v>-22.11401</v>
      </c>
      <c r="H2216" s="53">
        <v>-48.455472</v>
      </c>
      <c r="I2216" s="53">
        <v>-22.303045000000001</v>
      </c>
      <c r="J2216" s="53">
        <v>-48.583967999999999</v>
      </c>
      <c r="L2216" s="61" t="str">
        <f t="shared" si="35"/>
        <v>Cliente38-Cliente51</v>
      </c>
      <c r="M2216">
        <v>92.739260000000002</v>
      </c>
    </row>
    <row r="2217" spans="1:13" x14ac:dyDescent="0.25">
      <c r="A2217" s="15" t="s">
        <v>4309</v>
      </c>
      <c r="B2217" s="15" t="s">
        <v>4268</v>
      </c>
      <c r="C2217" s="54">
        <v>140.35008099999999</v>
      </c>
      <c r="D2217" s="26">
        <v>0.12152777777777778</v>
      </c>
      <c r="E2217" s="55">
        <v>-23.351894999999999</v>
      </c>
      <c r="F2217" s="55">
        <v>-46.180186999999997</v>
      </c>
      <c r="G2217" s="55">
        <v>-23.516734</v>
      </c>
      <c r="H2217" s="55">
        <v>-46.650905999999999</v>
      </c>
      <c r="I2217" s="55">
        <v>-23.454343999999999</v>
      </c>
      <c r="J2217" s="55">
        <v>-47.053798999999998</v>
      </c>
      <c r="L2217" s="61" t="str">
        <f t="shared" si="35"/>
        <v>Cliente39-depósito A</v>
      </c>
      <c r="M2217">
        <v>140.35008099999999</v>
      </c>
    </row>
    <row r="2218" spans="1:13" x14ac:dyDescent="0.25">
      <c r="A2218" s="15" t="s">
        <v>4309</v>
      </c>
      <c r="B2218" s="15" t="s">
        <v>4269</v>
      </c>
      <c r="C2218" s="52">
        <v>230.43794399999999</v>
      </c>
      <c r="D2218" s="25">
        <v>0.18680555555555556</v>
      </c>
      <c r="E2218" s="53">
        <v>-23.164041999999998</v>
      </c>
      <c r="F2218" s="53">
        <v>-46.228105999999997</v>
      </c>
      <c r="G2218" s="53">
        <v>-23.004674000000001</v>
      </c>
      <c r="H2218" s="53">
        <v>-46.769309999999997</v>
      </c>
      <c r="I2218" s="53">
        <v>-22.5883</v>
      </c>
      <c r="J2218" s="53">
        <v>-47.367502000000002</v>
      </c>
      <c r="L2218" s="61" t="str">
        <f t="shared" si="35"/>
        <v>Cliente39-depósito B</v>
      </c>
      <c r="M2218">
        <v>230.43794399999999</v>
      </c>
    </row>
    <row r="2219" spans="1:13" x14ac:dyDescent="0.25">
      <c r="A2219" s="15" t="s">
        <v>4309</v>
      </c>
      <c r="B2219" s="15" t="s">
        <v>4270</v>
      </c>
      <c r="C2219" s="54">
        <v>35.333117999999999</v>
      </c>
      <c r="D2219" s="26">
        <v>3.5416666666666666E-2</v>
      </c>
      <c r="E2219" s="55">
        <v>-23.029862999999999</v>
      </c>
      <c r="F2219" s="55">
        <v>-45.554147999999998</v>
      </c>
      <c r="G2219" s="55">
        <v>-23.049298</v>
      </c>
      <c r="H2219" s="55">
        <v>-45.599432999999998</v>
      </c>
      <c r="I2219" s="55">
        <v>-23.280049999999999</v>
      </c>
      <c r="J2219" s="55">
        <v>-45.982807999999999</v>
      </c>
      <c r="L2219" s="61" t="str">
        <f t="shared" si="35"/>
        <v>Cliente39-depósito C</v>
      </c>
      <c r="M2219">
        <v>35.333117999999999</v>
      </c>
    </row>
    <row r="2220" spans="1:13" x14ac:dyDescent="0.25">
      <c r="A2220" s="15" t="s">
        <v>4309</v>
      </c>
      <c r="B2220" s="15" t="s">
        <v>4271</v>
      </c>
      <c r="C2220" s="52">
        <v>121.416854</v>
      </c>
      <c r="D2220" s="25">
        <v>0.10694444444444444</v>
      </c>
      <c r="E2220" s="53">
        <v>-23.235921000000001</v>
      </c>
      <c r="F2220" s="53">
        <v>-46.125599000000001</v>
      </c>
      <c r="G2220" s="53">
        <v>-23.171050999999999</v>
      </c>
      <c r="H2220" s="53">
        <v>-46.427100000000003</v>
      </c>
      <c r="I2220" s="53">
        <v>-22.931225000000001</v>
      </c>
      <c r="J2220" s="53">
        <v>-46.920144000000001</v>
      </c>
      <c r="L2220" s="61" t="str">
        <f t="shared" si="35"/>
        <v>Cliente39-Cliente1</v>
      </c>
      <c r="M2220">
        <v>121.416854</v>
      </c>
    </row>
    <row r="2221" spans="1:13" x14ac:dyDescent="0.25">
      <c r="A2221" s="15" t="s">
        <v>4309</v>
      </c>
      <c r="B2221" s="15" t="s">
        <v>4272</v>
      </c>
      <c r="C2221" s="54">
        <v>119.27684600000001</v>
      </c>
      <c r="D2221" s="26">
        <v>0.10208333333333335</v>
      </c>
      <c r="E2221" s="55">
        <v>-23.258607000000001</v>
      </c>
      <c r="F2221" s="55">
        <v>-46.097866000000003</v>
      </c>
      <c r="G2221" s="55">
        <v>-23.185472000000001</v>
      </c>
      <c r="H2221" s="55">
        <v>-46.368713</v>
      </c>
      <c r="I2221" s="55">
        <v>-22.988848999999998</v>
      </c>
      <c r="J2221" s="55">
        <v>-46.801557000000003</v>
      </c>
      <c r="L2221" s="61" t="str">
        <f t="shared" si="35"/>
        <v>Cliente39-Cliente2</v>
      </c>
      <c r="M2221">
        <v>119.27684600000001</v>
      </c>
    </row>
    <row r="2222" spans="1:13" x14ac:dyDescent="0.25">
      <c r="A2222" s="15" t="s">
        <v>4309</v>
      </c>
      <c r="B2222" s="15" t="s">
        <v>4273</v>
      </c>
      <c r="C2222" s="52">
        <v>119.343333</v>
      </c>
      <c r="D2222" s="25">
        <v>0.10277777777777779</v>
      </c>
      <c r="E2222" s="53">
        <v>-23.249168999999998</v>
      </c>
      <c r="F2222" s="53">
        <v>-46.107391999999997</v>
      </c>
      <c r="G2222" s="53">
        <v>-23.172364999999999</v>
      </c>
      <c r="H2222" s="53">
        <v>-46.386741000000001</v>
      </c>
      <c r="I2222" s="53">
        <v>-22.947365000000001</v>
      </c>
      <c r="J2222" s="53">
        <v>-46.869992000000003</v>
      </c>
      <c r="L2222" s="61" t="str">
        <f t="shared" si="35"/>
        <v>Cliente39-Cliente3</v>
      </c>
      <c r="M2222">
        <v>119.343333</v>
      </c>
    </row>
    <row r="2223" spans="1:13" x14ac:dyDescent="0.25">
      <c r="A2223" s="15" t="s">
        <v>4309</v>
      </c>
      <c r="B2223" s="15" t="s">
        <v>4274</v>
      </c>
      <c r="C2223" s="54">
        <v>123.19273699999999</v>
      </c>
      <c r="D2223" s="26">
        <v>0.10347222222222223</v>
      </c>
      <c r="E2223" s="55">
        <v>-23.258607000000001</v>
      </c>
      <c r="F2223" s="55">
        <v>-46.097866000000003</v>
      </c>
      <c r="G2223" s="55">
        <v>-23.185472000000001</v>
      </c>
      <c r="H2223" s="55">
        <v>-46.368713</v>
      </c>
      <c r="I2223" s="55">
        <v>-22.990003000000002</v>
      </c>
      <c r="J2223" s="55">
        <v>-46.798687000000001</v>
      </c>
      <c r="L2223" s="61" t="str">
        <f t="shared" si="35"/>
        <v>Cliente39-Cliente4</v>
      </c>
      <c r="M2223">
        <v>123.19273699999999</v>
      </c>
    </row>
    <row r="2224" spans="1:13" x14ac:dyDescent="0.25">
      <c r="A2224" s="15" t="s">
        <v>4309</v>
      </c>
      <c r="B2224" s="15" t="s">
        <v>4275</v>
      </c>
      <c r="C2224" s="52">
        <v>123.285943</v>
      </c>
      <c r="D2224" s="25">
        <v>0.10416666666666667</v>
      </c>
      <c r="E2224" s="53">
        <v>-23.258869000000001</v>
      </c>
      <c r="F2224" s="53">
        <v>-46.096939999999996</v>
      </c>
      <c r="G2224" s="53">
        <v>-23.184989999999999</v>
      </c>
      <c r="H2224" s="53">
        <v>-46.363670999999997</v>
      </c>
      <c r="I2224" s="53">
        <v>-23.002006000000002</v>
      </c>
      <c r="J2224" s="53">
        <v>-46.778523999999997</v>
      </c>
      <c r="L2224" s="61" t="str">
        <f t="shared" si="35"/>
        <v>Cliente39-Cliente5</v>
      </c>
      <c r="M2224">
        <v>123.285943</v>
      </c>
    </row>
    <row r="2225" spans="1:13" x14ac:dyDescent="0.25">
      <c r="A2225" s="15" t="s">
        <v>4309</v>
      </c>
      <c r="B2225" s="15" t="s">
        <v>4276</v>
      </c>
      <c r="C2225" s="54">
        <v>123.607814</v>
      </c>
      <c r="D2225" s="26">
        <v>0.10972222222222222</v>
      </c>
      <c r="E2225" s="55">
        <v>-23.230509999999999</v>
      </c>
      <c r="F2225" s="55">
        <v>-46.130629999999996</v>
      </c>
      <c r="G2225" s="55">
        <v>-23.151866999999999</v>
      </c>
      <c r="H2225" s="55">
        <v>-46.453313000000001</v>
      </c>
      <c r="I2225" s="55">
        <v>-22.920601999999999</v>
      </c>
      <c r="J2225" s="55">
        <v>-46.943047999999997</v>
      </c>
      <c r="L2225" s="61" t="str">
        <f t="shared" si="35"/>
        <v>Cliente39-Cliente6</v>
      </c>
      <c r="M2225">
        <v>123.607814</v>
      </c>
    </row>
    <row r="2226" spans="1:13" x14ac:dyDescent="0.25">
      <c r="A2226" s="15" t="s">
        <v>4309</v>
      </c>
      <c r="B2226" s="15" t="s">
        <v>4277</v>
      </c>
      <c r="C2226" s="52">
        <v>122.338971</v>
      </c>
      <c r="D2226" s="25">
        <v>0.10625</v>
      </c>
      <c r="E2226" s="53">
        <v>-23.242108999999999</v>
      </c>
      <c r="F2226" s="53">
        <v>-46.120468000000002</v>
      </c>
      <c r="G2226" s="53">
        <v>-23.165904999999999</v>
      </c>
      <c r="H2226" s="53">
        <v>-46.407074999999999</v>
      </c>
      <c r="I2226" s="53">
        <v>-22.930872999999998</v>
      </c>
      <c r="J2226" s="53">
        <v>-46.901926000000003</v>
      </c>
      <c r="L2226" s="61" t="str">
        <f t="shared" si="35"/>
        <v>Cliente39-Cliente7</v>
      </c>
      <c r="M2226">
        <v>122.338971</v>
      </c>
    </row>
    <row r="2227" spans="1:13" x14ac:dyDescent="0.25">
      <c r="A2227" s="15" t="s">
        <v>4309</v>
      </c>
      <c r="B2227" s="15" t="s">
        <v>4278</v>
      </c>
      <c r="C2227" s="54">
        <v>117.075323</v>
      </c>
      <c r="D2227" s="26">
        <v>9.8611111111111108E-2</v>
      </c>
      <c r="E2227" s="55">
        <v>-23.258075000000002</v>
      </c>
      <c r="F2227" s="55">
        <v>-46.091537000000002</v>
      </c>
      <c r="G2227" s="55">
        <v>-23.190908</v>
      </c>
      <c r="H2227" s="55">
        <v>-46.355207</v>
      </c>
      <c r="I2227" s="55">
        <v>-23.020544000000001</v>
      </c>
      <c r="J2227" s="55">
        <v>-46.754022999999997</v>
      </c>
      <c r="L2227" s="61" t="str">
        <f t="shared" si="35"/>
        <v>Cliente39-Cliente8</v>
      </c>
      <c r="M2227">
        <v>117.075323</v>
      </c>
    </row>
    <row r="2228" spans="1:13" x14ac:dyDescent="0.25">
      <c r="A2228" s="15" t="s">
        <v>4309</v>
      </c>
      <c r="B2228" s="15" t="s">
        <v>4279</v>
      </c>
      <c r="C2228" s="52">
        <v>140.656418</v>
      </c>
      <c r="D2228" s="25">
        <v>0.11875000000000001</v>
      </c>
      <c r="E2228" s="53">
        <v>-23.247315</v>
      </c>
      <c r="F2228" s="53">
        <v>-46.110433999999998</v>
      </c>
      <c r="G2228" s="53">
        <v>-23.168427000000001</v>
      </c>
      <c r="H2228" s="53">
        <v>-46.393779000000002</v>
      </c>
      <c r="I2228" s="53">
        <v>-22.935095</v>
      </c>
      <c r="J2228" s="53">
        <v>-46.885012000000003</v>
      </c>
      <c r="L2228" s="61" t="str">
        <f t="shared" si="35"/>
        <v>Cliente39-Cliente9</v>
      </c>
      <c r="M2228">
        <v>140.656418</v>
      </c>
    </row>
    <row r="2229" spans="1:13" x14ac:dyDescent="0.25">
      <c r="A2229" s="15" t="s">
        <v>4309</v>
      </c>
      <c r="B2229" s="15" t="s">
        <v>4280</v>
      </c>
      <c r="C2229" s="54">
        <v>87.929834999999997</v>
      </c>
      <c r="D2229" s="26">
        <v>8.4027777777777771E-2</v>
      </c>
      <c r="E2229" s="55">
        <v>-23.297739</v>
      </c>
      <c r="F2229" s="55">
        <v>-46.009698</v>
      </c>
      <c r="G2229" s="55">
        <v>-23.382425000000001</v>
      </c>
      <c r="H2229" s="55">
        <v>-46.261808000000002</v>
      </c>
      <c r="I2229" s="55">
        <v>-23.518471999999999</v>
      </c>
      <c r="J2229" s="55">
        <v>-46.617952000000002</v>
      </c>
      <c r="L2229" s="61" t="str">
        <f t="shared" si="35"/>
        <v>Cliente39-Cliente10</v>
      </c>
      <c r="M2229">
        <v>87.929834999999997</v>
      </c>
    </row>
    <row r="2230" spans="1:13" x14ac:dyDescent="0.25">
      <c r="A2230" s="15" t="s">
        <v>4309</v>
      </c>
      <c r="B2230" s="15" t="s">
        <v>4281</v>
      </c>
      <c r="C2230" s="52">
        <v>161.206457</v>
      </c>
      <c r="D2230" s="25">
        <v>0.13333333333333333</v>
      </c>
      <c r="E2230" s="53">
        <v>-23.230509999999999</v>
      </c>
      <c r="F2230" s="53">
        <v>-46.130629999999996</v>
      </c>
      <c r="G2230" s="53">
        <v>-23.151866999999999</v>
      </c>
      <c r="H2230" s="53">
        <v>-46.453313000000001</v>
      </c>
      <c r="I2230" s="53">
        <v>-22.920601999999999</v>
      </c>
      <c r="J2230" s="53">
        <v>-46.943047999999997</v>
      </c>
      <c r="L2230" s="61" t="str">
        <f t="shared" si="35"/>
        <v>Cliente39-Cliente11</v>
      </c>
      <c r="M2230">
        <v>161.206457</v>
      </c>
    </row>
    <row r="2231" spans="1:13" x14ac:dyDescent="0.25">
      <c r="A2231" s="15" t="s">
        <v>4309</v>
      </c>
      <c r="B2231" s="15" t="s">
        <v>4282</v>
      </c>
      <c r="C2231" s="54">
        <v>40.137571999999999</v>
      </c>
      <c r="D2231" s="26">
        <v>3.9583333333333331E-2</v>
      </c>
      <c r="E2231" s="55">
        <v>-23.030978000000001</v>
      </c>
      <c r="F2231" s="55">
        <v>-45.555473999999997</v>
      </c>
      <c r="G2231" s="55">
        <v>-23.158128000000001</v>
      </c>
      <c r="H2231" s="55">
        <v>-45.797541000000002</v>
      </c>
      <c r="I2231" s="55">
        <v>-23.301884999999999</v>
      </c>
      <c r="J2231" s="55">
        <v>-46.02346</v>
      </c>
      <c r="L2231" s="61" t="str">
        <f t="shared" si="35"/>
        <v>Cliente39-Cliente12</v>
      </c>
      <c r="M2231">
        <v>40.137571999999999</v>
      </c>
    </row>
    <row r="2232" spans="1:13" x14ac:dyDescent="0.25">
      <c r="A2232" s="15" t="s">
        <v>4309</v>
      </c>
      <c r="B2232" s="15" t="s">
        <v>4283</v>
      </c>
      <c r="C2232" s="52">
        <v>27.687747999999999</v>
      </c>
      <c r="D2232" s="25">
        <v>2.8472222222222222E-2</v>
      </c>
      <c r="E2232" s="53">
        <v>-23.023226999999999</v>
      </c>
      <c r="F2232" s="53">
        <v>-45.548865999999997</v>
      </c>
      <c r="G2232" s="53">
        <v>-23.037697999999999</v>
      </c>
      <c r="H2232" s="53">
        <v>-45.560026000000001</v>
      </c>
      <c r="I2232" s="53">
        <v>-23.196895000000001</v>
      </c>
      <c r="J2232" s="53">
        <v>-45.874749999999999</v>
      </c>
      <c r="L2232" s="61" t="str">
        <f t="shared" si="35"/>
        <v>Cliente39-Cliente13</v>
      </c>
      <c r="M2232">
        <v>27.687747999999999</v>
      </c>
    </row>
    <row r="2233" spans="1:13" x14ac:dyDescent="0.25">
      <c r="A2233" s="15" t="s">
        <v>4309</v>
      </c>
      <c r="B2233" s="15" t="s">
        <v>4284</v>
      </c>
      <c r="C2233" s="54">
        <v>29.901699000000001</v>
      </c>
      <c r="D2233" s="26">
        <v>3.0555555555555555E-2</v>
      </c>
      <c r="E2233" s="55">
        <v>-23.029862999999999</v>
      </c>
      <c r="F2233" s="55">
        <v>-45.554147999999998</v>
      </c>
      <c r="G2233" s="55">
        <v>-23.049298</v>
      </c>
      <c r="H2233" s="55">
        <v>-45.599432999999998</v>
      </c>
      <c r="I2233" s="55">
        <v>-23.230688000000001</v>
      </c>
      <c r="J2233" s="55">
        <v>-45.912233999999998</v>
      </c>
      <c r="L2233" s="61" t="str">
        <f t="shared" si="35"/>
        <v>Cliente39-Cliente14</v>
      </c>
      <c r="M2233">
        <v>29.901699000000001</v>
      </c>
    </row>
    <row r="2234" spans="1:13" x14ac:dyDescent="0.25">
      <c r="A2234" s="15" t="s">
        <v>4309</v>
      </c>
      <c r="B2234" s="15" t="s">
        <v>4285</v>
      </c>
      <c r="C2234" s="52">
        <v>29.482894000000002</v>
      </c>
      <c r="D2234" s="25">
        <v>3.3333333333333333E-2</v>
      </c>
      <c r="E2234" s="53">
        <v>-23.030978000000001</v>
      </c>
      <c r="F2234" s="53">
        <v>-45.555473999999997</v>
      </c>
      <c r="G2234" s="53">
        <v>-23.158128000000001</v>
      </c>
      <c r="H2234" s="53">
        <v>-45.797541000000002</v>
      </c>
      <c r="I2234" s="53">
        <v>-23.221049000000001</v>
      </c>
      <c r="J2234" s="53">
        <v>-45.901088000000001</v>
      </c>
      <c r="L2234" s="61" t="str">
        <f t="shared" si="35"/>
        <v>Cliente39-Cliente15</v>
      </c>
      <c r="M2234">
        <v>29.482894000000002</v>
      </c>
    </row>
    <row r="2235" spans="1:13" x14ac:dyDescent="0.25">
      <c r="A2235" s="15" t="s">
        <v>4309</v>
      </c>
      <c r="B2235" s="15" t="s">
        <v>4286</v>
      </c>
      <c r="C2235" s="54">
        <v>30.015409999999999</v>
      </c>
      <c r="D2235" s="26">
        <v>3.2638888888888891E-2</v>
      </c>
      <c r="E2235" s="55">
        <v>-23.029966999999999</v>
      </c>
      <c r="F2235" s="55">
        <v>-45.554225000000002</v>
      </c>
      <c r="G2235" s="55">
        <v>-23.108692000000001</v>
      </c>
      <c r="H2235" s="55">
        <v>-45.700822000000002</v>
      </c>
      <c r="I2235" s="55">
        <v>-23.219287999999999</v>
      </c>
      <c r="J2235" s="55">
        <v>-45.901947</v>
      </c>
      <c r="L2235" s="61" t="str">
        <f t="shared" si="35"/>
        <v>Cliente39-Cliente16</v>
      </c>
      <c r="M2235">
        <v>30.015409999999999</v>
      </c>
    </row>
    <row r="2236" spans="1:13" x14ac:dyDescent="0.25">
      <c r="A2236" s="15" t="s">
        <v>4309</v>
      </c>
      <c r="B2236" s="15" t="s">
        <v>4287</v>
      </c>
      <c r="C2236" s="52">
        <v>28.111523999999999</v>
      </c>
      <c r="D2236" s="25">
        <v>2.7777777777777776E-2</v>
      </c>
      <c r="E2236" s="53">
        <v>-23.022582</v>
      </c>
      <c r="F2236" s="53">
        <v>-45.548791999999999</v>
      </c>
      <c r="G2236" s="53">
        <v>-23.037279000000002</v>
      </c>
      <c r="H2236" s="53">
        <v>-45.558723000000001</v>
      </c>
      <c r="I2236" s="53">
        <v>-23.110382999999999</v>
      </c>
      <c r="J2236" s="53">
        <v>-45.703434000000001</v>
      </c>
      <c r="L2236" s="61" t="str">
        <f t="shared" si="35"/>
        <v>Cliente39-Cliente17</v>
      </c>
      <c r="M2236">
        <v>28.111523999999999</v>
      </c>
    </row>
    <row r="2237" spans="1:13" x14ac:dyDescent="0.25">
      <c r="A2237" s="15" t="s">
        <v>4309</v>
      </c>
      <c r="B2237" s="15" t="s">
        <v>4288</v>
      </c>
      <c r="C2237" s="54">
        <v>21.710763</v>
      </c>
      <c r="D2237" s="26">
        <v>2.5694444444444447E-2</v>
      </c>
      <c r="E2237" s="55">
        <v>-23.028251000000001</v>
      </c>
      <c r="F2237" s="55">
        <v>-45.553410999999997</v>
      </c>
      <c r="G2237" s="55">
        <v>-23.046925999999999</v>
      </c>
      <c r="H2237" s="55">
        <v>-45.592117999999999</v>
      </c>
      <c r="I2237" s="55">
        <v>-23.160066</v>
      </c>
      <c r="J2237" s="55">
        <v>-45.805016000000002</v>
      </c>
      <c r="L2237" s="61" t="str">
        <f t="shared" si="35"/>
        <v>Cliente39-Cliente18</v>
      </c>
      <c r="M2237">
        <v>21.710763</v>
      </c>
    </row>
    <row r="2238" spans="1:13" x14ac:dyDescent="0.25">
      <c r="A2238" s="15" t="s">
        <v>4309</v>
      </c>
      <c r="B2238" s="15" t="s">
        <v>4289</v>
      </c>
      <c r="C2238" s="52">
        <v>83.10239</v>
      </c>
      <c r="D2238" s="25">
        <v>7.4999999999999997E-2</v>
      </c>
      <c r="E2238" s="53">
        <v>-23.238009999999999</v>
      </c>
      <c r="F2238" s="53">
        <v>-45.919735000000003</v>
      </c>
      <c r="G2238" s="53">
        <v>-23.363486999999999</v>
      </c>
      <c r="H2238" s="53">
        <v>-46.223405999999997</v>
      </c>
      <c r="I2238" s="53">
        <v>-23.521878999999998</v>
      </c>
      <c r="J2238" s="53">
        <v>-46.585016000000003</v>
      </c>
      <c r="L2238" s="61" t="str">
        <f t="shared" si="35"/>
        <v>Cliente39-Cliente19</v>
      </c>
      <c r="M2238">
        <v>83.10239</v>
      </c>
    </row>
    <row r="2239" spans="1:13" x14ac:dyDescent="0.25">
      <c r="A2239" s="15" t="s">
        <v>4309</v>
      </c>
      <c r="B2239" s="15" t="s">
        <v>4290</v>
      </c>
      <c r="C2239" s="54">
        <v>90.655175</v>
      </c>
      <c r="D2239" s="26">
        <v>8.4027777777777771E-2</v>
      </c>
      <c r="E2239" s="55">
        <v>-23.297739</v>
      </c>
      <c r="F2239" s="55">
        <v>-46.009698</v>
      </c>
      <c r="G2239" s="55">
        <v>-23.382425000000001</v>
      </c>
      <c r="H2239" s="55">
        <v>-46.261808000000002</v>
      </c>
      <c r="I2239" s="55">
        <v>-23.518471999999999</v>
      </c>
      <c r="J2239" s="55">
        <v>-46.617952000000002</v>
      </c>
      <c r="L2239" s="61" t="str">
        <f t="shared" si="35"/>
        <v>Cliente39-Cliente20</v>
      </c>
      <c r="M2239">
        <v>90.655175</v>
      </c>
    </row>
    <row r="2240" spans="1:13" x14ac:dyDescent="0.25">
      <c r="A2240" s="15" t="s">
        <v>4309</v>
      </c>
      <c r="B2240" s="15" t="s">
        <v>4291</v>
      </c>
      <c r="C2240" s="52">
        <v>90.261846000000006</v>
      </c>
      <c r="D2240" s="25">
        <v>8.4722222222222213E-2</v>
      </c>
      <c r="E2240" s="53">
        <v>-23.302142</v>
      </c>
      <c r="F2240" s="53">
        <v>-46.025424000000001</v>
      </c>
      <c r="G2240" s="53">
        <v>-23.399491999999999</v>
      </c>
      <c r="H2240" s="53">
        <v>-46.301071</v>
      </c>
      <c r="I2240" s="53">
        <v>-23.512460999999998</v>
      </c>
      <c r="J2240" s="53">
        <v>-46.679355999999999</v>
      </c>
      <c r="L2240" s="61" t="str">
        <f t="shared" si="35"/>
        <v>Cliente39-Cliente21</v>
      </c>
      <c r="M2240">
        <v>90.261846000000006</v>
      </c>
    </row>
    <row r="2241" spans="1:13" x14ac:dyDescent="0.25">
      <c r="A2241" s="15" t="s">
        <v>4309</v>
      </c>
      <c r="B2241" s="15" t="s">
        <v>4292</v>
      </c>
      <c r="C2241" s="54">
        <v>86.972299000000007</v>
      </c>
      <c r="D2241" s="26">
        <v>8.1944444444444445E-2</v>
      </c>
      <c r="E2241" s="55">
        <v>-23.298971000000002</v>
      </c>
      <c r="F2241" s="55">
        <v>-46.011955999999998</v>
      </c>
      <c r="G2241" s="55">
        <v>-23.393184000000002</v>
      </c>
      <c r="H2241" s="55">
        <v>-46.285952000000002</v>
      </c>
      <c r="I2241" s="55">
        <v>-23.518851000000002</v>
      </c>
      <c r="J2241" s="55">
        <v>-46.622418000000003</v>
      </c>
      <c r="L2241" s="61" t="str">
        <f t="shared" si="35"/>
        <v>Cliente39-Cliente22</v>
      </c>
      <c r="M2241">
        <v>86.972299000000007</v>
      </c>
    </row>
    <row r="2242" spans="1:13" x14ac:dyDescent="0.25">
      <c r="A2242" s="15" t="s">
        <v>4309</v>
      </c>
      <c r="B2242" s="15" t="s">
        <v>4293</v>
      </c>
      <c r="C2242" s="52">
        <v>90.303477999999998</v>
      </c>
      <c r="D2242" s="25">
        <v>9.3055555555555558E-2</v>
      </c>
      <c r="E2242" s="53">
        <v>-23.308782999999998</v>
      </c>
      <c r="F2242" s="53">
        <v>-46.058050000000001</v>
      </c>
      <c r="G2242" s="53">
        <v>-23.411899999999999</v>
      </c>
      <c r="H2242" s="53">
        <v>-46.355344000000002</v>
      </c>
      <c r="I2242" s="53">
        <v>-23.550066999999999</v>
      </c>
      <c r="J2242" s="53">
        <v>-46.646569999999997</v>
      </c>
      <c r="L2242" s="61" t="str">
        <f t="shared" si="35"/>
        <v>Cliente39-Cliente23</v>
      </c>
      <c r="M2242">
        <v>90.303477999999998</v>
      </c>
    </row>
    <row r="2243" spans="1:13" x14ac:dyDescent="0.25">
      <c r="A2243" s="15" t="s">
        <v>4309</v>
      </c>
      <c r="B2243" s="15" t="s">
        <v>4294</v>
      </c>
      <c r="C2243" s="54">
        <v>90.255633000000003</v>
      </c>
      <c r="D2243" s="26">
        <v>9.375E-2</v>
      </c>
      <c r="E2243" s="55">
        <v>-23.307210000000001</v>
      </c>
      <c r="F2243" s="55">
        <v>-46.041981</v>
      </c>
      <c r="G2243" s="55">
        <v>-23.402888999999998</v>
      </c>
      <c r="H2243" s="55">
        <v>-46.327539000000002</v>
      </c>
      <c r="I2243" s="55">
        <v>-23.555631999999999</v>
      </c>
      <c r="J2243" s="55">
        <v>-46.627806</v>
      </c>
      <c r="L2243" s="61" t="str">
        <f t="shared" si="35"/>
        <v>Cliente39-Cliente24</v>
      </c>
      <c r="M2243">
        <v>90.255633000000003</v>
      </c>
    </row>
    <row r="2244" spans="1:13" x14ac:dyDescent="0.25">
      <c r="A2244" s="15" t="s">
        <v>4309</v>
      </c>
      <c r="B2244" s="15" t="s">
        <v>4295</v>
      </c>
      <c r="C2244" s="52">
        <v>92.678985999999995</v>
      </c>
      <c r="D2244" s="25">
        <v>9.930555555555555E-2</v>
      </c>
      <c r="E2244" s="53">
        <v>-23.315766</v>
      </c>
      <c r="F2244" s="53">
        <v>-46.077271000000003</v>
      </c>
      <c r="G2244" s="53">
        <v>-23.471778</v>
      </c>
      <c r="H2244" s="53">
        <v>-46.518948000000002</v>
      </c>
      <c r="I2244" s="53">
        <v>-23.570535</v>
      </c>
      <c r="J2244" s="53">
        <v>-46.689830999999998</v>
      </c>
      <c r="L2244" s="61" t="str">
        <f t="shared" si="35"/>
        <v>Cliente39-Cliente25</v>
      </c>
      <c r="M2244">
        <v>92.678985999999995</v>
      </c>
    </row>
    <row r="2245" spans="1:13" x14ac:dyDescent="0.25">
      <c r="A2245" s="15" t="s">
        <v>4309</v>
      </c>
      <c r="B2245" s="15" t="s">
        <v>4296</v>
      </c>
      <c r="C2245" s="54">
        <v>99.368064000000004</v>
      </c>
      <c r="D2245" s="26">
        <v>9.3055555555555558E-2</v>
      </c>
      <c r="E2245" s="55">
        <v>-23.320929</v>
      </c>
      <c r="F2245" s="55">
        <v>-46.092657000000003</v>
      </c>
      <c r="G2245" s="55">
        <v>-23.521878999999998</v>
      </c>
      <c r="H2245" s="55">
        <v>-46.585016000000003</v>
      </c>
      <c r="I2245" s="55">
        <v>-23.512758999999999</v>
      </c>
      <c r="J2245" s="55">
        <v>-46.798164999999997</v>
      </c>
      <c r="L2245" s="61" t="str">
        <f t="shared" si="35"/>
        <v>Cliente39-Cliente26</v>
      </c>
      <c r="M2245">
        <v>99.368064000000004</v>
      </c>
    </row>
    <row r="2246" spans="1:13" x14ac:dyDescent="0.25">
      <c r="A2246" s="15" t="s">
        <v>4309</v>
      </c>
      <c r="B2246" s="15" t="s">
        <v>4297</v>
      </c>
      <c r="C2246" s="52">
        <v>92.165110999999996</v>
      </c>
      <c r="D2246" s="25">
        <v>9.5833333333333326E-2</v>
      </c>
      <c r="E2246" s="53">
        <v>-23.320929</v>
      </c>
      <c r="F2246" s="53">
        <v>-46.092657000000003</v>
      </c>
      <c r="G2246" s="53">
        <v>-23.521705000000001</v>
      </c>
      <c r="H2246" s="53">
        <v>-46.585081000000002</v>
      </c>
      <c r="I2246" s="53">
        <v>-23.576968000000001</v>
      </c>
      <c r="J2246" s="53">
        <v>-46.672915000000003</v>
      </c>
      <c r="L2246" s="61" t="str">
        <f t="shared" si="35"/>
        <v>Cliente39-Cliente27</v>
      </c>
      <c r="M2246">
        <v>92.165110999999996</v>
      </c>
    </row>
    <row r="2247" spans="1:13" x14ac:dyDescent="0.25">
      <c r="A2247" s="15" t="s">
        <v>4309</v>
      </c>
      <c r="B2247" s="15" t="s">
        <v>4298</v>
      </c>
      <c r="C2247" s="54">
        <v>91.869958999999994</v>
      </c>
      <c r="D2247" s="26">
        <v>9.0972222222222218E-2</v>
      </c>
      <c r="E2247" s="55">
        <v>-23.307817</v>
      </c>
      <c r="F2247" s="55">
        <v>-46.054782000000003</v>
      </c>
      <c r="G2247" s="55">
        <v>-23.407961</v>
      </c>
      <c r="H2247" s="55">
        <v>-46.338622999999998</v>
      </c>
      <c r="I2247" s="55">
        <v>-23.555617999999999</v>
      </c>
      <c r="J2247" s="55">
        <v>-46.638311000000002</v>
      </c>
      <c r="L2247" s="61" t="str">
        <f t="shared" si="35"/>
        <v>Cliente39-Cliente28</v>
      </c>
      <c r="M2247">
        <v>91.869958999999994</v>
      </c>
    </row>
    <row r="2248" spans="1:13" x14ac:dyDescent="0.25">
      <c r="A2248" s="15" t="s">
        <v>4309</v>
      </c>
      <c r="B2248" s="15" t="s">
        <v>4299</v>
      </c>
      <c r="C2248" s="52">
        <v>89.454683000000003</v>
      </c>
      <c r="D2248" s="25">
        <v>8.6111111111111124E-2</v>
      </c>
      <c r="E2248" s="53">
        <v>-23.301573999999999</v>
      </c>
      <c r="F2248" s="53">
        <v>-46.023099999999999</v>
      </c>
      <c r="G2248" s="53">
        <v>-23.398163</v>
      </c>
      <c r="H2248" s="53">
        <v>-46.297789000000002</v>
      </c>
      <c r="I2248" s="53">
        <v>-23.573723000000001</v>
      </c>
      <c r="J2248" s="53">
        <v>-46.570911000000002</v>
      </c>
      <c r="L2248" s="61" t="str">
        <f t="shared" si="35"/>
        <v>Cliente39-Cliente29</v>
      </c>
      <c r="M2248">
        <v>89.454683000000003</v>
      </c>
    </row>
    <row r="2249" spans="1:13" x14ac:dyDescent="0.25">
      <c r="A2249" s="15" t="s">
        <v>4309</v>
      </c>
      <c r="B2249" s="15" t="s">
        <v>4300</v>
      </c>
      <c r="C2249" s="54">
        <v>90.516609000000003</v>
      </c>
      <c r="D2249" s="26">
        <v>7.9861111111111105E-2</v>
      </c>
      <c r="E2249" s="55">
        <v>-23.315766</v>
      </c>
      <c r="F2249" s="55">
        <v>-46.077271000000003</v>
      </c>
      <c r="G2249" s="55">
        <v>-23.455819000000002</v>
      </c>
      <c r="H2249" s="55">
        <v>-46.337964999999997</v>
      </c>
      <c r="I2249" s="55">
        <v>-23.646697</v>
      </c>
      <c r="J2249" s="55">
        <v>-46.393048</v>
      </c>
      <c r="L2249" s="61" t="str">
        <f t="shared" si="35"/>
        <v>Cliente39-Cliente30</v>
      </c>
      <c r="M2249">
        <v>90.516609000000003</v>
      </c>
    </row>
    <row r="2250" spans="1:13" x14ac:dyDescent="0.25">
      <c r="A2250" s="15" t="s">
        <v>4309</v>
      </c>
      <c r="B2250" s="15" t="s">
        <v>4301</v>
      </c>
      <c r="C2250" s="52">
        <v>104.51862300000001</v>
      </c>
      <c r="D2250" s="25">
        <v>9.8611111111111108E-2</v>
      </c>
      <c r="E2250" s="53">
        <v>-23.317084999999999</v>
      </c>
      <c r="F2250" s="53">
        <v>-46.082048</v>
      </c>
      <c r="G2250" s="53">
        <v>-23.500836</v>
      </c>
      <c r="H2250" s="53">
        <v>-46.563349000000002</v>
      </c>
      <c r="I2250" s="53">
        <v>-23.520325</v>
      </c>
      <c r="J2250" s="53">
        <v>-46.777152000000001</v>
      </c>
      <c r="L2250" s="61" t="str">
        <f t="shared" si="35"/>
        <v>Cliente39-Cliente31</v>
      </c>
      <c r="M2250">
        <v>104.51862300000001</v>
      </c>
    </row>
    <row r="2251" spans="1:13" x14ac:dyDescent="0.25">
      <c r="A2251" s="15" t="s">
        <v>4309</v>
      </c>
      <c r="B2251" s="15" t="s">
        <v>4302</v>
      </c>
      <c r="C2251" s="54">
        <v>88.401455999999996</v>
      </c>
      <c r="D2251" s="26">
        <v>8.2638888888888887E-2</v>
      </c>
      <c r="E2251" s="55">
        <v>-23.296289999999999</v>
      </c>
      <c r="F2251" s="55">
        <v>-46.007776</v>
      </c>
      <c r="G2251" s="55">
        <v>-23.377828999999998</v>
      </c>
      <c r="H2251" s="55">
        <v>-46.254559</v>
      </c>
      <c r="I2251" s="55">
        <v>-23.520395000000001</v>
      </c>
      <c r="J2251" s="55">
        <v>-46.614162999999998</v>
      </c>
      <c r="L2251" s="61" t="str">
        <f t="shared" si="35"/>
        <v>Cliente39-Cliente32</v>
      </c>
      <c r="M2251">
        <v>88.401455999999996</v>
      </c>
    </row>
    <row r="2252" spans="1:13" x14ac:dyDescent="0.25">
      <c r="A2252" s="15" t="s">
        <v>4309</v>
      </c>
      <c r="B2252" s="15" t="s">
        <v>4303</v>
      </c>
      <c r="C2252" s="52">
        <v>78.467571000000007</v>
      </c>
      <c r="D2252" s="25">
        <v>7.2222222222222229E-2</v>
      </c>
      <c r="E2252" s="53">
        <v>-23.158128000000001</v>
      </c>
      <c r="F2252" s="53">
        <v>-45.797541000000002</v>
      </c>
      <c r="G2252" s="53">
        <v>-23.351769999999998</v>
      </c>
      <c r="H2252" s="53">
        <v>-46.197811999999999</v>
      </c>
      <c r="I2252" s="53">
        <v>-23.425604</v>
      </c>
      <c r="J2252" s="53">
        <v>-46.403803000000003</v>
      </c>
      <c r="L2252" s="61" t="str">
        <f t="shared" si="35"/>
        <v>Cliente39-Cliente33</v>
      </c>
      <c r="M2252">
        <v>78.467571000000007</v>
      </c>
    </row>
    <row r="2253" spans="1:13" x14ac:dyDescent="0.25">
      <c r="A2253" s="15" t="s">
        <v>4309</v>
      </c>
      <c r="B2253" s="15" t="s">
        <v>4304</v>
      </c>
      <c r="C2253" s="54">
        <v>98.078093999999993</v>
      </c>
      <c r="D2253" s="26">
        <v>9.4444444444444442E-2</v>
      </c>
      <c r="E2253" s="55">
        <v>-23.31972</v>
      </c>
      <c r="F2253" s="55">
        <v>-46.088408999999999</v>
      </c>
      <c r="G2253" s="55">
        <v>-23.50525</v>
      </c>
      <c r="H2253" s="55">
        <v>-46.569184999999997</v>
      </c>
      <c r="I2253" s="55">
        <v>-23.519904</v>
      </c>
      <c r="J2253" s="55">
        <v>-46.778849000000001</v>
      </c>
      <c r="L2253" s="61" t="str">
        <f t="shared" si="35"/>
        <v>Cliente39-Cliente34</v>
      </c>
      <c r="M2253">
        <v>98.078093999999993</v>
      </c>
    </row>
    <row r="2254" spans="1:13" x14ac:dyDescent="0.25">
      <c r="A2254" s="15" t="s">
        <v>4309</v>
      </c>
      <c r="B2254" s="15" t="s">
        <v>4305</v>
      </c>
      <c r="C2254" s="52">
        <v>98.673991000000001</v>
      </c>
      <c r="D2254" s="25">
        <v>9.375E-2</v>
      </c>
      <c r="E2254" s="53">
        <v>-23.315766</v>
      </c>
      <c r="F2254" s="53">
        <v>-46.077271000000003</v>
      </c>
      <c r="G2254" s="53">
        <v>-23.472415999999999</v>
      </c>
      <c r="H2254" s="53">
        <v>-46.520173</v>
      </c>
      <c r="I2254" s="53">
        <v>-23.524611</v>
      </c>
      <c r="J2254" s="53">
        <v>-46.754534999999997</v>
      </c>
      <c r="L2254" s="61" t="str">
        <f t="shared" si="35"/>
        <v>Cliente39-Cliente35</v>
      </c>
      <c r="M2254">
        <v>98.673991000000001</v>
      </c>
    </row>
    <row r="2255" spans="1:13" x14ac:dyDescent="0.25">
      <c r="A2255" s="15" t="s">
        <v>4309</v>
      </c>
      <c r="B2255" s="15" t="s">
        <v>4306</v>
      </c>
      <c r="C2255" s="54">
        <v>207.37383</v>
      </c>
      <c r="D2255" s="26">
        <v>0.17152777777777775</v>
      </c>
      <c r="E2255" s="55">
        <v>-23.164539000000001</v>
      </c>
      <c r="F2255" s="55">
        <v>-46.225582000000003</v>
      </c>
      <c r="G2255" s="55">
        <v>-23.010956</v>
      </c>
      <c r="H2255" s="55">
        <v>-46.764772000000001</v>
      </c>
      <c r="I2255" s="55">
        <v>-22.609055000000001</v>
      </c>
      <c r="J2255" s="55">
        <v>-47.359665999999997</v>
      </c>
      <c r="L2255" s="61" t="str">
        <f t="shared" si="35"/>
        <v>Cliente39-Cliente36</v>
      </c>
      <c r="M2255">
        <v>207.37383</v>
      </c>
    </row>
    <row r="2256" spans="1:13" x14ac:dyDescent="0.25">
      <c r="A2256" s="15" t="s">
        <v>4309</v>
      </c>
      <c r="B2256" s="15" t="s">
        <v>4307</v>
      </c>
      <c r="C2256" s="52">
        <v>206.277107</v>
      </c>
      <c r="D2256" s="25">
        <v>0.17013888888888887</v>
      </c>
      <c r="E2256" s="53">
        <v>-23.164041999999998</v>
      </c>
      <c r="F2256" s="53">
        <v>-46.228105999999997</v>
      </c>
      <c r="G2256" s="53">
        <v>-23.004674000000001</v>
      </c>
      <c r="H2256" s="53">
        <v>-46.769309999999997</v>
      </c>
      <c r="I2256" s="53">
        <v>-22.5883</v>
      </c>
      <c r="J2256" s="53">
        <v>-47.367502000000002</v>
      </c>
      <c r="L2256" s="61" t="str">
        <f t="shared" si="35"/>
        <v>Cliente39-Cliente37</v>
      </c>
      <c r="M2256">
        <v>206.277107</v>
      </c>
    </row>
    <row r="2257" spans="1:13" x14ac:dyDescent="0.25">
      <c r="A2257" s="15" t="s">
        <v>4309</v>
      </c>
      <c r="B2257" s="15" t="s">
        <v>4308</v>
      </c>
      <c r="C2257" s="54">
        <v>204.50060300000001</v>
      </c>
      <c r="D2257" s="26">
        <v>0.16805555555555554</v>
      </c>
      <c r="E2257" s="55">
        <v>-23.169146000000001</v>
      </c>
      <c r="F2257" s="55">
        <v>-46.220847999999997</v>
      </c>
      <c r="G2257" s="55">
        <v>-23.020544000000001</v>
      </c>
      <c r="H2257" s="55">
        <v>-46.754022999999997</v>
      </c>
      <c r="I2257" s="55">
        <v>-22.646929</v>
      </c>
      <c r="J2257" s="55">
        <v>-47.326261000000002</v>
      </c>
      <c r="L2257" s="61" t="str">
        <f t="shared" si="35"/>
        <v>Cliente39-Cliente38</v>
      </c>
      <c r="M2257">
        <v>204.50060300000001</v>
      </c>
    </row>
    <row r="2258" spans="1:13" x14ac:dyDescent="0.25">
      <c r="A2258" s="15" t="s">
        <v>4309</v>
      </c>
      <c r="B2258" s="15" t="s">
        <v>4309</v>
      </c>
      <c r="C2258" s="52">
        <v>0</v>
      </c>
      <c r="D2258" s="25">
        <v>0</v>
      </c>
      <c r="E2258" s="53">
        <f>'1. Locais'!D43</f>
        <v>-23.017330000000001</v>
      </c>
      <c r="F2258" s="53">
        <f>'1. Locais'!E43</f>
        <v>-45.55106</v>
      </c>
      <c r="G2258" s="53">
        <f>'1. Locais'!D43</f>
        <v>-23.017330000000001</v>
      </c>
      <c r="H2258" s="53">
        <f>'1. Locais'!E43</f>
        <v>-45.55106</v>
      </c>
      <c r="I2258" s="53">
        <f>'1. Locais'!D43</f>
        <v>-23.017330000000001</v>
      </c>
      <c r="J2258" s="53">
        <f>'1. Locais'!E43</f>
        <v>-45.55106</v>
      </c>
      <c r="L2258" s="61" t="str">
        <f t="shared" ref="L2258:L2321" si="36">_xlfn.CONCAT(A2258,"-",B2258)</f>
        <v>Cliente39-Cliente39</v>
      </c>
      <c r="M2258">
        <v>0</v>
      </c>
    </row>
    <row r="2259" spans="1:13" x14ac:dyDescent="0.25">
      <c r="A2259" s="15" t="s">
        <v>4309</v>
      </c>
      <c r="B2259" s="15" t="s">
        <v>4310</v>
      </c>
      <c r="C2259" s="54">
        <v>2.2238929999999999</v>
      </c>
      <c r="D2259" s="26">
        <v>6.2499999999999995E-3</v>
      </c>
      <c r="E2259" s="55">
        <v>-23.019877999999999</v>
      </c>
      <c r="F2259" s="55">
        <v>-45.552624999999999</v>
      </c>
      <c r="G2259" s="55">
        <v>-23.008189000000002</v>
      </c>
      <c r="H2259" s="55">
        <v>-45.547204000000001</v>
      </c>
      <c r="I2259" s="55">
        <v>-23.005761</v>
      </c>
      <c r="J2259" s="55">
        <v>-45.546498</v>
      </c>
      <c r="L2259" s="61" t="str">
        <f t="shared" si="36"/>
        <v>Cliente39-Cliente40</v>
      </c>
      <c r="M2259">
        <v>2.2238929999999999</v>
      </c>
    </row>
    <row r="2260" spans="1:13" x14ac:dyDescent="0.25">
      <c r="A2260" s="15" t="s">
        <v>4309</v>
      </c>
      <c r="B2260" s="15" t="s">
        <v>4311</v>
      </c>
      <c r="C2260" s="52">
        <v>15.890364999999999</v>
      </c>
      <c r="D2260" s="25">
        <v>2.2916666666666669E-2</v>
      </c>
      <c r="E2260" s="53">
        <v>-23.029966999999999</v>
      </c>
      <c r="F2260" s="53">
        <v>-45.554225000000002</v>
      </c>
      <c r="G2260" s="53">
        <v>-23.109582</v>
      </c>
      <c r="H2260" s="53">
        <v>-45.702143999999997</v>
      </c>
      <c r="I2260" s="53">
        <v>-23.086359000000002</v>
      </c>
      <c r="J2260" s="53">
        <v>-45.710070000000002</v>
      </c>
      <c r="L2260" s="61" t="str">
        <f t="shared" si="36"/>
        <v>Cliente39-Cliente41</v>
      </c>
      <c r="M2260">
        <v>15.890364999999999</v>
      </c>
    </row>
    <row r="2261" spans="1:13" x14ac:dyDescent="0.25">
      <c r="A2261" s="15" t="s">
        <v>4309</v>
      </c>
      <c r="B2261" s="15" t="s">
        <v>4312</v>
      </c>
      <c r="C2261" s="54">
        <v>14.066636000000001</v>
      </c>
      <c r="D2261" s="26">
        <v>1.8055555555555557E-2</v>
      </c>
      <c r="E2261" s="55">
        <v>-23.023226999999999</v>
      </c>
      <c r="F2261" s="55">
        <v>-45.548865999999997</v>
      </c>
      <c r="G2261" s="55">
        <v>-23.037697999999999</v>
      </c>
      <c r="H2261" s="55">
        <v>-45.560026000000001</v>
      </c>
      <c r="I2261" s="55">
        <v>-23.113970999999999</v>
      </c>
      <c r="J2261" s="55">
        <v>-45.711077000000003</v>
      </c>
      <c r="L2261" s="61" t="str">
        <f t="shared" si="36"/>
        <v>Cliente39-Cliente42</v>
      </c>
      <c r="M2261">
        <v>14.066636000000001</v>
      </c>
    </row>
    <row r="2262" spans="1:13" x14ac:dyDescent="0.25">
      <c r="A2262" s="15" t="s">
        <v>4309</v>
      </c>
      <c r="B2262" s="15" t="s">
        <v>4313</v>
      </c>
      <c r="C2262" s="52">
        <v>7.0215120000000004</v>
      </c>
      <c r="D2262" s="25">
        <v>1.3888888888888888E-2</v>
      </c>
      <c r="E2262" s="53">
        <v>-23.00798</v>
      </c>
      <c r="F2262" s="53">
        <v>-45.546995000000003</v>
      </c>
      <c r="G2262" s="53">
        <v>-22.991562999999999</v>
      </c>
      <c r="H2262" s="53">
        <v>-45.528939999999999</v>
      </c>
      <c r="I2262" s="53">
        <v>-22.977526999999998</v>
      </c>
      <c r="J2262" s="53">
        <v>-45.515054999999997</v>
      </c>
      <c r="L2262" s="61" t="str">
        <f t="shared" si="36"/>
        <v>Cliente39-Cliente43</v>
      </c>
      <c r="M2262">
        <v>7.0215120000000004</v>
      </c>
    </row>
    <row r="2263" spans="1:13" x14ac:dyDescent="0.25">
      <c r="A2263" s="15" t="s">
        <v>4309</v>
      </c>
      <c r="B2263" s="15" t="s">
        <v>4314</v>
      </c>
      <c r="C2263" s="54">
        <v>151.38006899999999</v>
      </c>
      <c r="D2263" s="26">
        <v>0.13333333333333333</v>
      </c>
      <c r="E2263" s="55">
        <v>-23.356466000000001</v>
      </c>
      <c r="F2263" s="55">
        <v>-46.206147000000001</v>
      </c>
      <c r="G2263" s="55">
        <v>-23.507998000000001</v>
      </c>
      <c r="H2263" s="55">
        <v>-46.719386999999998</v>
      </c>
      <c r="I2263" s="55">
        <v>-23.423148000000001</v>
      </c>
      <c r="J2263" s="55">
        <v>-47.151090000000003</v>
      </c>
      <c r="L2263" s="61" t="str">
        <f t="shared" si="36"/>
        <v>Cliente39-Cliente44</v>
      </c>
      <c r="M2263">
        <v>151.38006899999999</v>
      </c>
    </row>
    <row r="2264" spans="1:13" x14ac:dyDescent="0.25">
      <c r="A2264" s="15" t="s">
        <v>4309</v>
      </c>
      <c r="B2264" s="15" t="s">
        <v>4315</v>
      </c>
      <c r="C2264" s="52">
        <v>155.67313300000001</v>
      </c>
      <c r="D2264" s="25">
        <v>0.1423611111111111</v>
      </c>
      <c r="E2264" s="53">
        <v>-23.369409999999998</v>
      </c>
      <c r="F2264" s="53">
        <v>-46.239449999999998</v>
      </c>
      <c r="G2264" s="53">
        <v>-23.520499000000001</v>
      </c>
      <c r="H2264" s="53">
        <v>-46.747872000000001</v>
      </c>
      <c r="I2264" s="53">
        <v>-23.401191000000001</v>
      </c>
      <c r="J2264" s="53">
        <v>-47.332746</v>
      </c>
      <c r="L2264" s="61" t="str">
        <f t="shared" si="36"/>
        <v>Cliente39-Cliente45</v>
      </c>
      <c r="M2264">
        <v>155.67313300000001</v>
      </c>
    </row>
    <row r="2265" spans="1:13" x14ac:dyDescent="0.25">
      <c r="A2265" s="15" t="s">
        <v>4309</v>
      </c>
      <c r="B2265" s="15" t="s">
        <v>4316</v>
      </c>
      <c r="C2265" s="54">
        <v>153.78043199999999</v>
      </c>
      <c r="D2265" s="26">
        <v>0.1388888888888889</v>
      </c>
      <c r="E2265" s="55">
        <v>-23.357271000000001</v>
      </c>
      <c r="F2265" s="55">
        <v>-46.208392000000003</v>
      </c>
      <c r="G2265" s="55">
        <v>-23.512556</v>
      </c>
      <c r="H2265" s="55">
        <v>-46.723908999999999</v>
      </c>
      <c r="I2265" s="55">
        <v>-23.418655999999999</v>
      </c>
      <c r="J2265" s="55">
        <v>-47.220267</v>
      </c>
      <c r="L2265" s="61" t="str">
        <f t="shared" si="36"/>
        <v>Cliente39-Cliente46</v>
      </c>
      <c r="M2265">
        <v>153.78043199999999</v>
      </c>
    </row>
    <row r="2266" spans="1:13" x14ac:dyDescent="0.25">
      <c r="A2266" s="15" t="s">
        <v>4309</v>
      </c>
      <c r="B2266" s="15" t="s">
        <v>4317</v>
      </c>
      <c r="C2266" s="52">
        <v>267.85266000000001</v>
      </c>
      <c r="D2266" s="25">
        <v>0.21805555555555556</v>
      </c>
      <c r="E2266" s="53">
        <v>-23.172706999999999</v>
      </c>
      <c r="F2266" s="53">
        <v>-46.261521000000002</v>
      </c>
      <c r="G2266" s="53">
        <v>-22.935393000000001</v>
      </c>
      <c r="H2266" s="53">
        <v>-46.895313999999999</v>
      </c>
      <c r="I2266" s="53">
        <v>-22.268853</v>
      </c>
      <c r="J2266" s="53">
        <v>-46.973627999999998</v>
      </c>
      <c r="L2266" s="61" t="str">
        <f t="shared" si="36"/>
        <v>Cliente39-Cliente47</v>
      </c>
      <c r="M2266">
        <v>267.85266000000001</v>
      </c>
    </row>
    <row r="2267" spans="1:13" x14ac:dyDescent="0.25">
      <c r="A2267" s="15" t="s">
        <v>4309</v>
      </c>
      <c r="B2267" s="15" t="s">
        <v>4318</v>
      </c>
      <c r="C2267" s="54">
        <v>276.96384899999998</v>
      </c>
      <c r="D2267" s="26">
        <v>0.22638888888888889</v>
      </c>
      <c r="E2267" s="55">
        <v>-23.182054999999998</v>
      </c>
      <c r="F2267" s="55">
        <v>-46.308515</v>
      </c>
      <c r="G2267" s="55">
        <v>-22.916698</v>
      </c>
      <c r="H2267" s="55">
        <v>-46.946623000000002</v>
      </c>
      <c r="I2267" s="55">
        <v>-22.010959</v>
      </c>
      <c r="J2267" s="55">
        <v>-47.141452999999998</v>
      </c>
      <c r="L2267" s="61" t="str">
        <f t="shared" si="36"/>
        <v>Cliente39-Cliente48</v>
      </c>
      <c r="M2267">
        <v>276.96384899999998</v>
      </c>
    </row>
    <row r="2268" spans="1:13" x14ac:dyDescent="0.25">
      <c r="A2268" s="15" t="s">
        <v>4309</v>
      </c>
      <c r="B2268" s="15" t="s">
        <v>4319</v>
      </c>
      <c r="C2268" s="52">
        <v>270.60161299999999</v>
      </c>
      <c r="D2268" s="25">
        <v>0.22222222222222221</v>
      </c>
      <c r="E2268" s="53">
        <v>-23.182300000000001</v>
      </c>
      <c r="F2268" s="53">
        <v>-46.293897000000001</v>
      </c>
      <c r="G2268" s="53">
        <v>-22.93197</v>
      </c>
      <c r="H2268" s="53">
        <v>-46.934762999999997</v>
      </c>
      <c r="I2268" s="53">
        <v>-22.044720000000002</v>
      </c>
      <c r="J2268" s="53">
        <v>-47.029206000000002</v>
      </c>
      <c r="L2268" s="61" t="str">
        <f t="shared" si="36"/>
        <v>Cliente39-Cliente49</v>
      </c>
      <c r="M2268">
        <v>270.60161299999999</v>
      </c>
    </row>
    <row r="2269" spans="1:13" x14ac:dyDescent="0.25">
      <c r="A2269" s="15" t="s">
        <v>4309</v>
      </c>
      <c r="B2269" s="15" t="s">
        <v>4320</v>
      </c>
      <c r="C2269" s="54">
        <v>287.50108699999998</v>
      </c>
      <c r="D2269" s="26">
        <v>0.23541666666666669</v>
      </c>
      <c r="E2269" s="55">
        <v>-23.188302</v>
      </c>
      <c r="F2269" s="55">
        <v>-46.358969999999999</v>
      </c>
      <c r="G2269" s="55">
        <v>-22.832039999999999</v>
      </c>
      <c r="H2269" s="55">
        <v>-47.177745999999999</v>
      </c>
      <c r="I2269" s="55">
        <v>-22.282378999999999</v>
      </c>
      <c r="J2269" s="55">
        <v>-47.989662000000003</v>
      </c>
      <c r="L2269" s="61" t="str">
        <f t="shared" si="36"/>
        <v>Cliente39-Cliente50</v>
      </c>
      <c r="M2269">
        <v>287.50108699999998</v>
      </c>
    </row>
    <row r="2270" spans="1:13" x14ac:dyDescent="0.25">
      <c r="A2270" s="15" t="s">
        <v>4309</v>
      </c>
      <c r="B2270" s="15" t="s">
        <v>4321</v>
      </c>
      <c r="C2270" s="52">
        <v>281.15625</v>
      </c>
      <c r="D2270" s="25">
        <v>0.23124999999999998</v>
      </c>
      <c r="E2270" s="53">
        <v>-23.193156999999999</v>
      </c>
      <c r="F2270" s="53">
        <v>-46.342463000000002</v>
      </c>
      <c r="G2270" s="53">
        <v>-22.843945999999999</v>
      </c>
      <c r="H2270" s="53">
        <v>-47.043337999999999</v>
      </c>
      <c r="I2270" s="53">
        <v>-22.245367000000002</v>
      </c>
      <c r="J2270" s="53">
        <v>-47.829360000000001</v>
      </c>
      <c r="L2270" s="61" t="str">
        <f t="shared" si="36"/>
        <v>Cliente39-Cliente51</v>
      </c>
      <c r="M2270">
        <v>281.15625</v>
      </c>
    </row>
    <row r="2271" spans="1:13" x14ac:dyDescent="0.25">
      <c r="A2271" s="15" t="s">
        <v>4310</v>
      </c>
      <c r="B2271" s="15" t="s">
        <v>4268</v>
      </c>
      <c r="C2271" s="54">
        <v>143.78316599999999</v>
      </c>
      <c r="D2271" s="26">
        <v>0.12430555555555556</v>
      </c>
      <c r="E2271" s="55">
        <v>-23.323074999999999</v>
      </c>
      <c r="F2271" s="55">
        <v>-46.119318</v>
      </c>
      <c r="G2271" s="55">
        <v>-23.518393</v>
      </c>
      <c r="H2271" s="55">
        <v>-46.620145999999998</v>
      </c>
      <c r="I2271" s="55">
        <v>-23.457318000000001</v>
      </c>
      <c r="J2271" s="55">
        <v>-47.049408</v>
      </c>
      <c r="L2271" s="61" t="str">
        <f t="shared" si="36"/>
        <v>Cliente40-depósito A</v>
      </c>
      <c r="M2271">
        <v>143.78316599999999</v>
      </c>
    </row>
    <row r="2272" spans="1:13" x14ac:dyDescent="0.25">
      <c r="A2272" s="15" t="s">
        <v>4310</v>
      </c>
      <c r="B2272" s="15" t="s">
        <v>4269</v>
      </c>
      <c r="C2272" s="52">
        <v>233.871028</v>
      </c>
      <c r="D2272" s="25">
        <v>0.18958333333333333</v>
      </c>
      <c r="E2272" s="53">
        <v>-23.181356999999998</v>
      </c>
      <c r="F2272" s="53">
        <v>-46.205978000000002</v>
      </c>
      <c r="G2272" s="53">
        <v>-23.012801</v>
      </c>
      <c r="H2272" s="53">
        <v>-46.763508999999999</v>
      </c>
      <c r="I2272" s="53">
        <v>-22.592675</v>
      </c>
      <c r="J2272" s="53">
        <v>-47.366796999999998</v>
      </c>
      <c r="L2272" s="61" t="str">
        <f t="shared" si="36"/>
        <v>Cliente40-depósito B</v>
      </c>
      <c r="M2272">
        <v>233.871028</v>
      </c>
    </row>
    <row r="2273" spans="1:13" x14ac:dyDescent="0.25">
      <c r="A2273" s="15" t="s">
        <v>4310</v>
      </c>
      <c r="B2273" s="15" t="s">
        <v>4270</v>
      </c>
      <c r="C2273" s="54">
        <v>38.766202</v>
      </c>
      <c r="D2273" s="26">
        <v>3.888888888888889E-2</v>
      </c>
      <c r="E2273" s="55">
        <v>-23.012142000000001</v>
      </c>
      <c r="F2273" s="55">
        <v>-45.524895999999998</v>
      </c>
      <c r="G2273" s="55">
        <v>-23.03661</v>
      </c>
      <c r="H2273" s="55">
        <v>-45.556632999999998</v>
      </c>
      <c r="I2273" s="55">
        <v>-23.280104999999999</v>
      </c>
      <c r="J2273" s="55">
        <v>-45.982275000000001</v>
      </c>
      <c r="L2273" s="61" t="str">
        <f t="shared" si="36"/>
        <v>Cliente40-depósito C</v>
      </c>
      <c r="M2273">
        <v>38.766202</v>
      </c>
    </row>
    <row r="2274" spans="1:13" x14ac:dyDescent="0.25">
      <c r="A2274" s="15" t="s">
        <v>4310</v>
      </c>
      <c r="B2274" s="15" t="s">
        <v>4271</v>
      </c>
      <c r="C2274" s="52">
        <v>124.84993799999999</v>
      </c>
      <c r="D2274" s="25">
        <v>0.11041666666666666</v>
      </c>
      <c r="E2274" s="53">
        <v>-23.251961000000001</v>
      </c>
      <c r="F2274" s="53">
        <v>-46.104294000000003</v>
      </c>
      <c r="G2274" s="53">
        <v>-23.165593999999999</v>
      </c>
      <c r="H2274" s="53">
        <v>-46.405121999999999</v>
      </c>
      <c r="I2274" s="53">
        <v>-22.928238</v>
      </c>
      <c r="J2274" s="53">
        <v>-46.910944000000001</v>
      </c>
      <c r="L2274" s="61" t="str">
        <f t="shared" si="36"/>
        <v>Cliente40-Cliente1</v>
      </c>
      <c r="M2274">
        <v>124.84993799999999</v>
      </c>
    </row>
    <row r="2275" spans="1:13" x14ac:dyDescent="0.25">
      <c r="A2275" s="15" t="s">
        <v>4310</v>
      </c>
      <c r="B2275" s="15" t="s">
        <v>4272</v>
      </c>
      <c r="C2275" s="54">
        <v>122.709931</v>
      </c>
      <c r="D2275" s="26">
        <v>0.10555555555555556</v>
      </c>
      <c r="E2275" s="55">
        <v>-23.256150000000002</v>
      </c>
      <c r="F2275" s="55">
        <v>-46.089134000000001</v>
      </c>
      <c r="G2275" s="55">
        <v>-23.186160999999998</v>
      </c>
      <c r="H2275" s="55">
        <v>-46.360508000000003</v>
      </c>
      <c r="I2275" s="55">
        <v>-22.990732999999999</v>
      </c>
      <c r="J2275" s="55">
        <v>-46.797373999999998</v>
      </c>
      <c r="L2275" s="61" t="str">
        <f t="shared" si="36"/>
        <v>Cliente40-Cliente2</v>
      </c>
      <c r="M2275">
        <v>122.709931</v>
      </c>
    </row>
    <row r="2276" spans="1:13" x14ac:dyDescent="0.25">
      <c r="A2276" s="15" t="s">
        <v>4310</v>
      </c>
      <c r="B2276" s="15" t="s">
        <v>4273</v>
      </c>
      <c r="C2276" s="52">
        <v>122.77641800000001</v>
      </c>
      <c r="D2276" s="25">
        <v>0.10625</v>
      </c>
      <c r="E2276" s="53">
        <v>-23.258977000000002</v>
      </c>
      <c r="F2276" s="53">
        <v>-46.094459000000001</v>
      </c>
      <c r="G2276" s="53">
        <v>-23.177406000000001</v>
      </c>
      <c r="H2276" s="53">
        <v>-46.379396999999997</v>
      </c>
      <c r="I2276" s="53">
        <v>-22.95363</v>
      </c>
      <c r="J2276" s="53">
        <v>-46.859690000000001</v>
      </c>
      <c r="L2276" s="61" t="str">
        <f t="shared" si="36"/>
        <v>Cliente40-Cliente3</v>
      </c>
      <c r="M2276">
        <v>122.77641800000001</v>
      </c>
    </row>
    <row r="2277" spans="1:13" x14ac:dyDescent="0.25">
      <c r="A2277" s="15" t="s">
        <v>4310</v>
      </c>
      <c r="B2277" s="15" t="s">
        <v>4274</v>
      </c>
      <c r="C2277" s="54">
        <v>126.625822</v>
      </c>
      <c r="D2277" s="26">
        <v>0.10694444444444444</v>
      </c>
      <c r="E2277" s="55">
        <v>-23.256150000000002</v>
      </c>
      <c r="F2277" s="55">
        <v>-46.089134000000001</v>
      </c>
      <c r="G2277" s="55">
        <v>-23.186160999999998</v>
      </c>
      <c r="H2277" s="55">
        <v>-46.360508000000003</v>
      </c>
      <c r="I2277" s="55">
        <v>-23.002006000000002</v>
      </c>
      <c r="J2277" s="55">
        <v>-46.778523999999997</v>
      </c>
      <c r="L2277" s="61" t="str">
        <f t="shared" si="36"/>
        <v>Cliente40-Cliente4</v>
      </c>
      <c r="M2277">
        <v>126.625822</v>
      </c>
    </row>
    <row r="2278" spans="1:13" x14ac:dyDescent="0.25">
      <c r="A2278" s="15" t="s">
        <v>4310</v>
      </c>
      <c r="B2278" s="15" t="s">
        <v>4275</v>
      </c>
      <c r="C2278" s="52">
        <v>126.71902799999999</v>
      </c>
      <c r="D2278" s="25">
        <v>0.10694444444444444</v>
      </c>
      <c r="E2278" s="53">
        <v>-23.25451</v>
      </c>
      <c r="F2278" s="53">
        <v>-46.087843999999997</v>
      </c>
      <c r="G2278" s="53">
        <v>-23.188302</v>
      </c>
      <c r="H2278" s="53">
        <v>-46.358969999999999</v>
      </c>
      <c r="I2278" s="53">
        <v>-23.004674000000001</v>
      </c>
      <c r="J2278" s="53">
        <v>-46.769309999999997</v>
      </c>
      <c r="L2278" s="61" t="str">
        <f t="shared" si="36"/>
        <v>Cliente40-Cliente5</v>
      </c>
      <c r="M2278">
        <v>126.71902799999999</v>
      </c>
    </row>
    <row r="2279" spans="1:13" x14ac:dyDescent="0.25">
      <c r="A2279" s="15" t="s">
        <v>4310</v>
      </c>
      <c r="B2279" s="15" t="s">
        <v>4276</v>
      </c>
      <c r="C2279" s="54">
        <v>127.040899</v>
      </c>
      <c r="D2279" s="26">
        <v>0.1125</v>
      </c>
      <c r="E2279" s="55">
        <v>-23.243258000000001</v>
      </c>
      <c r="F2279" s="55">
        <v>-46.118853000000001</v>
      </c>
      <c r="G2279" s="55">
        <v>-23.169357000000002</v>
      </c>
      <c r="H2279" s="55">
        <v>-46.441541000000001</v>
      </c>
      <c r="I2279" s="55">
        <v>-22.925576</v>
      </c>
      <c r="J2279" s="55">
        <v>-46.942058000000003</v>
      </c>
      <c r="L2279" s="61" t="str">
        <f t="shared" si="36"/>
        <v>Cliente40-Cliente6</v>
      </c>
      <c r="M2279">
        <v>127.040899</v>
      </c>
    </row>
    <row r="2280" spans="1:13" x14ac:dyDescent="0.25">
      <c r="A2280" s="15" t="s">
        <v>4310</v>
      </c>
      <c r="B2280" s="15" t="s">
        <v>4277</v>
      </c>
      <c r="C2280" s="52">
        <v>125.77205600000001</v>
      </c>
      <c r="D2280" s="25">
        <v>0.10972222222222222</v>
      </c>
      <c r="E2280" s="53">
        <v>-23.257709999999999</v>
      </c>
      <c r="F2280" s="53">
        <v>-46.099505999999998</v>
      </c>
      <c r="G2280" s="53">
        <v>-23.168427000000001</v>
      </c>
      <c r="H2280" s="53">
        <v>-46.393779000000002</v>
      </c>
      <c r="I2280" s="53">
        <v>-22.933866999999999</v>
      </c>
      <c r="J2280" s="53">
        <v>-46.898868</v>
      </c>
      <c r="L2280" s="61" t="str">
        <f t="shared" si="36"/>
        <v>Cliente40-Cliente7</v>
      </c>
      <c r="M2280">
        <v>125.77205600000001</v>
      </c>
    </row>
    <row r="2281" spans="1:13" x14ac:dyDescent="0.25">
      <c r="A2281" s="15" t="s">
        <v>4310</v>
      </c>
      <c r="B2281" s="15" t="s">
        <v>4278</v>
      </c>
      <c r="C2281" s="54">
        <v>120.50840700000001</v>
      </c>
      <c r="D2281" s="26">
        <v>0.1013888888888889</v>
      </c>
      <c r="E2281" s="55">
        <v>-23.247734000000001</v>
      </c>
      <c r="F2281" s="55">
        <v>-46.083571999999997</v>
      </c>
      <c r="G2281" s="55">
        <v>-23.193156999999999</v>
      </c>
      <c r="H2281" s="55">
        <v>-46.342463000000002</v>
      </c>
      <c r="I2281" s="55">
        <v>-23.026109999999999</v>
      </c>
      <c r="J2281" s="55">
        <v>-46.75103</v>
      </c>
      <c r="L2281" s="61" t="str">
        <f t="shared" si="36"/>
        <v>Cliente40-Cliente8</v>
      </c>
      <c r="M2281">
        <v>120.50840700000001</v>
      </c>
    </row>
    <row r="2282" spans="1:13" x14ac:dyDescent="0.25">
      <c r="A2282" s="15" t="s">
        <v>4310</v>
      </c>
      <c r="B2282" s="15" t="s">
        <v>4279</v>
      </c>
      <c r="C2282" s="52">
        <v>144.08950300000001</v>
      </c>
      <c r="D2282" s="25">
        <v>0.12222222222222223</v>
      </c>
      <c r="E2282" s="53">
        <v>-23.258869000000001</v>
      </c>
      <c r="F2282" s="53">
        <v>-46.096939999999996</v>
      </c>
      <c r="G2282" s="53">
        <v>-23.173535000000001</v>
      </c>
      <c r="H2282" s="53">
        <v>-46.384925000000003</v>
      </c>
      <c r="I2282" s="53">
        <v>-22.936367000000001</v>
      </c>
      <c r="J2282" s="53">
        <v>-46.882308999999999</v>
      </c>
      <c r="L2282" s="61" t="str">
        <f t="shared" si="36"/>
        <v>Cliente40-Cliente9</v>
      </c>
      <c r="M2282">
        <v>144.08950300000001</v>
      </c>
    </row>
    <row r="2283" spans="1:13" x14ac:dyDescent="0.25">
      <c r="A2283" s="15" t="s">
        <v>4310</v>
      </c>
      <c r="B2283" s="15" t="s">
        <v>4280</v>
      </c>
      <c r="C2283" s="54">
        <v>91.362919000000005</v>
      </c>
      <c r="D2283" s="26">
        <v>8.7500000000000008E-2</v>
      </c>
      <c r="E2283" s="55">
        <v>-23.20645</v>
      </c>
      <c r="F2283" s="55">
        <v>-45.885815000000001</v>
      </c>
      <c r="G2283" s="55">
        <v>-23.375692000000001</v>
      </c>
      <c r="H2283" s="55">
        <v>-46.246760000000002</v>
      </c>
      <c r="I2283" s="55">
        <v>-23.520395000000001</v>
      </c>
      <c r="J2283" s="55">
        <v>-46.614162999999998</v>
      </c>
      <c r="L2283" s="61" t="str">
        <f t="shared" si="36"/>
        <v>Cliente40-Cliente10</v>
      </c>
      <c r="M2283">
        <v>91.362919000000005</v>
      </c>
    </row>
    <row r="2284" spans="1:13" x14ac:dyDescent="0.25">
      <c r="A2284" s="15" t="s">
        <v>4310</v>
      </c>
      <c r="B2284" s="15" t="s">
        <v>4281</v>
      </c>
      <c r="C2284" s="52">
        <v>164.63954200000001</v>
      </c>
      <c r="D2284" s="25">
        <v>0.1361111111111111</v>
      </c>
      <c r="E2284" s="53">
        <v>-23.243258000000001</v>
      </c>
      <c r="F2284" s="53">
        <v>-46.118853000000001</v>
      </c>
      <c r="G2284" s="53">
        <v>-23.169357000000002</v>
      </c>
      <c r="H2284" s="53">
        <v>-46.441541000000001</v>
      </c>
      <c r="I2284" s="53">
        <v>-22.925576</v>
      </c>
      <c r="J2284" s="53">
        <v>-46.942058000000003</v>
      </c>
      <c r="L2284" s="61" t="str">
        <f t="shared" si="36"/>
        <v>Cliente40-Cliente11</v>
      </c>
      <c r="M2284">
        <v>164.63954200000001</v>
      </c>
    </row>
    <row r="2285" spans="1:13" x14ac:dyDescent="0.25">
      <c r="A2285" s="15" t="s">
        <v>4310</v>
      </c>
      <c r="B2285" s="15" t="s">
        <v>4282</v>
      </c>
      <c r="C2285" s="54">
        <v>43.570656</v>
      </c>
      <c r="D2285" s="26">
        <v>4.3055555555555562E-2</v>
      </c>
      <c r="E2285" s="55">
        <v>-23.013501999999999</v>
      </c>
      <c r="F2285" s="55">
        <v>-45.525108000000003</v>
      </c>
      <c r="G2285" s="55">
        <v>-23.075209000000001</v>
      </c>
      <c r="H2285" s="55">
        <v>-45.651916999999997</v>
      </c>
      <c r="I2285" s="55">
        <v>-23.30096</v>
      </c>
      <c r="J2285" s="55">
        <v>-46.024011000000002</v>
      </c>
      <c r="L2285" s="61" t="str">
        <f t="shared" si="36"/>
        <v>Cliente40-Cliente12</v>
      </c>
      <c r="M2285">
        <v>43.570656</v>
      </c>
    </row>
    <row r="2286" spans="1:13" x14ac:dyDescent="0.25">
      <c r="A2286" s="15" t="s">
        <v>4310</v>
      </c>
      <c r="B2286" s="15" t="s">
        <v>4283</v>
      </c>
      <c r="C2286" s="52">
        <v>31.120832</v>
      </c>
      <c r="D2286" s="25">
        <v>3.125E-2</v>
      </c>
      <c r="E2286" s="53">
        <v>-23.011987000000001</v>
      </c>
      <c r="F2286" s="53">
        <v>-45.525413</v>
      </c>
      <c r="G2286" s="53">
        <v>-23.021096</v>
      </c>
      <c r="H2286" s="53">
        <v>-45.535532000000003</v>
      </c>
      <c r="I2286" s="53">
        <v>-23.158128000000001</v>
      </c>
      <c r="J2286" s="53">
        <v>-45.797541000000002</v>
      </c>
      <c r="L2286" s="61" t="str">
        <f t="shared" si="36"/>
        <v>Cliente40-Cliente13</v>
      </c>
      <c r="M2286">
        <v>31.120832</v>
      </c>
    </row>
    <row r="2287" spans="1:13" x14ac:dyDescent="0.25">
      <c r="A2287" s="15" t="s">
        <v>4310</v>
      </c>
      <c r="B2287" s="15" t="s">
        <v>4284</v>
      </c>
      <c r="C2287" s="54">
        <v>33.334783000000002</v>
      </c>
      <c r="D2287" s="26">
        <v>3.3333333333333333E-2</v>
      </c>
      <c r="E2287" s="55">
        <v>-23.012142000000001</v>
      </c>
      <c r="F2287" s="55">
        <v>-45.524895999999998</v>
      </c>
      <c r="G2287" s="55">
        <v>-23.03661</v>
      </c>
      <c r="H2287" s="55">
        <v>-45.556632999999998</v>
      </c>
      <c r="I2287" s="55">
        <v>-23.223962</v>
      </c>
      <c r="J2287" s="55">
        <v>-45.904955999999999</v>
      </c>
      <c r="L2287" s="61" t="str">
        <f t="shared" si="36"/>
        <v>Cliente40-Cliente14</v>
      </c>
      <c r="M2287">
        <v>33.334783000000002</v>
      </c>
    </row>
    <row r="2288" spans="1:13" x14ac:dyDescent="0.25">
      <c r="A2288" s="15" t="s">
        <v>4310</v>
      </c>
      <c r="B2288" s="15" t="s">
        <v>4285</v>
      </c>
      <c r="C2288" s="52">
        <v>32.915978000000003</v>
      </c>
      <c r="D2288" s="25">
        <v>3.6805555555555557E-2</v>
      </c>
      <c r="E2288" s="53">
        <v>-23.013501999999999</v>
      </c>
      <c r="F2288" s="53">
        <v>-45.525108000000003</v>
      </c>
      <c r="G2288" s="53">
        <v>-23.075209000000001</v>
      </c>
      <c r="H2288" s="53">
        <v>-45.651916999999997</v>
      </c>
      <c r="I2288" s="53">
        <v>-23.219588999999999</v>
      </c>
      <c r="J2288" s="53">
        <v>-45.90108</v>
      </c>
      <c r="L2288" s="61" t="str">
        <f t="shared" si="36"/>
        <v>Cliente40-Cliente15</v>
      </c>
      <c r="M2288">
        <v>32.915978000000003</v>
      </c>
    </row>
    <row r="2289" spans="1:13" x14ac:dyDescent="0.25">
      <c r="A2289" s="15" t="s">
        <v>4310</v>
      </c>
      <c r="B2289" s="15" t="s">
        <v>4286</v>
      </c>
      <c r="C2289" s="54">
        <v>33.448493999999997</v>
      </c>
      <c r="D2289" s="26">
        <v>3.5416666666666666E-2</v>
      </c>
      <c r="E2289" s="55">
        <v>-23.013462000000001</v>
      </c>
      <c r="F2289" s="55">
        <v>-45.525015000000003</v>
      </c>
      <c r="G2289" s="55">
        <v>-23.049298</v>
      </c>
      <c r="H2289" s="55">
        <v>-45.599432999999998</v>
      </c>
      <c r="I2289" s="55">
        <v>-23.220454</v>
      </c>
      <c r="J2289" s="55">
        <v>-45.902138000000001</v>
      </c>
      <c r="L2289" s="61" t="str">
        <f t="shared" si="36"/>
        <v>Cliente40-Cliente16</v>
      </c>
      <c r="M2289">
        <v>33.448493999999997</v>
      </c>
    </row>
    <row r="2290" spans="1:13" x14ac:dyDescent="0.25">
      <c r="A2290" s="15" t="s">
        <v>4310</v>
      </c>
      <c r="B2290" s="15" t="s">
        <v>4287</v>
      </c>
      <c r="C2290" s="52">
        <v>31.544608</v>
      </c>
      <c r="D2290" s="25">
        <v>3.0555555555555555E-2</v>
      </c>
      <c r="E2290" s="53">
        <v>-23.011856000000002</v>
      </c>
      <c r="F2290" s="53">
        <v>-45.525545999999999</v>
      </c>
      <c r="G2290" s="53">
        <v>-23.019431999999998</v>
      </c>
      <c r="H2290" s="53">
        <v>-45.533065000000001</v>
      </c>
      <c r="I2290" s="53">
        <v>-23.075209000000001</v>
      </c>
      <c r="J2290" s="53">
        <v>-45.651916999999997</v>
      </c>
      <c r="L2290" s="61" t="str">
        <f t="shared" si="36"/>
        <v>Cliente40-Cliente17</v>
      </c>
      <c r="M2290">
        <v>31.544608</v>
      </c>
    </row>
    <row r="2291" spans="1:13" x14ac:dyDescent="0.25">
      <c r="A2291" s="15" t="s">
        <v>4310</v>
      </c>
      <c r="B2291" s="15" t="s">
        <v>4288</v>
      </c>
      <c r="C2291" s="54">
        <v>25.143847999999998</v>
      </c>
      <c r="D2291" s="26">
        <v>2.8472222222222222E-2</v>
      </c>
      <c r="E2291" s="55">
        <v>-23.011993</v>
      </c>
      <c r="F2291" s="55">
        <v>-45.525019</v>
      </c>
      <c r="G2291" s="55">
        <v>-23.032527999999999</v>
      </c>
      <c r="H2291" s="55">
        <v>-45.550575000000002</v>
      </c>
      <c r="I2291" s="55">
        <v>-23.158103000000001</v>
      </c>
      <c r="J2291" s="55">
        <v>-45.804701000000001</v>
      </c>
      <c r="L2291" s="61" t="str">
        <f t="shared" si="36"/>
        <v>Cliente40-Cliente18</v>
      </c>
      <c r="M2291">
        <v>25.143847999999998</v>
      </c>
    </row>
    <row r="2292" spans="1:13" x14ac:dyDescent="0.25">
      <c r="A2292" s="15" t="s">
        <v>4310</v>
      </c>
      <c r="B2292" s="15" t="s">
        <v>4289</v>
      </c>
      <c r="C2292" s="52">
        <v>86.535473999999994</v>
      </c>
      <c r="D2292" s="25">
        <v>7.8472222222222221E-2</v>
      </c>
      <c r="E2292" s="53">
        <v>-23.110382999999999</v>
      </c>
      <c r="F2292" s="53">
        <v>-45.703434000000001</v>
      </c>
      <c r="G2292" s="53">
        <v>-23.356466000000001</v>
      </c>
      <c r="H2292" s="53">
        <v>-46.206147000000001</v>
      </c>
      <c r="I2292" s="53">
        <v>-23.506691</v>
      </c>
      <c r="J2292" s="53">
        <v>-46.570599000000001</v>
      </c>
      <c r="L2292" s="61" t="str">
        <f t="shared" si="36"/>
        <v>Cliente40-Cliente19</v>
      </c>
      <c r="M2292">
        <v>86.535473999999994</v>
      </c>
    </row>
    <row r="2293" spans="1:13" x14ac:dyDescent="0.25">
      <c r="A2293" s="15" t="s">
        <v>4310</v>
      </c>
      <c r="B2293" s="15" t="s">
        <v>4290</v>
      </c>
      <c r="C2293" s="54">
        <v>94.088260000000005</v>
      </c>
      <c r="D2293" s="26">
        <v>8.7500000000000008E-2</v>
      </c>
      <c r="E2293" s="55">
        <v>-23.20645</v>
      </c>
      <c r="F2293" s="55">
        <v>-45.885815000000001</v>
      </c>
      <c r="G2293" s="55">
        <v>-23.375692000000001</v>
      </c>
      <c r="H2293" s="55">
        <v>-46.246760000000002</v>
      </c>
      <c r="I2293" s="55">
        <v>-23.520395000000001</v>
      </c>
      <c r="J2293" s="55">
        <v>-46.614162999999998</v>
      </c>
      <c r="L2293" s="61" t="str">
        <f t="shared" si="36"/>
        <v>Cliente40-Cliente20</v>
      </c>
      <c r="M2293">
        <v>94.088260000000005</v>
      </c>
    </row>
    <row r="2294" spans="1:13" x14ac:dyDescent="0.25">
      <c r="A2294" s="15" t="s">
        <v>4310</v>
      </c>
      <c r="B2294" s="15" t="s">
        <v>4291</v>
      </c>
      <c r="C2294" s="52">
        <v>93.694930999999997</v>
      </c>
      <c r="D2294" s="25">
        <v>8.7500000000000008E-2</v>
      </c>
      <c r="E2294" s="53">
        <v>-23.247702</v>
      </c>
      <c r="F2294" s="53">
        <v>-45.931725999999998</v>
      </c>
      <c r="G2294" s="53">
        <v>-23.396649</v>
      </c>
      <c r="H2294" s="53">
        <v>-46.292046999999997</v>
      </c>
      <c r="I2294" s="53">
        <v>-23.514982</v>
      </c>
      <c r="J2294" s="53">
        <v>-46.665529999999997</v>
      </c>
      <c r="L2294" s="61" t="str">
        <f t="shared" si="36"/>
        <v>Cliente40-Cliente21</v>
      </c>
      <c r="M2294">
        <v>93.694930999999997</v>
      </c>
    </row>
    <row r="2295" spans="1:13" x14ac:dyDescent="0.25">
      <c r="A2295" s="15" t="s">
        <v>4310</v>
      </c>
      <c r="B2295" s="15" t="s">
        <v>4292</v>
      </c>
      <c r="C2295" s="54">
        <v>90.405383999999998</v>
      </c>
      <c r="D2295" s="26">
        <v>8.4722222222222213E-2</v>
      </c>
      <c r="E2295" s="55">
        <v>-23.238009999999999</v>
      </c>
      <c r="F2295" s="55">
        <v>-45.919735000000003</v>
      </c>
      <c r="G2295" s="55">
        <v>-23.376688999999999</v>
      </c>
      <c r="H2295" s="55">
        <v>-46.249085999999998</v>
      </c>
      <c r="I2295" s="55">
        <v>-23.518471999999999</v>
      </c>
      <c r="J2295" s="55">
        <v>-46.617952000000002</v>
      </c>
      <c r="L2295" s="61" t="str">
        <f t="shared" si="36"/>
        <v>Cliente40-Cliente22</v>
      </c>
      <c r="M2295">
        <v>90.405383999999998</v>
      </c>
    </row>
    <row r="2296" spans="1:13" x14ac:dyDescent="0.25">
      <c r="A2296" s="15" t="s">
        <v>4310</v>
      </c>
      <c r="B2296" s="15" t="s">
        <v>4293</v>
      </c>
      <c r="C2296" s="52">
        <v>93.736563000000004</v>
      </c>
      <c r="D2296" s="25">
        <v>9.6527777777777768E-2</v>
      </c>
      <c r="E2296" s="53">
        <v>-23.300183000000001</v>
      </c>
      <c r="F2296" s="53">
        <v>-46.015455000000003</v>
      </c>
      <c r="G2296" s="53">
        <v>-23.404731999999999</v>
      </c>
      <c r="H2296" s="53">
        <v>-46.333511000000001</v>
      </c>
      <c r="I2296" s="53">
        <v>-23.554373999999999</v>
      </c>
      <c r="J2296" s="53">
        <v>-46.644672</v>
      </c>
      <c r="L2296" s="61" t="str">
        <f t="shared" si="36"/>
        <v>Cliente40-Cliente23</v>
      </c>
      <c r="M2296">
        <v>93.736563000000004</v>
      </c>
    </row>
    <row r="2297" spans="1:13" x14ac:dyDescent="0.25">
      <c r="A2297" s="15" t="s">
        <v>4310</v>
      </c>
      <c r="B2297" s="15" t="s">
        <v>4294</v>
      </c>
      <c r="C2297" s="54">
        <v>93.688716999999997</v>
      </c>
      <c r="D2297" s="26">
        <v>9.7222222222222224E-2</v>
      </c>
      <c r="E2297" s="55">
        <v>-23.294974</v>
      </c>
      <c r="F2297" s="55">
        <v>-46.005431000000002</v>
      </c>
      <c r="G2297" s="55">
        <v>-23.398163</v>
      </c>
      <c r="H2297" s="55">
        <v>-46.297789000000002</v>
      </c>
      <c r="I2297" s="55">
        <v>-23.552992</v>
      </c>
      <c r="J2297" s="55">
        <v>-46.626328999999998</v>
      </c>
      <c r="L2297" s="61" t="str">
        <f t="shared" si="36"/>
        <v>Cliente40-Cliente24</v>
      </c>
      <c r="M2297">
        <v>93.688716999999997</v>
      </c>
    </row>
    <row r="2298" spans="1:13" x14ac:dyDescent="0.25">
      <c r="A2298" s="15" t="s">
        <v>4310</v>
      </c>
      <c r="B2298" s="15" t="s">
        <v>4295</v>
      </c>
      <c r="C2298" s="52">
        <v>96.112071</v>
      </c>
      <c r="D2298" s="25">
        <v>0.10277777777777779</v>
      </c>
      <c r="E2298" s="53">
        <v>-23.308149</v>
      </c>
      <c r="F2298" s="53">
        <v>-46.056229000000002</v>
      </c>
      <c r="G2298" s="53">
        <v>-23.432136</v>
      </c>
      <c r="H2298" s="53">
        <v>-46.419510000000002</v>
      </c>
      <c r="I2298" s="53">
        <v>-23.563544</v>
      </c>
      <c r="J2298" s="53">
        <v>-46.676684999999999</v>
      </c>
      <c r="L2298" s="61" t="str">
        <f t="shared" si="36"/>
        <v>Cliente40-Cliente25</v>
      </c>
      <c r="M2298">
        <v>96.112071</v>
      </c>
    </row>
    <row r="2299" spans="1:13" x14ac:dyDescent="0.25">
      <c r="A2299" s="15" t="s">
        <v>4310</v>
      </c>
      <c r="B2299" s="15" t="s">
        <v>4296</v>
      </c>
      <c r="C2299" s="54">
        <v>102.801148</v>
      </c>
      <c r="D2299" s="26">
        <v>9.5833333333333326E-2</v>
      </c>
      <c r="E2299" s="55">
        <v>-23.313414999999999</v>
      </c>
      <c r="F2299" s="55">
        <v>-46.065708999999998</v>
      </c>
      <c r="G2299" s="55">
        <v>-23.500836</v>
      </c>
      <c r="H2299" s="55">
        <v>-46.563349000000002</v>
      </c>
      <c r="I2299" s="55">
        <v>-23.515865000000002</v>
      </c>
      <c r="J2299" s="55">
        <v>-46.791767999999998</v>
      </c>
      <c r="L2299" s="61" t="str">
        <f t="shared" si="36"/>
        <v>Cliente40-Cliente26</v>
      </c>
      <c r="M2299">
        <v>102.801148</v>
      </c>
    </row>
    <row r="2300" spans="1:13" x14ac:dyDescent="0.25">
      <c r="A2300" s="15" t="s">
        <v>4310</v>
      </c>
      <c r="B2300" s="15" t="s">
        <v>4297</v>
      </c>
      <c r="C2300" s="52">
        <v>95.598196000000002</v>
      </c>
      <c r="D2300" s="25">
        <v>9.930555555555555E-2</v>
      </c>
      <c r="E2300" s="53">
        <v>-23.313414999999999</v>
      </c>
      <c r="F2300" s="53">
        <v>-46.065708999999998</v>
      </c>
      <c r="G2300" s="53">
        <v>-23.503347000000002</v>
      </c>
      <c r="H2300" s="53">
        <v>-46.566929999999999</v>
      </c>
      <c r="I2300" s="53">
        <v>-23.576982999999998</v>
      </c>
      <c r="J2300" s="53">
        <v>-46.671895999999997</v>
      </c>
      <c r="L2300" s="61" t="str">
        <f t="shared" si="36"/>
        <v>Cliente40-Cliente27</v>
      </c>
      <c r="M2300">
        <v>95.598196000000002</v>
      </c>
    </row>
    <row r="2301" spans="1:13" x14ac:dyDescent="0.25">
      <c r="A2301" s="15" t="s">
        <v>4310</v>
      </c>
      <c r="B2301" s="15" t="s">
        <v>4298</v>
      </c>
      <c r="C2301" s="54">
        <v>95.303043000000002</v>
      </c>
      <c r="D2301" s="26">
        <v>9.4444444444444442E-2</v>
      </c>
      <c r="E2301" s="55">
        <v>-23.298971000000002</v>
      </c>
      <c r="F2301" s="55">
        <v>-46.011955999999998</v>
      </c>
      <c r="G2301" s="55">
        <v>-23.402888999999998</v>
      </c>
      <c r="H2301" s="55">
        <v>-46.327539000000002</v>
      </c>
      <c r="I2301" s="55">
        <v>-23.556373000000001</v>
      </c>
      <c r="J2301" s="55">
        <v>-46.635964999999999</v>
      </c>
      <c r="L2301" s="61" t="str">
        <f t="shared" si="36"/>
        <v>Cliente40-Cliente28</v>
      </c>
      <c r="M2301">
        <v>95.303043000000002</v>
      </c>
    </row>
    <row r="2302" spans="1:13" x14ac:dyDescent="0.25">
      <c r="A2302" s="15" t="s">
        <v>4310</v>
      </c>
      <c r="B2302" s="15" t="s">
        <v>4299</v>
      </c>
      <c r="C2302" s="52">
        <v>92.887767999999994</v>
      </c>
      <c r="D2302" s="25">
        <v>8.9583333333333334E-2</v>
      </c>
      <c r="E2302" s="53">
        <v>-23.244399000000001</v>
      </c>
      <c r="F2302" s="53">
        <v>-45.926785000000002</v>
      </c>
      <c r="G2302" s="53">
        <v>-23.393184000000002</v>
      </c>
      <c r="H2302" s="53">
        <v>-46.285952000000002</v>
      </c>
      <c r="I2302" s="53">
        <v>-23.570996999999998</v>
      </c>
      <c r="J2302" s="53">
        <v>-46.573571999999999</v>
      </c>
      <c r="L2302" s="61" t="str">
        <f t="shared" si="36"/>
        <v>Cliente40-Cliente29</v>
      </c>
      <c r="M2302">
        <v>92.887767999999994</v>
      </c>
    </row>
    <row r="2303" spans="1:13" x14ac:dyDescent="0.25">
      <c r="A2303" s="15" t="s">
        <v>4310</v>
      </c>
      <c r="B2303" s="15" t="s">
        <v>4300</v>
      </c>
      <c r="C2303" s="54">
        <v>93.949693999999994</v>
      </c>
      <c r="D2303" s="26">
        <v>8.3333333333333329E-2</v>
      </c>
      <c r="E2303" s="55">
        <v>-23.308149</v>
      </c>
      <c r="F2303" s="55">
        <v>-46.056229000000002</v>
      </c>
      <c r="G2303" s="55">
        <v>-23.442599999999999</v>
      </c>
      <c r="H2303" s="55">
        <v>-46.30442</v>
      </c>
      <c r="I2303" s="55">
        <v>-23.639139</v>
      </c>
      <c r="J2303" s="55">
        <v>-46.388666999999998</v>
      </c>
      <c r="L2303" s="61" t="str">
        <f t="shared" si="36"/>
        <v>Cliente40-Cliente30</v>
      </c>
      <c r="M2303">
        <v>93.949693999999994</v>
      </c>
    </row>
    <row r="2304" spans="1:13" x14ac:dyDescent="0.25">
      <c r="A2304" s="15" t="s">
        <v>4310</v>
      </c>
      <c r="B2304" s="15" t="s">
        <v>4301</v>
      </c>
      <c r="C2304" s="52">
        <v>107.951707</v>
      </c>
      <c r="D2304" s="25">
        <v>0.10208333333333335</v>
      </c>
      <c r="E2304" s="53">
        <v>-23.309348</v>
      </c>
      <c r="F2304" s="53">
        <v>-46.059255999999998</v>
      </c>
      <c r="G2304" s="53">
        <v>-23.470599</v>
      </c>
      <c r="H2304" s="53">
        <v>-46.516210999999998</v>
      </c>
      <c r="I2304" s="53">
        <v>-23.520609</v>
      </c>
      <c r="J2304" s="53">
        <v>-46.767462000000002</v>
      </c>
      <c r="L2304" s="61" t="str">
        <f t="shared" si="36"/>
        <v>Cliente40-Cliente31</v>
      </c>
      <c r="M2304">
        <v>107.951707</v>
      </c>
    </row>
    <row r="2305" spans="1:13" x14ac:dyDescent="0.25">
      <c r="A2305" s="15" t="s">
        <v>4310</v>
      </c>
      <c r="B2305" s="15" t="s">
        <v>4302</v>
      </c>
      <c r="C2305" s="54">
        <v>91.834541000000002</v>
      </c>
      <c r="D2305" s="26">
        <v>8.6111111111111124E-2</v>
      </c>
      <c r="E2305" s="55">
        <v>-23.201257999999999</v>
      </c>
      <c r="F2305" s="55">
        <v>-45.880330000000001</v>
      </c>
      <c r="G2305" s="55">
        <v>-23.371203000000001</v>
      </c>
      <c r="H2305" s="55">
        <v>-46.242761000000002</v>
      </c>
      <c r="I2305" s="55">
        <v>-23.522652000000001</v>
      </c>
      <c r="J2305" s="55">
        <v>-46.610137999999999</v>
      </c>
      <c r="L2305" s="61" t="str">
        <f t="shared" si="36"/>
        <v>Cliente40-Cliente32</v>
      </c>
      <c r="M2305">
        <v>91.834541000000002</v>
      </c>
    </row>
    <row r="2306" spans="1:13" x14ac:dyDescent="0.25">
      <c r="A2306" s="15" t="s">
        <v>4310</v>
      </c>
      <c r="B2306" s="15" t="s">
        <v>4303</v>
      </c>
      <c r="C2306" s="52">
        <v>81.900655</v>
      </c>
      <c r="D2306" s="25">
        <v>7.4999999999999997E-2</v>
      </c>
      <c r="E2306" s="53">
        <v>-23.050021000000001</v>
      </c>
      <c r="F2306" s="53">
        <v>-45.601247999999998</v>
      </c>
      <c r="G2306" s="53">
        <v>-23.351894999999999</v>
      </c>
      <c r="H2306" s="53">
        <v>-46.180186999999997</v>
      </c>
      <c r="I2306" s="53">
        <v>-23.421116999999999</v>
      </c>
      <c r="J2306" s="53">
        <v>-46.389977999999999</v>
      </c>
      <c r="L2306" s="61" t="str">
        <f t="shared" si="36"/>
        <v>Cliente40-Cliente33</v>
      </c>
      <c r="M2306">
        <v>81.900655</v>
      </c>
    </row>
    <row r="2307" spans="1:13" x14ac:dyDescent="0.25">
      <c r="A2307" s="15" t="s">
        <v>4310</v>
      </c>
      <c r="B2307" s="15" t="s">
        <v>4304</v>
      </c>
      <c r="C2307" s="54">
        <v>101.511178</v>
      </c>
      <c r="D2307" s="26">
        <v>9.7222222222222224E-2</v>
      </c>
      <c r="E2307" s="55">
        <v>-23.310278</v>
      </c>
      <c r="F2307" s="55">
        <v>-46.06082</v>
      </c>
      <c r="G2307" s="55">
        <v>-23.472415999999999</v>
      </c>
      <c r="H2307" s="55">
        <v>-46.520173</v>
      </c>
      <c r="I2307" s="55">
        <v>-23.520189999999999</v>
      </c>
      <c r="J2307" s="55">
        <v>-46.769798000000002</v>
      </c>
      <c r="L2307" s="61" t="str">
        <f t="shared" si="36"/>
        <v>Cliente40-Cliente34</v>
      </c>
      <c r="M2307">
        <v>101.511178</v>
      </c>
    </row>
    <row r="2308" spans="1:13" x14ac:dyDescent="0.25">
      <c r="A2308" s="15" t="s">
        <v>4310</v>
      </c>
      <c r="B2308" s="15" t="s">
        <v>4305</v>
      </c>
      <c r="C2308" s="52">
        <v>102.10707499999999</v>
      </c>
      <c r="D2308" s="25">
        <v>9.7222222222222224E-2</v>
      </c>
      <c r="E2308" s="53">
        <v>-23.308149</v>
      </c>
      <c r="F2308" s="53">
        <v>-46.056229000000002</v>
      </c>
      <c r="G2308" s="53">
        <v>-23.433873999999999</v>
      </c>
      <c r="H2308" s="53">
        <v>-46.423414000000001</v>
      </c>
      <c r="I2308" s="53">
        <v>-23.524711</v>
      </c>
      <c r="J2308" s="53">
        <v>-46.752628999999999</v>
      </c>
      <c r="L2308" s="61" t="str">
        <f t="shared" si="36"/>
        <v>Cliente40-Cliente35</v>
      </c>
      <c r="M2308">
        <v>102.10707499999999</v>
      </c>
    </row>
    <row r="2309" spans="1:13" x14ac:dyDescent="0.25">
      <c r="A2309" s="15" t="s">
        <v>4310</v>
      </c>
      <c r="B2309" s="15" t="s">
        <v>4306</v>
      </c>
      <c r="C2309" s="54">
        <v>210.806915</v>
      </c>
      <c r="D2309" s="26">
        <v>0.17430555555555557</v>
      </c>
      <c r="E2309" s="55">
        <v>-23.183992</v>
      </c>
      <c r="F2309" s="55">
        <v>-46.202094000000002</v>
      </c>
      <c r="G2309" s="55">
        <v>-23.020544000000001</v>
      </c>
      <c r="H2309" s="55">
        <v>-46.754022999999997</v>
      </c>
      <c r="I2309" s="55">
        <v>-22.612962</v>
      </c>
      <c r="J2309" s="55">
        <v>-47.353290999999999</v>
      </c>
      <c r="L2309" s="61" t="str">
        <f t="shared" si="36"/>
        <v>Cliente40-Cliente36</v>
      </c>
      <c r="M2309">
        <v>210.806915</v>
      </c>
    </row>
    <row r="2310" spans="1:13" x14ac:dyDescent="0.25">
      <c r="A2310" s="15" t="s">
        <v>4310</v>
      </c>
      <c r="B2310" s="15" t="s">
        <v>4307</v>
      </c>
      <c r="C2310" s="52">
        <v>209.71019200000001</v>
      </c>
      <c r="D2310" s="25">
        <v>0.17361111111111113</v>
      </c>
      <c r="E2310" s="53">
        <v>-23.181356999999998</v>
      </c>
      <c r="F2310" s="53">
        <v>-46.205978000000002</v>
      </c>
      <c r="G2310" s="53">
        <v>-23.012801</v>
      </c>
      <c r="H2310" s="53">
        <v>-46.763508999999999</v>
      </c>
      <c r="I2310" s="53">
        <v>-22.592675</v>
      </c>
      <c r="J2310" s="53">
        <v>-47.366796999999998</v>
      </c>
      <c r="L2310" s="61" t="str">
        <f t="shared" si="36"/>
        <v>Cliente40-Cliente37</v>
      </c>
      <c r="M2310">
        <v>209.71019200000001</v>
      </c>
    </row>
    <row r="2311" spans="1:13" x14ac:dyDescent="0.25">
      <c r="A2311" s="15" t="s">
        <v>4310</v>
      </c>
      <c r="B2311" s="15" t="s">
        <v>4308</v>
      </c>
      <c r="C2311" s="54">
        <v>207.93368699999999</v>
      </c>
      <c r="D2311" s="26">
        <v>0.17083333333333331</v>
      </c>
      <c r="E2311" s="55">
        <v>-23.186885</v>
      </c>
      <c r="F2311" s="55">
        <v>-46.197246</v>
      </c>
      <c r="G2311" s="55">
        <v>-23.028084</v>
      </c>
      <c r="H2311" s="55">
        <v>-46.748938000000003</v>
      </c>
      <c r="I2311" s="55">
        <v>-22.654406999999999</v>
      </c>
      <c r="J2311" s="55" t="s">
        <v>7300</v>
      </c>
      <c r="L2311" s="61" t="str">
        <f t="shared" si="36"/>
        <v>Cliente40-Cliente38</v>
      </c>
      <c r="M2311">
        <v>207.93368699999999</v>
      </c>
    </row>
    <row r="2312" spans="1:13" x14ac:dyDescent="0.25">
      <c r="A2312" s="15" t="s">
        <v>4310</v>
      </c>
      <c r="B2312" s="15" t="s">
        <v>4309</v>
      </c>
      <c r="C2312" s="52">
        <v>2.9260440000000001</v>
      </c>
      <c r="D2312" s="25">
        <v>9.7222222222222224E-3</v>
      </c>
      <c r="E2312" s="53">
        <v>-22.997896000000001</v>
      </c>
      <c r="F2312" s="53">
        <v>-45.542043</v>
      </c>
      <c r="G2312" s="53">
        <v>-23.008913</v>
      </c>
      <c r="H2312" s="53">
        <v>-45.548380999999999</v>
      </c>
      <c r="I2312" s="53">
        <v>-23.021229999999999</v>
      </c>
      <c r="J2312" s="53">
        <v>-45.552025</v>
      </c>
      <c r="L2312" s="61" t="str">
        <f t="shared" si="36"/>
        <v>Cliente40-Cliente39</v>
      </c>
      <c r="M2312">
        <v>2.9260440000000001</v>
      </c>
    </row>
    <row r="2313" spans="1:13" x14ac:dyDescent="0.25">
      <c r="A2313" s="15" t="s">
        <v>4310</v>
      </c>
      <c r="B2313" s="15" t="s">
        <v>4310</v>
      </c>
      <c r="C2313" s="54">
        <v>0</v>
      </c>
      <c r="D2313" s="26">
        <v>0</v>
      </c>
      <c r="E2313" s="55">
        <f>'1. Locais'!D44</f>
        <v>-22.99756</v>
      </c>
      <c r="F2313" s="55">
        <f>'1. Locais'!E44</f>
        <v>-45.540059999999997</v>
      </c>
      <c r="G2313" s="55">
        <f>'1. Locais'!D44</f>
        <v>-22.99756</v>
      </c>
      <c r="H2313" s="55">
        <f>'1. Locais'!E44</f>
        <v>-45.540059999999997</v>
      </c>
      <c r="I2313" s="55">
        <f>'1. Locais'!D44</f>
        <v>-22.99756</v>
      </c>
      <c r="J2313" s="55">
        <f>'1. Locais'!E44</f>
        <v>-45.540059999999997</v>
      </c>
      <c r="L2313" s="61" t="str">
        <f t="shared" si="36"/>
        <v>Cliente40-Cliente40</v>
      </c>
      <c r="M2313">
        <v>0</v>
      </c>
    </row>
    <row r="2314" spans="1:13" x14ac:dyDescent="0.25">
      <c r="A2314" s="15" t="s">
        <v>4310</v>
      </c>
      <c r="B2314" s="15" t="s">
        <v>4311</v>
      </c>
      <c r="C2314" s="52">
        <v>19.323449</v>
      </c>
      <c r="D2314" s="25">
        <v>2.6388888888888889E-2</v>
      </c>
      <c r="E2314" s="53">
        <v>-23.013462000000001</v>
      </c>
      <c r="F2314" s="53">
        <v>-45.525015000000003</v>
      </c>
      <c r="G2314" s="53">
        <v>-23.049298</v>
      </c>
      <c r="H2314" s="53">
        <v>-45.599432999999998</v>
      </c>
      <c r="I2314" s="53">
        <v>-23.086368</v>
      </c>
      <c r="J2314" s="53">
        <v>-45.707968999999999</v>
      </c>
      <c r="L2314" s="61" t="str">
        <f t="shared" si="36"/>
        <v>Cliente40-Cliente41</v>
      </c>
      <c r="M2314">
        <v>19.323449</v>
      </c>
    </row>
    <row r="2315" spans="1:13" x14ac:dyDescent="0.25">
      <c r="A2315" s="15" t="s">
        <v>4310</v>
      </c>
      <c r="B2315" s="15" t="s">
        <v>4312</v>
      </c>
      <c r="C2315" s="54">
        <v>17.49972</v>
      </c>
      <c r="D2315" s="26">
        <v>2.1527777777777781E-2</v>
      </c>
      <c r="E2315" s="55">
        <v>-23.011987000000001</v>
      </c>
      <c r="F2315" s="55">
        <v>-45.525413</v>
      </c>
      <c r="G2315" s="55">
        <v>-23.021096</v>
      </c>
      <c r="H2315" s="55">
        <v>-45.535532000000003</v>
      </c>
      <c r="I2315" s="55">
        <v>-23.114511</v>
      </c>
      <c r="J2315" s="55">
        <v>-45.711641</v>
      </c>
      <c r="L2315" s="61" t="str">
        <f t="shared" si="36"/>
        <v>Cliente40-Cliente42</v>
      </c>
      <c r="M2315">
        <v>17.49972</v>
      </c>
    </row>
    <row r="2316" spans="1:13" x14ac:dyDescent="0.25">
      <c r="A2316" s="15" t="s">
        <v>4310</v>
      </c>
      <c r="B2316" s="15" t="s">
        <v>4313</v>
      </c>
      <c r="C2316" s="52">
        <v>4.8734260000000003</v>
      </c>
      <c r="D2316" s="25">
        <v>7.6388888888888886E-3</v>
      </c>
      <c r="E2316" s="53">
        <v>-22.991499999999998</v>
      </c>
      <c r="F2316" s="53">
        <v>-45.527911000000003</v>
      </c>
      <c r="G2316" s="53">
        <v>-22.984148999999999</v>
      </c>
      <c r="H2316" s="53">
        <v>-45.514212000000001</v>
      </c>
      <c r="I2316" s="53">
        <v>-22.969341</v>
      </c>
      <c r="J2316" s="53">
        <v>-45.507399999999997</v>
      </c>
      <c r="L2316" s="61" t="str">
        <f t="shared" si="36"/>
        <v>Cliente40-Cliente43</v>
      </c>
      <c r="M2316">
        <v>4.8734260000000003</v>
      </c>
    </row>
    <row r="2317" spans="1:13" x14ac:dyDescent="0.25">
      <c r="A2317" s="15" t="s">
        <v>4310</v>
      </c>
      <c r="B2317" s="15" t="s">
        <v>4314</v>
      </c>
      <c r="C2317" s="54">
        <v>154.813153</v>
      </c>
      <c r="D2317" s="26">
        <v>0.13680555555555554</v>
      </c>
      <c r="E2317" s="55">
        <v>-23.352387</v>
      </c>
      <c r="F2317" s="55">
        <v>-46.183017999999997</v>
      </c>
      <c r="G2317" s="55">
        <v>-23.508281</v>
      </c>
      <c r="H2317" s="55">
        <v>-46.706426</v>
      </c>
      <c r="I2317" s="55">
        <v>-23.427574</v>
      </c>
      <c r="J2317" s="55">
        <v>-47.142088999999999</v>
      </c>
      <c r="L2317" s="61" t="str">
        <f t="shared" si="36"/>
        <v>Cliente40-Cliente44</v>
      </c>
      <c r="M2317">
        <v>154.813153</v>
      </c>
    </row>
    <row r="2318" spans="1:13" x14ac:dyDescent="0.25">
      <c r="A2318" s="15" t="s">
        <v>4310</v>
      </c>
      <c r="B2318" s="15" t="s">
        <v>4315</v>
      </c>
      <c r="C2318" s="52">
        <v>159.10621699999999</v>
      </c>
      <c r="D2318" s="25">
        <v>0.14583333333333334</v>
      </c>
      <c r="E2318" s="53">
        <v>-23.356815000000001</v>
      </c>
      <c r="F2318" s="53">
        <v>-46.206916999999997</v>
      </c>
      <c r="G2318" s="53">
        <v>-23.516981000000001</v>
      </c>
      <c r="H2318" s="53">
        <v>-46.741700000000002</v>
      </c>
      <c r="I2318" s="53">
        <v>-23.409223999999998</v>
      </c>
      <c r="J2318" s="53">
        <v>-47.280293999999998</v>
      </c>
      <c r="L2318" s="61" t="str">
        <f t="shared" si="36"/>
        <v>Cliente40-Cliente45</v>
      </c>
      <c r="M2318">
        <v>159.10621699999999</v>
      </c>
    </row>
    <row r="2319" spans="1:13" x14ac:dyDescent="0.25">
      <c r="A2319" s="15" t="s">
        <v>4310</v>
      </c>
      <c r="B2319" s="15" t="s">
        <v>4316</v>
      </c>
      <c r="C2319" s="54">
        <v>157.213516</v>
      </c>
      <c r="D2319" s="26">
        <v>0.14166666666666666</v>
      </c>
      <c r="E2319" s="55">
        <v>-23.351792</v>
      </c>
      <c r="F2319" s="55">
        <v>-46.188212999999998</v>
      </c>
      <c r="G2319" s="55">
        <v>-23.507642000000001</v>
      </c>
      <c r="H2319" s="55">
        <v>-46.717461999999998</v>
      </c>
      <c r="I2319" s="55">
        <v>-23.418334999999999</v>
      </c>
      <c r="J2319" s="55">
        <v>-47.215012999999999</v>
      </c>
      <c r="L2319" s="61" t="str">
        <f t="shared" si="36"/>
        <v>Cliente40-Cliente46</v>
      </c>
      <c r="M2319">
        <v>157.213516</v>
      </c>
    </row>
    <row r="2320" spans="1:13" x14ac:dyDescent="0.25">
      <c r="A2320" s="15" t="s">
        <v>4310</v>
      </c>
      <c r="B2320" s="15" t="s">
        <v>4317</v>
      </c>
      <c r="C2320" s="52">
        <v>271.28574400000002</v>
      </c>
      <c r="D2320" s="25">
        <v>0.22083333333333333</v>
      </c>
      <c r="E2320" s="53">
        <v>-23.172630999999999</v>
      </c>
      <c r="F2320" s="53">
        <v>-46.249164</v>
      </c>
      <c r="G2320" s="53">
        <v>-22.936367000000001</v>
      </c>
      <c r="H2320" s="53">
        <v>-46.882308999999999</v>
      </c>
      <c r="I2320" s="53">
        <v>-22.272252000000002</v>
      </c>
      <c r="J2320" s="53">
        <v>-46.973539000000002</v>
      </c>
      <c r="L2320" s="61" t="str">
        <f t="shared" si="36"/>
        <v>Cliente40-Cliente47</v>
      </c>
      <c r="M2320">
        <v>271.28574400000002</v>
      </c>
    </row>
    <row r="2321" spans="1:13" x14ac:dyDescent="0.25">
      <c r="A2321" s="15" t="s">
        <v>4310</v>
      </c>
      <c r="B2321" s="15" t="s">
        <v>4318</v>
      </c>
      <c r="C2321" s="54">
        <v>280.39693299999999</v>
      </c>
      <c r="D2321" s="26">
        <v>0.22916666666666666</v>
      </c>
      <c r="E2321" s="55">
        <v>-23.174627000000001</v>
      </c>
      <c r="F2321" s="55">
        <v>-46.281488000000003</v>
      </c>
      <c r="G2321" s="55">
        <v>-22.925576</v>
      </c>
      <c r="H2321" s="55">
        <v>-46.942058000000003</v>
      </c>
      <c r="I2321" s="55">
        <v>-22.015592000000002</v>
      </c>
      <c r="J2321" s="55">
        <v>-47.115566999999999</v>
      </c>
      <c r="L2321" s="61" t="str">
        <f t="shared" si="36"/>
        <v>Cliente40-Cliente48</v>
      </c>
      <c r="M2321">
        <v>280.39693299999999</v>
      </c>
    </row>
    <row r="2322" spans="1:13" x14ac:dyDescent="0.25">
      <c r="A2322" s="15" t="s">
        <v>4310</v>
      </c>
      <c r="B2322" s="15" t="s">
        <v>4319</v>
      </c>
      <c r="C2322" s="52">
        <v>274.03469699999999</v>
      </c>
      <c r="D2322" s="25">
        <v>0.22500000000000001</v>
      </c>
      <c r="E2322" s="53">
        <v>-23.172706999999999</v>
      </c>
      <c r="F2322" s="53">
        <v>-46.261521000000002</v>
      </c>
      <c r="G2322" s="53">
        <v>-22.931225000000001</v>
      </c>
      <c r="H2322" s="53">
        <v>-46.920144000000001</v>
      </c>
      <c r="I2322" s="53">
        <v>-22.044395000000002</v>
      </c>
      <c r="J2322" s="53">
        <v>-47.030158999999998</v>
      </c>
      <c r="L2322" s="61" t="str">
        <f t="shared" ref="L2322:L2385" si="37">_xlfn.CONCAT(A2322,"-",B2322)</f>
        <v>Cliente40-Cliente49</v>
      </c>
      <c r="M2322">
        <v>274.03469699999999</v>
      </c>
    </row>
    <row r="2323" spans="1:13" x14ac:dyDescent="0.25">
      <c r="A2323" s="15" t="s">
        <v>4310</v>
      </c>
      <c r="B2323" s="15" t="s">
        <v>4320</v>
      </c>
      <c r="C2323" s="54">
        <v>290.93417199999999</v>
      </c>
      <c r="D2323" s="26">
        <v>0.2388888888888889</v>
      </c>
      <c r="E2323" s="55">
        <v>-23.193670999999998</v>
      </c>
      <c r="F2323" s="55">
        <v>-46.343985000000004</v>
      </c>
      <c r="G2323" s="55">
        <v>-22.855813000000001</v>
      </c>
      <c r="H2323" s="55">
        <v>-47.150308000000003</v>
      </c>
      <c r="I2323" s="55">
        <v>-22.277806000000002</v>
      </c>
      <c r="J2323" s="55">
        <v>-47.985263000000003</v>
      </c>
      <c r="L2323" s="61" t="str">
        <f t="shared" si="37"/>
        <v>Cliente40-Cliente50</v>
      </c>
      <c r="M2323">
        <v>290.93417199999999</v>
      </c>
    </row>
    <row r="2324" spans="1:13" x14ac:dyDescent="0.25">
      <c r="A2324" s="15" t="s">
        <v>4310</v>
      </c>
      <c r="B2324" s="15" t="s">
        <v>4321</v>
      </c>
      <c r="C2324" s="52">
        <v>284.58933500000001</v>
      </c>
      <c r="D2324" s="25">
        <v>0.23472222222222219</v>
      </c>
      <c r="E2324" s="53">
        <v>-23.179175999999998</v>
      </c>
      <c r="F2324" s="53">
        <v>-46.320422000000001</v>
      </c>
      <c r="G2324" s="53">
        <v>-22.850902999999999</v>
      </c>
      <c r="H2324" s="53">
        <v>-47.027389999999997</v>
      </c>
      <c r="I2324" s="53">
        <v>-22.246328999999999</v>
      </c>
      <c r="J2324" s="53">
        <v>-47.818590999999998</v>
      </c>
      <c r="L2324" s="61" t="e">
        <f>_xlfn.CONCAT(ACliente24,"-",BCliente24)</f>
        <v>#NAME?</v>
      </c>
      <c r="M2324">
        <v>284.58933500000001</v>
      </c>
    </row>
    <row r="2325" spans="1:13" x14ac:dyDescent="0.25">
      <c r="A2325" s="15" t="s">
        <v>4311</v>
      </c>
      <c r="B2325" s="15" t="s">
        <v>4268</v>
      </c>
      <c r="C2325" s="54">
        <v>130.72688199999999</v>
      </c>
      <c r="D2325" s="26">
        <v>0.11527777777777777</v>
      </c>
      <c r="E2325" s="55">
        <v>-23.351894999999999</v>
      </c>
      <c r="F2325" s="55">
        <v>-46.180186999999997</v>
      </c>
      <c r="G2325" s="55">
        <v>-23.517638999999999</v>
      </c>
      <c r="H2325" s="55">
        <v>-46.644252999999999</v>
      </c>
      <c r="I2325" s="55">
        <v>-23.456313999999999</v>
      </c>
      <c r="J2325" s="55">
        <v>-47.051454</v>
      </c>
      <c r="L2325" s="61" t="e">
        <f>_xlfn.CONCAT(ACliente25,"-",BCliente25)</f>
        <v>#NAME?</v>
      </c>
      <c r="M2325">
        <v>130.72688199999999</v>
      </c>
    </row>
    <row r="2326" spans="1:13" x14ac:dyDescent="0.25">
      <c r="A2326" s="15" t="s">
        <v>4311</v>
      </c>
      <c r="B2326" s="15" t="s">
        <v>4269</v>
      </c>
      <c r="C2326" s="52">
        <v>220.81474399999999</v>
      </c>
      <c r="D2326" s="25">
        <v>0.18055555555555555</v>
      </c>
      <c r="E2326" s="53">
        <v>-23.164107000000001</v>
      </c>
      <c r="F2326" s="53">
        <v>-46.229004000000003</v>
      </c>
      <c r="G2326" s="53">
        <v>-23.003177000000001</v>
      </c>
      <c r="H2326" s="53">
        <v>-46.775430999999998</v>
      </c>
      <c r="I2326" s="53">
        <v>-22.565549000000001</v>
      </c>
      <c r="J2326" s="53">
        <v>-47.365673000000001</v>
      </c>
      <c r="L2326" s="61" t="e">
        <f>_xlfn.CONCAT(ACliente26,"-",BCliente26)</f>
        <v>#NAME?</v>
      </c>
      <c r="M2326">
        <v>220.81474399999999</v>
      </c>
    </row>
    <row r="2327" spans="1:13" x14ac:dyDescent="0.25">
      <c r="A2327" s="15" t="s">
        <v>4311</v>
      </c>
      <c r="B2327" s="15" t="s">
        <v>4270</v>
      </c>
      <c r="C2327" s="54">
        <v>25.709917999999998</v>
      </c>
      <c r="D2327" s="26">
        <v>2.9166666666666664E-2</v>
      </c>
      <c r="E2327" s="55">
        <v>-23.086469999999998</v>
      </c>
      <c r="F2327" s="55">
        <v>-45.710147999999997</v>
      </c>
      <c r="G2327" s="55">
        <v>-23.112514000000001</v>
      </c>
      <c r="H2327" s="55">
        <v>-45.708364000000003</v>
      </c>
      <c r="I2327" s="55">
        <v>-23.280193000000001</v>
      </c>
      <c r="J2327" s="55">
        <v>-45.982520000000001</v>
      </c>
      <c r="L2327" s="61" t="e">
        <f>_xlfn.CONCAT(ACliente27,"-",BCliente27)</f>
        <v>#NAME?</v>
      </c>
      <c r="M2327">
        <v>25.709917999999998</v>
      </c>
    </row>
    <row r="2328" spans="1:13" x14ac:dyDescent="0.25">
      <c r="A2328" s="15" t="s">
        <v>4311</v>
      </c>
      <c r="B2328" s="15" t="s">
        <v>4271</v>
      </c>
      <c r="C2328" s="52">
        <v>111.793655</v>
      </c>
      <c r="D2328" s="25">
        <v>0.10069444444444443</v>
      </c>
      <c r="E2328" s="53">
        <v>-23.235047000000002</v>
      </c>
      <c r="F2328" s="53">
        <v>-46.126479000000003</v>
      </c>
      <c r="G2328" s="53">
        <v>-23.170057</v>
      </c>
      <c r="H2328" s="53">
        <v>-46.438690000000001</v>
      </c>
      <c r="I2328" s="53">
        <v>-22.931611</v>
      </c>
      <c r="J2328" s="53">
        <v>-46.921290999999997</v>
      </c>
      <c r="L2328" s="61" t="e">
        <f>_xlfn.CONCAT(ACliente28,"-",BCliente28)</f>
        <v>#NAME?</v>
      </c>
      <c r="M2328">
        <v>111.793655</v>
      </c>
    </row>
    <row r="2329" spans="1:13" x14ac:dyDescent="0.25">
      <c r="A2329" s="15" t="s">
        <v>4311</v>
      </c>
      <c r="B2329" s="15" t="s">
        <v>4272</v>
      </c>
      <c r="C2329" s="54">
        <v>109.65364700000001</v>
      </c>
      <c r="D2329" s="26">
        <v>9.5833333333333326E-2</v>
      </c>
      <c r="E2329" s="55">
        <v>-23.258317999999999</v>
      </c>
      <c r="F2329" s="55">
        <v>-46.098525000000002</v>
      </c>
      <c r="G2329" s="55">
        <v>-23.18526</v>
      </c>
      <c r="H2329" s="55">
        <v>-46.369996999999998</v>
      </c>
      <c r="I2329" s="55">
        <v>-22.986716999999999</v>
      </c>
      <c r="J2329" s="55">
        <v>-46.809192000000003</v>
      </c>
      <c r="L2329" s="61" t="e">
        <f>_xlfn.CONCAT(ACliente29,"-",BCliente29)</f>
        <v>#NAME?</v>
      </c>
      <c r="M2329">
        <v>109.65364700000001</v>
      </c>
    </row>
    <row r="2330" spans="1:13" x14ac:dyDescent="0.25">
      <c r="A2330" s="15" t="s">
        <v>4311</v>
      </c>
      <c r="B2330" s="15" t="s">
        <v>4273</v>
      </c>
      <c r="C2330" s="52">
        <v>109.720134</v>
      </c>
      <c r="D2330" s="25">
        <v>9.6527777777777768E-2</v>
      </c>
      <c r="E2330" s="53">
        <v>-23.248332999999999</v>
      </c>
      <c r="F2330" s="53">
        <v>-46.108620999999999</v>
      </c>
      <c r="G2330" s="53">
        <v>-23.171022000000001</v>
      </c>
      <c r="H2330" s="53">
        <v>-46.39029</v>
      </c>
      <c r="I2330" s="53">
        <v>-22.945398999999998</v>
      </c>
      <c r="J2330" s="53">
        <v>-46.872399999999999</v>
      </c>
      <c r="L2330" s="61" t="str">
        <f t="shared" si="37"/>
        <v>Cliente41-Cliente3</v>
      </c>
      <c r="M2330">
        <v>109.720134</v>
      </c>
    </row>
    <row r="2331" spans="1:13" x14ac:dyDescent="0.25">
      <c r="A2331" s="15" t="s">
        <v>4311</v>
      </c>
      <c r="B2331" s="15" t="s">
        <v>4274</v>
      </c>
      <c r="C2331" s="54">
        <v>113.56953799999999</v>
      </c>
      <c r="D2331" s="26">
        <v>9.7222222222222224E-2</v>
      </c>
      <c r="E2331" s="55">
        <v>-23.258317999999999</v>
      </c>
      <c r="F2331" s="55">
        <v>-46.098525000000002</v>
      </c>
      <c r="G2331" s="55">
        <v>-23.18526</v>
      </c>
      <c r="H2331" s="55">
        <v>-46.369996999999998</v>
      </c>
      <c r="I2331" s="55">
        <v>-22.989374999999999</v>
      </c>
      <c r="J2331" s="55">
        <v>-46.800041</v>
      </c>
      <c r="L2331" s="61" t="str">
        <f t="shared" si="37"/>
        <v>Cliente41-Cliente4</v>
      </c>
      <c r="M2331">
        <v>113.56953799999999</v>
      </c>
    </row>
    <row r="2332" spans="1:13" x14ac:dyDescent="0.25">
      <c r="A2332" s="15" t="s">
        <v>4311</v>
      </c>
      <c r="B2332" s="15" t="s">
        <v>4275</v>
      </c>
      <c r="C2332" s="52">
        <v>113.662744</v>
      </c>
      <c r="D2332" s="25">
        <v>9.7222222222222224E-2</v>
      </c>
      <c r="E2332" s="53">
        <v>-23.258869000000001</v>
      </c>
      <c r="F2332" s="53">
        <v>-46.096939999999996</v>
      </c>
      <c r="G2332" s="53">
        <v>-23.185034999999999</v>
      </c>
      <c r="H2332" s="53">
        <v>-46.362957000000002</v>
      </c>
      <c r="I2332" s="53">
        <v>-23.003177000000001</v>
      </c>
      <c r="J2332" s="53">
        <v>-46.775430999999998</v>
      </c>
      <c r="L2332" s="61" t="str">
        <f t="shared" si="37"/>
        <v>Cliente41-Cliente5</v>
      </c>
      <c r="M2332">
        <v>113.662744</v>
      </c>
    </row>
    <row r="2333" spans="1:13" x14ac:dyDescent="0.25">
      <c r="A2333" s="15" t="s">
        <v>4311</v>
      </c>
      <c r="B2333" s="15" t="s">
        <v>4276</v>
      </c>
      <c r="C2333" s="54">
        <v>108.06541799999999</v>
      </c>
      <c r="D2333" s="26">
        <v>9.6527777777777768E-2</v>
      </c>
      <c r="E2333" s="55">
        <v>-23.243258000000001</v>
      </c>
      <c r="F2333" s="55">
        <v>-46.118853000000001</v>
      </c>
      <c r="G2333" s="55">
        <v>-23.167954999999999</v>
      </c>
      <c r="H2333" s="55">
        <v>-46.394815999999999</v>
      </c>
      <c r="I2333" s="55">
        <v>-22.935310000000001</v>
      </c>
      <c r="J2333" s="55">
        <v>-46.884216000000002</v>
      </c>
      <c r="L2333" s="61" t="str">
        <f t="shared" si="37"/>
        <v>Cliente41-Cliente6</v>
      </c>
      <c r="M2333">
        <v>108.06541799999999</v>
      </c>
    </row>
    <row r="2334" spans="1:13" x14ac:dyDescent="0.25">
      <c r="A2334" s="15" t="s">
        <v>4311</v>
      </c>
      <c r="B2334" s="15" t="s">
        <v>4277</v>
      </c>
      <c r="C2334" s="52">
        <v>112.715772</v>
      </c>
      <c r="D2334" s="25">
        <v>9.9999999999999992E-2</v>
      </c>
      <c r="E2334" s="53">
        <v>-23.242108999999999</v>
      </c>
      <c r="F2334" s="53">
        <v>-46.120468000000002</v>
      </c>
      <c r="G2334" s="53">
        <v>-23.16572</v>
      </c>
      <c r="H2334" s="53">
        <v>-46.406353000000003</v>
      </c>
      <c r="I2334" s="53">
        <v>-22.933223000000002</v>
      </c>
      <c r="J2334" s="53">
        <v>-46.899517000000003</v>
      </c>
      <c r="L2334" s="61" t="str">
        <f t="shared" si="37"/>
        <v>Cliente41-Cliente7</v>
      </c>
      <c r="M2334">
        <v>112.715772</v>
      </c>
    </row>
    <row r="2335" spans="1:13" x14ac:dyDescent="0.25">
      <c r="A2335" s="15" t="s">
        <v>4311</v>
      </c>
      <c r="B2335" s="15" t="s">
        <v>4278</v>
      </c>
      <c r="C2335" s="54">
        <v>107.452123</v>
      </c>
      <c r="D2335" s="26">
        <v>9.1666666666666674E-2</v>
      </c>
      <c r="E2335" s="55">
        <v>-23.258492</v>
      </c>
      <c r="F2335" s="55">
        <v>-46.092449999999999</v>
      </c>
      <c r="G2335" s="55">
        <v>-23.19023</v>
      </c>
      <c r="H2335" s="55">
        <v>-46.356814</v>
      </c>
      <c r="I2335" s="55">
        <v>-23.019812999999999</v>
      </c>
      <c r="J2335" s="55">
        <v>-46.754663000000001</v>
      </c>
      <c r="L2335" s="61" t="str">
        <f t="shared" si="37"/>
        <v>Cliente41-Cliente8</v>
      </c>
      <c r="M2335">
        <v>107.452123</v>
      </c>
    </row>
    <row r="2336" spans="1:13" x14ac:dyDescent="0.25">
      <c r="A2336" s="15" t="s">
        <v>4311</v>
      </c>
      <c r="B2336" s="15" t="s">
        <v>4279</v>
      </c>
      <c r="C2336" s="52">
        <v>131.033219</v>
      </c>
      <c r="D2336" s="25">
        <v>0.1125</v>
      </c>
      <c r="E2336" s="53">
        <v>-23.243258000000001</v>
      </c>
      <c r="F2336" s="53">
        <v>-46.118853000000001</v>
      </c>
      <c r="G2336" s="53">
        <v>-23.167954999999999</v>
      </c>
      <c r="H2336" s="53">
        <v>-46.394815999999999</v>
      </c>
      <c r="I2336" s="53">
        <v>-22.934947000000001</v>
      </c>
      <c r="J2336" s="53">
        <v>-46.886237000000001</v>
      </c>
      <c r="L2336" s="61" t="str">
        <f t="shared" si="37"/>
        <v>Cliente41-Cliente9</v>
      </c>
      <c r="M2336">
        <v>131.033219</v>
      </c>
    </row>
    <row r="2337" spans="1:13" x14ac:dyDescent="0.25">
      <c r="A2337" s="15" t="s">
        <v>4311</v>
      </c>
      <c r="B2337" s="15" t="s">
        <v>4280</v>
      </c>
      <c r="C2337" s="54">
        <v>78.306635</v>
      </c>
      <c r="D2337" s="26">
        <v>7.7777777777777779E-2</v>
      </c>
      <c r="E2337" s="55">
        <v>-23.298971000000002</v>
      </c>
      <c r="F2337" s="55">
        <v>-46.011955999999998</v>
      </c>
      <c r="G2337" s="55">
        <v>-23.383317999999999</v>
      </c>
      <c r="H2337" s="55">
        <v>-46.263420000000004</v>
      </c>
      <c r="I2337" s="55">
        <v>-23.518345</v>
      </c>
      <c r="J2337" s="55">
        <v>-46.618879</v>
      </c>
      <c r="L2337" s="61" t="str">
        <f t="shared" si="37"/>
        <v>Cliente41-Cliente10</v>
      </c>
      <c r="M2337">
        <v>78.306635</v>
      </c>
    </row>
    <row r="2338" spans="1:13" x14ac:dyDescent="0.25">
      <c r="A2338" s="15" t="s">
        <v>4311</v>
      </c>
      <c r="B2338" s="15" t="s">
        <v>4281</v>
      </c>
      <c r="C2338" s="52">
        <v>151.583258</v>
      </c>
      <c r="D2338" s="25">
        <v>0.12708333333333333</v>
      </c>
      <c r="E2338" s="53">
        <v>-23.229899</v>
      </c>
      <c r="F2338" s="53">
        <v>-46.131117000000003</v>
      </c>
      <c r="G2338" s="53">
        <v>-23.133094</v>
      </c>
      <c r="H2338" s="53">
        <v>-46.461038000000002</v>
      </c>
      <c r="I2338" s="53">
        <v>-22.919777</v>
      </c>
      <c r="J2338" s="53">
        <v>-46.943668000000002</v>
      </c>
      <c r="L2338" s="61" t="str">
        <f t="shared" si="37"/>
        <v>Cliente41-Cliente11</v>
      </c>
      <c r="M2338">
        <v>151.583258</v>
      </c>
    </row>
    <row r="2339" spans="1:13" x14ac:dyDescent="0.25">
      <c r="A2339" s="15" t="s">
        <v>4311</v>
      </c>
      <c r="B2339" s="15" t="s">
        <v>4282</v>
      </c>
      <c r="C2339" s="54">
        <v>30.514372000000002</v>
      </c>
      <c r="D2339" s="26">
        <v>3.3333333333333333E-2</v>
      </c>
      <c r="E2339" s="55">
        <v>-23.09338</v>
      </c>
      <c r="F2339" s="55">
        <v>-45.709369000000002</v>
      </c>
      <c r="G2339" s="55">
        <v>-23.133524000000001</v>
      </c>
      <c r="H2339" s="55">
        <v>-45.748707000000003</v>
      </c>
      <c r="I2339" s="55">
        <v>-23.301155000000001</v>
      </c>
      <c r="J2339" s="55">
        <v>-46.023671999999998</v>
      </c>
      <c r="L2339" s="61" t="str">
        <f t="shared" si="37"/>
        <v>Cliente41-Cliente12</v>
      </c>
      <c r="M2339">
        <v>30.514372000000002</v>
      </c>
    </row>
    <row r="2340" spans="1:13" x14ac:dyDescent="0.25">
      <c r="A2340" s="15" t="s">
        <v>4311</v>
      </c>
      <c r="B2340" s="15" t="s">
        <v>4283</v>
      </c>
      <c r="C2340" s="52">
        <v>18.064547999999998</v>
      </c>
      <c r="D2340" s="25">
        <v>2.2222222222222223E-2</v>
      </c>
      <c r="E2340" s="53">
        <v>-23.084743</v>
      </c>
      <c r="F2340" s="53">
        <v>-45.710464000000002</v>
      </c>
      <c r="G2340" s="53">
        <v>-23.102727000000002</v>
      </c>
      <c r="H2340" s="53">
        <v>-45.710419999999999</v>
      </c>
      <c r="I2340" s="53">
        <v>-23.198131</v>
      </c>
      <c r="J2340" s="53">
        <v>-45.876612999999999</v>
      </c>
      <c r="L2340" s="61" t="str">
        <f t="shared" si="37"/>
        <v>Cliente41-Cliente13</v>
      </c>
      <c r="M2340">
        <v>18.064547999999998</v>
      </c>
    </row>
    <row r="2341" spans="1:13" x14ac:dyDescent="0.25">
      <c r="A2341" s="15" t="s">
        <v>4311</v>
      </c>
      <c r="B2341" s="15" t="s">
        <v>4284</v>
      </c>
      <c r="C2341" s="54">
        <v>20.278499</v>
      </c>
      <c r="D2341" s="26">
        <v>2.361111111111111E-2</v>
      </c>
      <c r="E2341" s="55">
        <v>-23.086469999999998</v>
      </c>
      <c r="F2341" s="55">
        <v>-45.710147999999997</v>
      </c>
      <c r="G2341" s="55">
        <v>-23.112514000000001</v>
      </c>
      <c r="H2341" s="55">
        <v>-45.708364000000003</v>
      </c>
      <c r="I2341" s="55">
        <v>-23.226544000000001</v>
      </c>
      <c r="J2341" s="55">
        <v>-45.907795</v>
      </c>
      <c r="L2341" s="61" t="str">
        <f t="shared" si="37"/>
        <v>Cliente41-Cliente14</v>
      </c>
      <c r="M2341">
        <v>20.278499</v>
      </c>
    </row>
    <row r="2342" spans="1:13" x14ac:dyDescent="0.25">
      <c r="A2342" s="15" t="s">
        <v>4311</v>
      </c>
      <c r="B2342" s="15" t="s">
        <v>4285</v>
      </c>
      <c r="C2342" s="52">
        <v>19.859694000000001</v>
      </c>
      <c r="D2342" s="25">
        <v>2.7083333333333334E-2</v>
      </c>
      <c r="E2342" s="53">
        <v>-23.09338</v>
      </c>
      <c r="F2342" s="53">
        <v>-45.709369000000002</v>
      </c>
      <c r="G2342" s="53">
        <v>-23.133524000000001</v>
      </c>
      <c r="H2342" s="53">
        <v>-45.748707000000003</v>
      </c>
      <c r="I2342" s="53">
        <v>-23.219857000000001</v>
      </c>
      <c r="J2342" s="53">
        <v>-45.901085999999999</v>
      </c>
      <c r="L2342" s="61" t="str">
        <f t="shared" si="37"/>
        <v>Cliente41-Cliente15</v>
      </c>
      <c r="M2342">
        <v>19.859694000000001</v>
      </c>
    </row>
    <row r="2343" spans="1:13" x14ac:dyDescent="0.25">
      <c r="A2343" s="15" t="s">
        <v>4311</v>
      </c>
      <c r="B2343" s="15" t="s">
        <v>4286</v>
      </c>
      <c r="C2343" s="54">
        <v>20.392209999999999</v>
      </c>
      <c r="D2343" s="26">
        <v>2.6388888888888889E-2</v>
      </c>
      <c r="E2343" s="55">
        <v>-23.092497000000002</v>
      </c>
      <c r="F2343" s="55">
        <v>-45.709147999999999</v>
      </c>
      <c r="G2343" s="55">
        <v>-23.115055000000002</v>
      </c>
      <c r="H2343" s="55">
        <v>-45.712347000000001</v>
      </c>
      <c r="I2343" s="55">
        <v>-23.219139999999999</v>
      </c>
      <c r="J2343" s="55">
        <v>-45.901637000000001</v>
      </c>
      <c r="L2343" s="61" t="str">
        <f t="shared" si="37"/>
        <v>Cliente41-Cliente16</v>
      </c>
      <c r="M2343">
        <v>20.392209999999999</v>
      </c>
    </row>
    <row r="2344" spans="1:13" x14ac:dyDescent="0.25">
      <c r="A2344" s="15" t="s">
        <v>4311</v>
      </c>
      <c r="B2344" s="15" t="s">
        <v>4287</v>
      </c>
      <c r="C2344" s="52">
        <v>18.488323999999999</v>
      </c>
      <c r="D2344" s="25">
        <v>2.0833333333333332E-2</v>
      </c>
      <c r="E2344" s="53">
        <v>-23.084558000000001</v>
      </c>
      <c r="F2344" s="53">
        <v>-45.710450000000002</v>
      </c>
      <c r="G2344" s="53">
        <v>-23.101808999999999</v>
      </c>
      <c r="H2344" s="53">
        <v>-45.712398</v>
      </c>
      <c r="I2344" s="53">
        <v>-23.115151000000001</v>
      </c>
      <c r="J2344" s="53">
        <v>-45.712558999999999</v>
      </c>
      <c r="L2344" s="61" t="str">
        <f t="shared" si="37"/>
        <v>Cliente41-Cliente17</v>
      </c>
      <c r="M2344">
        <v>18.488323999999999</v>
      </c>
    </row>
    <row r="2345" spans="1:13" x14ac:dyDescent="0.25">
      <c r="A2345" s="15" t="s">
        <v>4311</v>
      </c>
      <c r="B2345" s="15" t="s">
        <v>4288</v>
      </c>
      <c r="C2345" s="54">
        <v>12.087564</v>
      </c>
      <c r="D2345" s="26">
        <v>1.9444444444444445E-2</v>
      </c>
      <c r="E2345" s="55">
        <v>-23.086469999999998</v>
      </c>
      <c r="F2345" s="55">
        <v>-45.710147999999997</v>
      </c>
      <c r="G2345" s="55">
        <v>-23.112514000000001</v>
      </c>
      <c r="H2345" s="55">
        <v>-45.708364000000003</v>
      </c>
      <c r="I2345" s="55">
        <v>-23.160066</v>
      </c>
      <c r="J2345" s="55">
        <v>-45.805016000000002</v>
      </c>
      <c r="L2345" s="61" t="str">
        <f t="shared" si="37"/>
        <v>Cliente41-Cliente18</v>
      </c>
      <c r="M2345">
        <v>12.087564</v>
      </c>
    </row>
    <row r="2346" spans="1:13" x14ac:dyDescent="0.25">
      <c r="A2346" s="15" t="s">
        <v>4311</v>
      </c>
      <c r="B2346" s="15" t="s">
        <v>4289</v>
      </c>
      <c r="C2346" s="52">
        <v>73.479190000000003</v>
      </c>
      <c r="D2346" s="25">
        <v>6.8749999999999992E-2</v>
      </c>
      <c r="E2346" s="53">
        <v>-23.240269000000001</v>
      </c>
      <c r="F2346" s="53">
        <v>-45.922057000000002</v>
      </c>
      <c r="G2346" s="53">
        <v>-23.367366000000001</v>
      </c>
      <c r="H2346" s="53">
        <v>-46.232011</v>
      </c>
      <c r="I2346" s="53">
        <v>-23.528957999999999</v>
      </c>
      <c r="J2346" s="53">
        <v>-46.590741999999999</v>
      </c>
      <c r="L2346" s="61" t="str">
        <f t="shared" si="37"/>
        <v>Cliente41-Cliente19</v>
      </c>
      <c r="M2346">
        <v>73.479190000000003</v>
      </c>
    </row>
    <row r="2347" spans="1:13" x14ac:dyDescent="0.25">
      <c r="A2347" s="15" t="s">
        <v>4311</v>
      </c>
      <c r="B2347" s="15" t="s">
        <v>4290</v>
      </c>
      <c r="C2347" s="54">
        <v>81.031976</v>
      </c>
      <c r="D2347" s="26">
        <v>7.7777777777777779E-2</v>
      </c>
      <c r="E2347" s="55">
        <v>-23.298971000000002</v>
      </c>
      <c r="F2347" s="55">
        <v>-46.011955999999998</v>
      </c>
      <c r="G2347" s="55">
        <v>-23.383317999999999</v>
      </c>
      <c r="H2347" s="55">
        <v>-46.263420000000004</v>
      </c>
      <c r="I2347" s="55">
        <v>-23.518345</v>
      </c>
      <c r="J2347" s="55">
        <v>-46.618879</v>
      </c>
      <c r="L2347" s="61" t="str">
        <f t="shared" si="37"/>
        <v>Cliente41-Cliente20</v>
      </c>
      <c r="M2347">
        <v>81.031976</v>
      </c>
    </row>
    <row r="2348" spans="1:13" x14ac:dyDescent="0.25">
      <c r="A2348" s="15" t="s">
        <v>4311</v>
      </c>
      <c r="B2348" s="15" t="s">
        <v>4291</v>
      </c>
      <c r="C2348" s="52">
        <v>80.638647000000006</v>
      </c>
      <c r="D2348" s="25">
        <v>7.8472222222222221E-2</v>
      </c>
      <c r="E2348" s="53">
        <v>-23.306722000000001</v>
      </c>
      <c r="F2348" s="53">
        <v>-46.039996000000002</v>
      </c>
      <c r="G2348" s="53">
        <v>-23.400100999999999</v>
      </c>
      <c r="H2348" s="53">
        <v>-46.303072</v>
      </c>
      <c r="I2348" s="53">
        <v>-23.510318999999999</v>
      </c>
      <c r="J2348" s="53">
        <v>-46.682270000000003</v>
      </c>
      <c r="L2348" s="61" t="str">
        <f t="shared" si="37"/>
        <v>Cliente41-Cliente21</v>
      </c>
      <c r="M2348">
        <v>80.638647000000006</v>
      </c>
    </row>
    <row r="2349" spans="1:13" x14ac:dyDescent="0.25">
      <c r="A2349" s="15" t="s">
        <v>4311</v>
      </c>
      <c r="B2349" s="15" t="s">
        <v>4292</v>
      </c>
      <c r="C2349" s="54">
        <v>77.349100000000007</v>
      </c>
      <c r="D2349" s="26">
        <v>7.4999999999999997E-2</v>
      </c>
      <c r="E2349" s="55">
        <v>-23.298971000000002</v>
      </c>
      <c r="F2349" s="55">
        <v>-46.011955999999998</v>
      </c>
      <c r="G2349" s="55">
        <v>-23.383317999999999</v>
      </c>
      <c r="H2349" s="55">
        <v>-46.263420000000004</v>
      </c>
      <c r="I2349" s="55">
        <v>-23.518345</v>
      </c>
      <c r="J2349" s="55">
        <v>-46.618879</v>
      </c>
      <c r="L2349" s="61" t="str">
        <f t="shared" si="37"/>
        <v>Cliente41-Cliente22</v>
      </c>
      <c r="M2349">
        <v>77.349100000000007</v>
      </c>
    </row>
    <row r="2350" spans="1:13" x14ac:dyDescent="0.25">
      <c r="A2350" s="15" t="s">
        <v>4311</v>
      </c>
      <c r="B2350" s="15" t="s">
        <v>4293</v>
      </c>
      <c r="C2350" s="52">
        <v>80.680278999999999</v>
      </c>
      <c r="D2350" s="25">
        <v>8.6805555555555566E-2</v>
      </c>
      <c r="E2350" s="53">
        <v>-23.308782999999998</v>
      </c>
      <c r="F2350" s="53">
        <v>-46.058050000000001</v>
      </c>
      <c r="G2350" s="53">
        <v>-23.409676000000001</v>
      </c>
      <c r="H2350" s="53">
        <v>-46.343687000000003</v>
      </c>
      <c r="I2350" s="53">
        <v>-23.554034000000001</v>
      </c>
      <c r="J2350" s="53">
        <v>-46.645032</v>
      </c>
      <c r="L2350" s="61" t="str">
        <f t="shared" si="37"/>
        <v>Cliente41-Cliente23</v>
      </c>
      <c r="M2350">
        <v>80.680278999999999</v>
      </c>
    </row>
    <row r="2351" spans="1:13" x14ac:dyDescent="0.25">
      <c r="A2351" s="15" t="s">
        <v>4311</v>
      </c>
      <c r="B2351" s="15" t="s">
        <v>4294</v>
      </c>
      <c r="C2351" s="54">
        <v>80.632433000000006</v>
      </c>
      <c r="D2351" s="26">
        <v>8.7500000000000008E-2</v>
      </c>
      <c r="E2351" s="55">
        <v>-23.307507999999999</v>
      </c>
      <c r="F2351" s="55">
        <v>-46.044593999999996</v>
      </c>
      <c r="G2351" s="55">
        <v>-23.403053</v>
      </c>
      <c r="H2351" s="55">
        <v>-46.328882</v>
      </c>
      <c r="I2351" s="55">
        <v>-23.556025000000002</v>
      </c>
      <c r="J2351" s="55">
        <v>-46.628421000000003</v>
      </c>
      <c r="L2351" s="61" t="str">
        <f t="shared" si="37"/>
        <v>Cliente41-Cliente24</v>
      </c>
      <c r="M2351">
        <v>80.632433000000006</v>
      </c>
    </row>
    <row r="2352" spans="1:13" x14ac:dyDescent="0.25">
      <c r="A2352" s="15" t="s">
        <v>4311</v>
      </c>
      <c r="B2352" s="15" t="s">
        <v>4295</v>
      </c>
      <c r="C2352" s="52">
        <v>83.055786999999995</v>
      </c>
      <c r="D2352" s="25">
        <v>9.3055555555555558E-2</v>
      </c>
      <c r="E2352" s="53">
        <v>-23.316233</v>
      </c>
      <c r="F2352" s="53">
        <v>-46.079599999999999</v>
      </c>
      <c r="G2352" s="53">
        <v>-23.473317000000002</v>
      </c>
      <c r="H2352" s="53">
        <v>-46.521718</v>
      </c>
      <c r="I2352" s="53">
        <v>-23.571062000000001</v>
      </c>
      <c r="J2352" s="53">
        <v>-46.690973999999997</v>
      </c>
      <c r="L2352" s="61" t="str">
        <f t="shared" si="37"/>
        <v>Cliente41-Cliente25</v>
      </c>
      <c r="M2352">
        <v>83.055786999999995</v>
      </c>
    </row>
    <row r="2353" spans="1:13" x14ac:dyDescent="0.25">
      <c r="A2353" s="15" t="s">
        <v>4311</v>
      </c>
      <c r="B2353" s="15" t="s">
        <v>4296</v>
      </c>
      <c r="C2353" s="54">
        <v>89.744864000000007</v>
      </c>
      <c r="D2353" s="26">
        <v>8.6805555555555566E-2</v>
      </c>
      <c r="E2353" s="55">
        <v>-23.321372</v>
      </c>
      <c r="F2353" s="55">
        <v>-46.095202</v>
      </c>
      <c r="G2353" s="55">
        <v>-23.528957999999999</v>
      </c>
      <c r="H2353" s="55">
        <v>-46.590741999999999</v>
      </c>
      <c r="I2353" s="55">
        <v>-23.511731999999999</v>
      </c>
      <c r="J2353" s="55">
        <v>-46.800997000000002</v>
      </c>
      <c r="L2353" s="61" t="str">
        <f t="shared" si="37"/>
        <v>Cliente41-Cliente26</v>
      </c>
      <c r="M2353">
        <v>89.744864000000007</v>
      </c>
    </row>
    <row r="2354" spans="1:13" x14ac:dyDescent="0.25">
      <c r="A2354" s="15" t="s">
        <v>4311</v>
      </c>
      <c r="B2354" s="15" t="s">
        <v>4297</v>
      </c>
      <c r="C2354" s="52">
        <v>82.541911999999996</v>
      </c>
      <c r="D2354" s="25">
        <v>8.9583333333333334E-2</v>
      </c>
      <c r="E2354" s="53">
        <v>-23.320929</v>
      </c>
      <c r="F2354" s="53">
        <v>-46.092657000000003</v>
      </c>
      <c r="G2354" s="53">
        <v>-23.510303</v>
      </c>
      <c r="H2354" s="53">
        <v>-46.574266000000001</v>
      </c>
      <c r="I2354" s="53">
        <v>-23.576975000000001</v>
      </c>
      <c r="J2354" s="53">
        <v>-46.672811000000003</v>
      </c>
      <c r="L2354" s="61" t="str">
        <f t="shared" si="37"/>
        <v>Cliente41-Cliente27</v>
      </c>
      <c r="M2354">
        <v>82.541911999999996</v>
      </c>
    </row>
    <row r="2355" spans="1:13" x14ac:dyDescent="0.25">
      <c r="A2355" s="15" t="s">
        <v>4311</v>
      </c>
      <c r="B2355" s="15" t="s">
        <v>4298</v>
      </c>
      <c r="C2355" s="54">
        <v>82.246759999999995</v>
      </c>
      <c r="D2355" s="26">
        <v>8.4722222222222213E-2</v>
      </c>
      <c r="E2355" s="55">
        <v>-23.308149</v>
      </c>
      <c r="F2355" s="55">
        <v>-46.056229000000002</v>
      </c>
      <c r="G2355" s="55">
        <v>-23.408674999999999</v>
      </c>
      <c r="H2355" s="55">
        <v>-46.340190999999997</v>
      </c>
      <c r="I2355" s="55">
        <v>-23.554628999999998</v>
      </c>
      <c r="J2355" s="55">
        <v>-46.637501999999998</v>
      </c>
      <c r="L2355" s="61" t="str">
        <f t="shared" si="37"/>
        <v>Cliente41-Cliente28</v>
      </c>
      <c r="M2355">
        <v>82.246759999999995</v>
      </c>
    </row>
    <row r="2356" spans="1:13" x14ac:dyDescent="0.25">
      <c r="A2356" s="15" t="s">
        <v>4311</v>
      </c>
      <c r="B2356" s="15" t="s">
        <v>4299</v>
      </c>
      <c r="C2356" s="52">
        <v>79.831484000000003</v>
      </c>
      <c r="D2356" s="25">
        <v>7.9861111111111105E-2</v>
      </c>
      <c r="E2356" s="53">
        <v>-23.302142</v>
      </c>
      <c r="F2356" s="53">
        <v>-46.025424000000001</v>
      </c>
      <c r="G2356" s="53">
        <v>-23.39845</v>
      </c>
      <c r="H2356" s="53">
        <v>-46.298672000000003</v>
      </c>
      <c r="I2356" s="53">
        <v>-23.574487000000001</v>
      </c>
      <c r="J2356" s="53">
        <v>-46.570788</v>
      </c>
      <c r="L2356" s="61" t="str">
        <f t="shared" si="37"/>
        <v>Cliente41-Cliente29</v>
      </c>
      <c r="M2356">
        <v>79.831484000000003</v>
      </c>
    </row>
    <row r="2357" spans="1:13" x14ac:dyDescent="0.25">
      <c r="A2357" s="15" t="s">
        <v>4311</v>
      </c>
      <c r="B2357" s="15" t="s">
        <v>4300</v>
      </c>
      <c r="C2357" s="54">
        <v>80.893410000000003</v>
      </c>
      <c r="D2357" s="26">
        <v>7.3611111111111113E-2</v>
      </c>
      <c r="E2357" s="55">
        <v>-23.315766</v>
      </c>
      <c r="F2357" s="55">
        <v>-46.077271000000003</v>
      </c>
      <c r="G2357" s="55">
        <v>-23.449549000000001</v>
      </c>
      <c r="H2357" s="55">
        <v>-46.330491000000002</v>
      </c>
      <c r="I2357" s="55">
        <v>-23.643898</v>
      </c>
      <c r="J2357" s="55">
        <v>-46.391660000000002</v>
      </c>
      <c r="L2357" s="61" t="str">
        <f t="shared" si="37"/>
        <v>Cliente41-Cliente30</v>
      </c>
      <c r="M2357">
        <v>80.893410000000003</v>
      </c>
    </row>
    <row r="2358" spans="1:13" x14ac:dyDescent="0.25">
      <c r="A2358" s="15" t="s">
        <v>4311</v>
      </c>
      <c r="B2358" s="15" t="s">
        <v>4301</v>
      </c>
      <c r="C2358" s="52">
        <v>83.747375000000005</v>
      </c>
      <c r="D2358" s="25">
        <v>8.3333333333333329E-2</v>
      </c>
      <c r="E2358" s="53">
        <v>-23.309348</v>
      </c>
      <c r="F2358" s="53">
        <v>-46.059255999999998</v>
      </c>
      <c r="G2358" s="53">
        <v>-23.412445000000002</v>
      </c>
      <c r="H2358" s="53">
        <v>-46.359893</v>
      </c>
      <c r="I2358" s="53">
        <v>-23.514762000000001</v>
      </c>
      <c r="J2358" s="53">
        <v>-46.727697999999997</v>
      </c>
      <c r="L2358" s="61" t="str">
        <f t="shared" si="37"/>
        <v>Cliente41-Cliente31</v>
      </c>
      <c r="M2358">
        <v>83.747375000000005</v>
      </c>
    </row>
    <row r="2359" spans="1:13" x14ac:dyDescent="0.25">
      <c r="A2359" s="15" t="s">
        <v>4311</v>
      </c>
      <c r="B2359" s="15" t="s">
        <v>4302</v>
      </c>
      <c r="C2359" s="54">
        <v>78.778256999999996</v>
      </c>
      <c r="D2359" s="26">
        <v>7.6388888888888895E-2</v>
      </c>
      <c r="E2359" s="55">
        <v>-23.297739</v>
      </c>
      <c r="F2359" s="55">
        <v>-46.009698</v>
      </c>
      <c r="G2359" s="55">
        <v>-23.378318</v>
      </c>
      <c r="H2359" s="55">
        <v>-46.255564999999997</v>
      </c>
      <c r="I2359" s="55">
        <v>-23.519344</v>
      </c>
      <c r="J2359" s="55">
        <v>-46.615735999999998</v>
      </c>
      <c r="L2359" s="61" t="str">
        <f t="shared" si="37"/>
        <v>Cliente41-Cliente32</v>
      </c>
      <c r="M2359">
        <v>78.778256999999996</v>
      </c>
    </row>
    <row r="2360" spans="1:13" x14ac:dyDescent="0.25">
      <c r="A2360" s="15" t="s">
        <v>4311</v>
      </c>
      <c r="B2360" s="15" t="s">
        <v>4303</v>
      </c>
      <c r="C2360" s="52">
        <v>68.844370999999995</v>
      </c>
      <c r="D2360" s="25">
        <v>6.5277777777777782E-2</v>
      </c>
      <c r="E2360" s="53">
        <v>-23.19577</v>
      </c>
      <c r="F2360" s="53">
        <v>-45.872784000000003</v>
      </c>
      <c r="G2360" s="53">
        <v>-23.351959000000001</v>
      </c>
      <c r="H2360" s="53">
        <v>-46.199005</v>
      </c>
      <c r="I2360" s="53">
        <v>-23.432136</v>
      </c>
      <c r="J2360" s="53">
        <v>-46.419510000000002</v>
      </c>
      <c r="L2360" s="61" t="str">
        <f t="shared" si="37"/>
        <v>Cliente41-Cliente33</v>
      </c>
      <c r="M2360">
        <v>68.844370999999995</v>
      </c>
    </row>
    <row r="2361" spans="1:13" x14ac:dyDescent="0.25">
      <c r="A2361" s="15" t="s">
        <v>4311</v>
      </c>
      <c r="B2361" s="15" t="s">
        <v>4304</v>
      </c>
      <c r="C2361" s="54">
        <v>88.454894999999993</v>
      </c>
      <c r="D2361" s="26">
        <v>8.819444444444445E-2</v>
      </c>
      <c r="E2361" s="55">
        <v>-23.320332000000001</v>
      </c>
      <c r="F2361" s="55">
        <v>-46.090277999999998</v>
      </c>
      <c r="G2361" s="55">
        <v>-23.506691</v>
      </c>
      <c r="H2361" s="55">
        <v>-46.570599000000001</v>
      </c>
      <c r="I2361" s="55">
        <v>-23.519061000000001</v>
      </c>
      <c r="J2361" s="55">
        <v>-46.783391000000002</v>
      </c>
      <c r="L2361" s="61" t="str">
        <f t="shared" si="37"/>
        <v>Cliente41-Cliente34</v>
      </c>
      <c r="M2361">
        <v>88.454894999999993</v>
      </c>
    </row>
    <row r="2362" spans="1:13" x14ac:dyDescent="0.25">
      <c r="A2362" s="15" t="s">
        <v>4311</v>
      </c>
      <c r="B2362" s="15" t="s">
        <v>4305</v>
      </c>
      <c r="C2362" s="52">
        <v>89.050791000000004</v>
      </c>
      <c r="D2362" s="25">
        <v>8.7500000000000008E-2</v>
      </c>
      <c r="E2362" s="53">
        <v>-23.316233</v>
      </c>
      <c r="F2362" s="53">
        <v>-46.079599999999999</v>
      </c>
      <c r="G2362" s="53">
        <v>-23.473317000000002</v>
      </c>
      <c r="H2362" s="53">
        <v>-46.521718</v>
      </c>
      <c r="I2362" s="53">
        <v>-23.524452</v>
      </c>
      <c r="J2362" s="53">
        <v>-46.755083999999997</v>
      </c>
      <c r="L2362" s="61" t="str">
        <f t="shared" si="37"/>
        <v>Cliente41-Cliente35</v>
      </c>
      <c r="M2362">
        <v>89.050791000000004</v>
      </c>
    </row>
    <row r="2363" spans="1:13" x14ac:dyDescent="0.25">
      <c r="A2363" s="15" t="s">
        <v>4311</v>
      </c>
      <c r="B2363" s="15" t="s">
        <v>4306</v>
      </c>
      <c r="C2363" s="54">
        <v>197.750631</v>
      </c>
      <c r="D2363" s="26">
        <v>0.16527777777777777</v>
      </c>
      <c r="E2363" s="55">
        <v>-23.164539000000001</v>
      </c>
      <c r="F2363" s="55">
        <v>-46.225582000000003</v>
      </c>
      <c r="G2363" s="55">
        <v>-23.011977999999999</v>
      </c>
      <c r="H2363" s="55">
        <v>-46.764145999999997</v>
      </c>
      <c r="I2363" s="55">
        <v>-22.61215</v>
      </c>
      <c r="J2363" s="55">
        <v>-47.354230999999999</v>
      </c>
      <c r="L2363" s="61" t="str">
        <f t="shared" si="37"/>
        <v>Cliente41-Cliente36</v>
      </c>
      <c r="M2363">
        <v>197.750631</v>
      </c>
    </row>
    <row r="2364" spans="1:13" x14ac:dyDescent="0.25">
      <c r="A2364" s="15" t="s">
        <v>4311</v>
      </c>
      <c r="B2364" s="15" t="s">
        <v>4307</v>
      </c>
      <c r="C2364" s="52">
        <v>196.653908</v>
      </c>
      <c r="D2364" s="25">
        <v>0.16388888888888889</v>
      </c>
      <c r="E2364" s="53">
        <v>-23.164107000000001</v>
      </c>
      <c r="F2364" s="53">
        <v>-46.229004000000003</v>
      </c>
      <c r="G2364" s="53">
        <v>-23.003177000000001</v>
      </c>
      <c r="H2364" s="53">
        <v>-46.775430999999998</v>
      </c>
      <c r="I2364" s="53">
        <v>-22.565549000000001</v>
      </c>
      <c r="J2364" s="53">
        <v>-47.365673000000001</v>
      </c>
      <c r="L2364" s="61" t="str">
        <f t="shared" si="37"/>
        <v>Cliente41-Cliente37</v>
      </c>
      <c r="M2364">
        <v>196.653908</v>
      </c>
    </row>
    <row r="2365" spans="1:13" x14ac:dyDescent="0.25">
      <c r="A2365" s="15" t="s">
        <v>4311</v>
      </c>
      <c r="B2365" s="15" t="s">
        <v>4308</v>
      </c>
      <c r="C2365" s="54">
        <v>194.87740299999999</v>
      </c>
      <c r="D2365" s="26">
        <v>0.16111111111111112</v>
      </c>
      <c r="E2365" s="55">
        <v>-23.165807000000001</v>
      </c>
      <c r="F2365" s="55">
        <v>-46.223675999999998</v>
      </c>
      <c r="G2365" s="55">
        <v>-23.019812999999999</v>
      </c>
      <c r="H2365" s="55">
        <v>-46.754663000000001</v>
      </c>
      <c r="I2365" s="55">
        <v>-22.642052</v>
      </c>
      <c r="J2365" s="55">
        <v>-47.327779</v>
      </c>
      <c r="L2365" s="61" t="str">
        <f t="shared" si="37"/>
        <v>Cliente41-Cliente38</v>
      </c>
      <c r="M2365">
        <v>194.87740299999999</v>
      </c>
    </row>
    <row r="2366" spans="1:13" x14ac:dyDescent="0.25">
      <c r="A2366" s="15" t="s">
        <v>4311</v>
      </c>
      <c r="B2366" s="15" t="s">
        <v>4309</v>
      </c>
      <c r="C2366" s="52">
        <v>15.022307</v>
      </c>
      <c r="D2366" s="25">
        <v>2.361111111111111E-2</v>
      </c>
      <c r="E2366" s="53">
        <v>-23.087264999999999</v>
      </c>
      <c r="F2366" s="53">
        <v>-45.707326999999999</v>
      </c>
      <c r="G2366" s="53">
        <v>-23.097052999999999</v>
      </c>
      <c r="H2366" s="53">
        <v>-45.683506000000001</v>
      </c>
      <c r="I2366" s="53">
        <v>-23.036484999999999</v>
      </c>
      <c r="J2366" s="53">
        <v>-45.556984999999997</v>
      </c>
      <c r="L2366" s="61" t="str">
        <f t="shared" si="37"/>
        <v>Cliente41-Cliente39</v>
      </c>
      <c r="M2366">
        <v>15.022307</v>
      </c>
    </row>
    <row r="2367" spans="1:13" x14ac:dyDescent="0.25">
      <c r="A2367" s="15" t="s">
        <v>4311</v>
      </c>
      <c r="B2367" s="15" t="s">
        <v>4310</v>
      </c>
      <c r="C2367" s="54">
        <v>16.583817</v>
      </c>
      <c r="D2367" s="26">
        <v>2.7083333333333334E-2</v>
      </c>
      <c r="E2367" s="55">
        <v>-23.086998000000001</v>
      </c>
      <c r="F2367" s="55">
        <v>-45.705013999999998</v>
      </c>
      <c r="G2367" s="55">
        <v>-23.051888000000002</v>
      </c>
      <c r="H2367" s="55">
        <v>-45.6051</v>
      </c>
      <c r="I2367" s="55">
        <v>-23.029502999999998</v>
      </c>
      <c r="J2367" s="55">
        <v>-45.554628000000001</v>
      </c>
      <c r="L2367" s="61" t="str">
        <f t="shared" si="37"/>
        <v>Cliente41-Cliente40</v>
      </c>
      <c r="M2367">
        <v>16.583817</v>
      </c>
    </row>
    <row r="2368" spans="1:13" x14ac:dyDescent="0.25">
      <c r="A2368" s="15" t="s">
        <v>4311</v>
      </c>
      <c r="B2368" s="15" t="s">
        <v>4311</v>
      </c>
      <c r="C2368" s="52">
        <v>0</v>
      </c>
      <c r="D2368" s="25">
        <v>0</v>
      </c>
      <c r="E2368" s="53">
        <f>'1. Locais'!D45</f>
        <v>-23.072230000000001</v>
      </c>
      <c r="F2368" s="53">
        <f>'1. Locais'!E45</f>
        <v>-45.712269999999997</v>
      </c>
      <c r="G2368" s="53">
        <f>'1. Locais'!D45</f>
        <v>-23.072230000000001</v>
      </c>
      <c r="H2368" s="53">
        <f>'1. Locais'!E45</f>
        <v>-45.712269999999997</v>
      </c>
      <c r="I2368" s="53">
        <f>'1. Locais'!D45</f>
        <v>-23.072230000000001</v>
      </c>
      <c r="J2368" s="53">
        <f>'1. Locais'!E45</f>
        <v>-45.712269999999997</v>
      </c>
      <c r="L2368" s="61" t="str">
        <f t="shared" si="37"/>
        <v>Cliente41-Cliente41</v>
      </c>
      <c r="M2368">
        <v>0</v>
      </c>
    </row>
    <row r="2369" spans="1:13" x14ac:dyDescent="0.25">
      <c r="A2369" s="15" t="s">
        <v>4311</v>
      </c>
      <c r="B2369" s="15" t="s">
        <v>4312</v>
      </c>
      <c r="C2369" s="54">
        <v>3.9221050000000002</v>
      </c>
      <c r="D2369" s="26">
        <v>1.1111111111111112E-2</v>
      </c>
      <c r="E2369" s="55">
        <v>-23.080673000000001</v>
      </c>
      <c r="F2369" s="55">
        <v>-45.711049000000003</v>
      </c>
      <c r="G2369" s="55">
        <v>-23.100048000000001</v>
      </c>
      <c r="H2369" s="55">
        <v>-45.708902999999999</v>
      </c>
      <c r="I2369" s="55">
        <v>-23.112916999999999</v>
      </c>
      <c r="J2369" s="55">
        <v>-45.707962999999999</v>
      </c>
      <c r="L2369" s="61" t="str">
        <f t="shared" si="37"/>
        <v>Cliente41-Cliente42</v>
      </c>
      <c r="M2369">
        <v>3.9221050000000002</v>
      </c>
    </row>
    <row r="2370" spans="1:13" x14ac:dyDescent="0.25">
      <c r="A2370" s="15" t="s">
        <v>4311</v>
      </c>
      <c r="B2370" s="15" t="s">
        <v>4313</v>
      </c>
      <c r="C2370" s="52">
        <v>21.263995999999999</v>
      </c>
      <c r="D2370" s="25">
        <v>2.9166666666666664E-2</v>
      </c>
      <c r="E2370" s="53">
        <v>-23.097185</v>
      </c>
      <c r="F2370" s="53">
        <v>-45.698860000000003</v>
      </c>
      <c r="G2370" s="53">
        <v>-23.017862000000001</v>
      </c>
      <c r="H2370" s="53">
        <v>-45.529407999999997</v>
      </c>
      <c r="I2370" s="53">
        <v>-23.003211</v>
      </c>
      <c r="J2370" s="53">
        <v>-45.512161999999996</v>
      </c>
      <c r="L2370" s="61" t="str">
        <f t="shared" si="37"/>
        <v>Cliente41-Cliente43</v>
      </c>
      <c r="M2370">
        <v>21.263995999999999</v>
      </c>
    </row>
    <row r="2371" spans="1:13" x14ac:dyDescent="0.25">
      <c r="A2371" s="15" t="s">
        <v>4311</v>
      </c>
      <c r="B2371" s="15" t="s">
        <v>4314</v>
      </c>
      <c r="C2371" s="54">
        <v>141.75686899999999</v>
      </c>
      <c r="D2371" s="26">
        <v>0.12708333333333333</v>
      </c>
      <c r="E2371" s="55">
        <v>-23.356815000000001</v>
      </c>
      <c r="F2371" s="55">
        <v>-46.206916999999997</v>
      </c>
      <c r="G2371" s="55">
        <v>-23.508939999999999</v>
      </c>
      <c r="H2371" s="55">
        <v>-46.720860999999999</v>
      </c>
      <c r="I2371" s="55">
        <v>-23.421775</v>
      </c>
      <c r="J2371" s="55">
        <v>-47.166389000000002</v>
      </c>
      <c r="L2371" s="61" t="str">
        <f t="shared" si="37"/>
        <v>Cliente41-Cliente44</v>
      </c>
      <c r="M2371">
        <v>141.75686899999999</v>
      </c>
    </row>
    <row r="2372" spans="1:13" x14ac:dyDescent="0.25">
      <c r="A2372" s="15" t="s">
        <v>4311</v>
      </c>
      <c r="B2372" s="15" t="s">
        <v>4315</v>
      </c>
      <c r="C2372" s="52">
        <v>146.04993400000001</v>
      </c>
      <c r="D2372" s="25">
        <v>0.1361111111111111</v>
      </c>
      <c r="E2372" s="53">
        <v>-23.369409999999998</v>
      </c>
      <c r="F2372" s="53">
        <v>-46.239449999999998</v>
      </c>
      <c r="G2372" s="53">
        <v>-23.519438999999998</v>
      </c>
      <c r="H2372" s="53">
        <v>-46.747270999999998</v>
      </c>
      <c r="I2372" s="53">
        <v>-23.407094000000001</v>
      </c>
      <c r="J2372" s="53">
        <v>-47.292929999999998</v>
      </c>
      <c r="L2372" s="61" t="str">
        <f t="shared" si="37"/>
        <v>Cliente41-Cliente45</v>
      </c>
      <c r="M2372">
        <v>146.04993400000001</v>
      </c>
    </row>
    <row r="2373" spans="1:13" x14ac:dyDescent="0.25">
      <c r="A2373" s="15" t="s">
        <v>4311</v>
      </c>
      <c r="B2373" s="15" t="s">
        <v>4316</v>
      </c>
      <c r="C2373" s="54">
        <v>130.47895399999999</v>
      </c>
      <c r="D2373" s="26">
        <v>0.12083333333333333</v>
      </c>
      <c r="E2373" s="55">
        <v>-23.351648999999998</v>
      </c>
      <c r="F2373" s="55">
        <v>-46.189768000000001</v>
      </c>
      <c r="G2373" s="55">
        <v>-23.509692999999999</v>
      </c>
      <c r="H2373" s="55">
        <v>-46.683678</v>
      </c>
      <c r="I2373" s="55">
        <v>-23.439118000000001</v>
      </c>
      <c r="J2373" s="55">
        <v>-47.105992000000001</v>
      </c>
      <c r="L2373" s="61" t="str">
        <f t="shared" si="37"/>
        <v>Cliente41-Cliente46</v>
      </c>
      <c r="M2373">
        <v>130.47895399999999</v>
      </c>
    </row>
    <row r="2374" spans="1:13" x14ac:dyDescent="0.25">
      <c r="A2374" s="15" t="s">
        <v>4311</v>
      </c>
      <c r="B2374" s="15" t="s">
        <v>4317</v>
      </c>
      <c r="C2374" s="52">
        <v>258.22946100000001</v>
      </c>
      <c r="D2374" s="25">
        <v>0.21180555555555555</v>
      </c>
      <c r="E2374" s="53">
        <v>-23.172507</v>
      </c>
      <c r="F2374" s="53">
        <v>-46.262763</v>
      </c>
      <c r="G2374" s="53">
        <v>-22.935181</v>
      </c>
      <c r="H2374" s="53">
        <v>-46.896372</v>
      </c>
      <c r="I2374" s="53">
        <v>-22.258479999999999</v>
      </c>
      <c r="J2374" s="53">
        <v>-46.976512</v>
      </c>
      <c r="L2374" s="61" t="str">
        <f t="shared" si="37"/>
        <v>Cliente41-Cliente47</v>
      </c>
      <c r="M2374">
        <v>258.22946100000001</v>
      </c>
    </row>
    <row r="2375" spans="1:13" x14ac:dyDescent="0.25">
      <c r="A2375" s="15" t="s">
        <v>4311</v>
      </c>
      <c r="B2375" s="15" t="s">
        <v>4318</v>
      </c>
      <c r="C2375" s="54">
        <v>253.31813</v>
      </c>
      <c r="D2375" s="26">
        <v>0.2076388888888889</v>
      </c>
      <c r="E2375" s="55">
        <v>-23.173802999999999</v>
      </c>
      <c r="F2375" s="55">
        <v>-46.279980999999999</v>
      </c>
      <c r="G2375" s="55">
        <v>-22.928287999999998</v>
      </c>
      <c r="H2375" s="55">
        <v>-46.912492</v>
      </c>
      <c r="I2375" s="55">
        <v>-22.249669000000001</v>
      </c>
      <c r="J2375" s="55">
        <v>-47.389769000000001</v>
      </c>
      <c r="L2375" s="61" t="str">
        <f t="shared" si="37"/>
        <v>Cliente41-Cliente48</v>
      </c>
      <c r="M2375">
        <v>253.31813</v>
      </c>
    </row>
    <row r="2376" spans="1:13" x14ac:dyDescent="0.25">
      <c r="A2376" s="15" t="s">
        <v>4311</v>
      </c>
      <c r="B2376" s="15" t="s">
        <v>4319</v>
      </c>
      <c r="C2376" s="52">
        <v>246.955895</v>
      </c>
      <c r="D2376" s="25">
        <v>0.20347222222222219</v>
      </c>
      <c r="E2376" s="53">
        <v>-23.173138000000002</v>
      </c>
      <c r="F2376" s="53">
        <v>-46.260356999999999</v>
      </c>
      <c r="G2376" s="53">
        <v>-22.934947000000001</v>
      </c>
      <c r="H2376" s="53">
        <v>-46.886237000000001</v>
      </c>
      <c r="I2376" s="53">
        <v>-22.349298999999998</v>
      </c>
      <c r="J2376" s="53">
        <v>-47.394371</v>
      </c>
      <c r="L2376" s="61" t="str">
        <f t="shared" si="37"/>
        <v>Cliente41-Cliente49</v>
      </c>
      <c r="M2376">
        <v>246.955895</v>
      </c>
    </row>
    <row r="2377" spans="1:13" x14ac:dyDescent="0.25">
      <c r="A2377" s="15" t="s">
        <v>4311</v>
      </c>
      <c r="B2377" s="15" t="s">
        <v>4320</v>
      </c>
      <c r="C2377" s="54">
        <v>277.87788799999998</v>
      </c>
      <c r="D2377" s="26">
        <v>0.22916666666666666</v>
      </c>
      <c r="E2377" s="55">
        <v>-23.186924999999999</v>
      </c>
      <c r="F2377" s="55">
        <v>-46.359836999999999</v>
      </c>
      <c r="G2377" s="55">
        <v>-22.830112</v>
      </c>
      <c r="H2377" s="55">
        <v>-47.179805000000002</v>
      </c>
      <c r="I2377" s="55">
        <v>-22.283107999999999</v>
      </c>
      <c r="J2377" s="55">
        <v>-47.990586</v>
      </c>
      <c r="L2377" s="61" t="str">
        <f t="shared" si="37"/>
        <v>Cliente41-Cliente50</v>
      </c>
      <c r="M2377">
        <v>277.87788799999998</v>
      </c>
    </row>
    <row r="2378" spans="1:13" x14ac:dyDescent="0.25">
      <c r="A2378" s="15" t="s">
        <v>4311</v>
      </c>
      <c r="B2378" s="15" t="s">
        <v>4321</v>
      </c>
      <c r="C2378" s="52">
        <v>271.533051</v>
      </c>
      <c r="D2378" s="25">
        <v>0.22500000000000001</v>
      </c>
      <c r="E2378" s="53">
        <v>-23.193156999999999</v>
      </c>
      <c r="F2378" s="53">
        <v>-46.342463000000002</v>
      </c>
      <c r="G2378" s="53">
        <v>-22.844201000000002</v>
      </c>
      <c r="H2378" s="53">
        <v>-47.037686999999998</v>
      </c>
      <c r="I2378" s="53">
        <v>-22.246468</v>
      </c>
      <c r="J2378" s="53">
        <v>-47.820070000000001</v>
      </c>
      <c r="L2378" s="61" t="str">
        <f t="shared" si="37"/>
        <v>Cliente41-Cliente51</v>
      </c>
      <c r="M2378">
        <v>271.533051</v>
      </c>
    </row>
    <row r="2379" spans="1:13" x14ac:dyDescent="0.25">
      <c r="A2379" s="15" t="s">
        <v>4312</v>
      </c>
      <c r="B2379" s="15" t="s">
        <v>4268</v>
      </c>
      <c r="C2379" s="54">
        <v>128.69499300000001</v>
      </c>
      <c r="D2379" s="26">
        <v>0.11041666666666666</v>
      </c>
      <c r="E2379" s="55">
        <v>-23.359231999999999</v>
      </c>
      <c r="F2379" s="55">
        <v>-46.21658</v>
      </c>
      <c r="G2379" s="55">
        <v>-23.509692999999999</v>
      </c>
      <c r="H2379" s="55">
        <v>-46.683678</v>
      </c>
      <c r="I2379" s="55">
        <v>-23.438979</v>
      </c>
      <c r="J2379" s="55">
        <v>-47.065905000000001</v>
      </c>
      <c r="L2379" s="61" t="str">
        <f t="shared" si="37"/>
        <v>Cliente42-depósito A</v>
      </c>
      <c r="M2379">
        <v>128.69499300000001</v>
      </c>
    </row>
    <row r="2380" spans="1:13" x14ac:dyDescent="0.25">
      <c r="A2380" s="15" t="s">
        <v>4312</v>
      </c>
      <c r="B2380" s="15" t="s">
        <v>4269</v>
      </c>
      <c r="C2380" s="52">
        <v>218.78285500000001</v>
      </c>
      <c r="D2380" s="25">
        <v>0.17569444444444446</v>
      </c>
      <c r="E2380" s="53">
        <v>-23.175408999999998</v>
      </c>
      <c r="F2380" s="53">
        <v>-46.255575</v>
      </c>
      <c r="G2380" s="53">
        <v>-22.98621</v>
      </c>
      <c r="H2380" s="53">
        <v>-46.813600999999998</v>
      </c>
      <c r="I2380" s="53">
        <v>-22.559887</v>
      </c>
      <c r="J2380" s="53">
        <v>-47.366543999999998</v>
      </c>
      <c r="L2380" s="61" t="str">
        <f t="shared" si="37"/>
        <v>Cliente42-depósito B</v>
      </c>
      <c r="M2380">
        <v>218.78285500000001</v>
      </c>
    </row>
    <row r="2381" spans="1:13" x14ac:dyDescent="0.25">
      <c r="A2381" s="15" t="s">
        <v>4312</v>
      </c>
      <c r="B2381" s="15" t="s">
        <v>4270</v>
      </c>
      <c r="C2381" s="54">
        <v>23.67803</v>
      </c>
      <c r="D2381" s="26">
        <v>2.4305555555555556E-2</v>
      </c>
      <c r="E2381" s="55">
        <v>-23.113054000000002</v>
      </c>
      <c r="F2381" s="55">
        <v>-45.707375999999996</v>
      </c>
      <c r="G2381" s="55">
        <v>-23.133524000000001</v>
      </c>
      <c r="H2381" s="55">
        <v>-45.748707000000003</v>
      </c>
      <c r="I2381" s="55">
        <v>-23.279633</v>
      </c>
      <c r="J2381" s="55">
        <v>-45.981883000000003</v>
      </c>
      <c r="L2381" s="61" t="str">
        <f t="shared" si="37"/>
        <v>Cliente42-depósito C</v>
      </c>
      <c r="M2381">
        <v>23.67803</v>
      </c>
    </row>
    <row r="2382" spans="1:13" x14ac:dyDescent="0.25">
      <c r="A2382" s="15" t="s">
        <v>4312</v>
      </c>
      <c r="B2382" s="15" t="s">
        <v>4271</v>
      </c>
      <c r="C2382" s="52">
        <v>109.76176599999999</v>
      </c>
      <c r="D2382" s="25">
        <v>9.6527777777777768E-2</v>
      </c>
      <c r="E2382" s="53">
        <v>-23.210965000000002</v>
      </c>
      <c r="F2382" s="53">
        <v>-46.155617999999997</v>
      </c>
      <c r="G2382" s="53">
        <v>-23.133094</v>
      </c>
      <c r="H2382" s="53">
        <v>-46.461038000000002</v>
      </c>
      <c r="I2382" s="53">
        <v>-22.93197</v>
      </c>
      <c r="J2382" s="53">
        <v>-46.934762999999997</v>
      </c>
      <c r="L2382" s="61" t="str">
        <f t="shared" si="37"/>
        <v>Cliente42-Cliente1</v>
      </c>
      <c r="M2382">
        <v>109.76176599999999</v>
      </c>
    </row>
    <row r="2383" spans="1:13" x14ac:dyDescent="0.25">
      <c r="A2383" s="15" t="s">
        <v>4312</v>
      </c>
      <c r="B2383" s="15" t="s">
        <v>4272</v>
      </c>
      <c r="C2383" s="54">
        <v>107.621758</v>
      </c>
      <c r="D2383" s="26">
        <v>9.1666666666666674E-2</v>
      </c>
      <c r="E2383" s="55" t="s">
        <v>7299</v>
      </c>
      <c r="F2383" s="55">
        <v>-46.128891000000003</v>
      </c>
      <c r="G2383" s="55">
        <v>-23.172978000000001</v>
      </c>
      <c r="H2383" s="55">
        <v>-46.385638</v>
      </c>
      <c r="I2383" s="55">
        <v>-22.977176</v>
      </c>
      <c r="J2383" s="55">
        <v>-46.830813999999997</v>
      </c>
      <c r="L2383" s="61" t="str">
        <f t="shared" si="37"/>
        <v>Cliente42-Cliente2</v>
      </c>
      <c r="M2383">
        <v>107.621758</v>
      </c>
    </row>
    <row r="2384" spans="1:13" x14ac:dyDescent="0.25">
      <c r="A2384" s="15" t="s">
        <v>4312</v>
      </c>
      <c r="B2384" s="15" t="s">
        <v>4273</v>
      </c>
      <c r="C2384" s="52">
        <v>107.68824499999999</v>
      </c>
      <c r="D2384" s="25">
        <v>9.2361111111111116E-2</v>
      </c>
      <c r="E2384" s="53">
        <v>-23.222373999999999</v>
      </c>
      <c r="F2384" s="53">
        <v>-46.138314000000001</v>
      </c>
      <c r="G2384" s="53">
        <v>-23.170704000000001</v>
      </c>
      <c r="H2384" s="53">
        <v>-46.421967000000002</v>
      </c>
      <c r="I2384" s="53">
        <v>-22.935095</v>
      </c>
      <c r="J2384" s="53">
        <v>-46.885012000000003</v>
      </c>
      <c r="L2384" s="61" t="str">
        <f t="shared" si="37"/>
        <v>Cliente42-Cliente3</v>
      </c>
      <c r="M2384">
        <v>107.68824499999999</v>
      </c>
    </row>
    <row r="2385" spans="1:13" x14ac:dyDescent="0.25">
      <c r="A2385" s="15" t="s">
        <v>4312</v>
      </c>
      <c r="B2385" s="15" t="s">
        <v>4274</v>
      </c>
      <c r="C2385" s="54">
        <v>111.537649</v>
      </c>
      <c r="D2385" s="26">
        <v>9.2361111111111116E-2</v>
      </c>
      <c r="E2385" s="55" t="s">
        <v>7299</v>
      </c>
      <c r="F2385" s="55">
        <v>-46.128891000000003</v>
      </c>
      <c r="G2385" s="55">
        <v>-23.172978000000001</v>
      </c>
      <c r="H2385" s="55">
        <v>-46.385638</v>
      </c>
      <c r="I2385" s="55">
        <v>-22.98593</v>
      </c>
      <c r="J2385" s="55">
        <v>-46.814684</v>
      </c>
      <c r="L2385" s="61" t="str">
        <f t="shared" si="37"/>
        <v>Cliente42-Cliente4</v>
      </c>
      <c r="M2385">
        <v>111.537649</v>
      </c>
    </row>
    <row r="2386" spans="1:13" x14ac:dyDescent="0.25">
      <c r="A2386" s="15" t="s">
        <v>4312</v>
      </c>
      <c r="B2386" s="15" t="s">
        <v>4275</v>
      </c>
      <c r="C2386" s="52">
        <v>111.630855</v>
      </c>
      <c r="D2386" s="25">
        <v>9.3055555555555558E-2</v>
      </c>
      <c r="E2386" s="53">
        <v>-23.235047000000002</v>
      </c>
      <c r="F2386" s="53">
        <v>-46.126479000000003</v>
      </c>
      <c r="G2386" s="53">
        <v>-23.176469000000001</v>
      </c>
      <c r="H2386" s="53">
        <v>-46.381509000000001</v>
      </c>
      <c r="I2386" s="53">
        <v>-22.990003000000002</v>
      </c>
      <c r="J2386" s="53">
        <v>-46.798687000000001</v>
      </c>
      <c r="L2386" s="61" t="str">
        <f t="shared" ref="L2386:L2449" si="38">_xlfn.CONCAT(A2386,"-",B2386)</f>
        <v>Cliente42-Cliente5</v>
      </c>
      <c r="M2386">
        <v>111.630855</v>
      </c>
    </row>
    <row r="2387" spans="1:13" x14ac:dyDescent="0.25">
      <c r="A2387" s="15" t="s">
        <v>4312</v>
      </c>
      <c r="B2387" s="15" t="s">
        <v>4276</v>
      </c>
      <c r="C2387" s="54">
        <v>106.033529</v>
      </c>
      <c r="D2387" s="26">
        <v>9.1666666666666674E-2</v>
      </c>
      <c r="E2387" s="55">
        <v>-23.220604999999999</v>
      </c>
      <c r="F2387" s="55">
        <v>-46.142023000000002</v>
      </c>
      <c r="G2387" s="55">
        <v>-23.170057</v>
      </c>
      <c r="H2387" s="55">
        <v>-46.438690000000001</v>
      </c>
      <c r="I2387" s="55">
        <v>-22.935181</v>
      </c>
      <c r="J2387" s="55">
        <v>-46.896372</v>
      </c>
      <c r="L2387" s="61" t="str">
        <f t="shared" si="38"/>
        <v>Cliente42-Cliente6</v>
      </c>
      <c r="M2387">
        <v>106.033529</v>
      </c>
    </row>
    <row r="2388" spans="1:13" x14ac:dyDescent="0.25">
      <c r="A2388" s="15" t="s">
        <v>4312</v>
      </c>
      <c r="B2388" s="15" t="s">
        <v>4277</v>
      </c>
      <c r="C2388" s="52">
        <v>110.68388299999999</v>
      </c>
      <c r="D2388" s="25">
        <v>9.5833333333333326E-2</v>
      </c>
      <c r="E2388" s="53">
        <v>-23.219370000000001</v>
      </c>
      <c r="F2388" s="53">
        <v>-46.144064</v>
      </c>
      <c r="G2388" s="53">
        <v>-23.168806</v>
      </c>
      <c r="H2388" s="53">
        <v>-46.442475000000002</v>
      </c>
      <c r="I2388" s="53">
        <v>-22.928238</v>
      </c>
      <c r="J2388" s="53">
        <v>-46.910944000000001</v>
      </c>
      <c r="L2388" s="61" t="str">
        <f t="shared" si="38"/>
        <v>Cliente42-Cliente7</v>
      </c>
      <c r="M2388">
        <v>110.68388299999999</v>
      </c>
    </row>
    <row r="2389" spans="1:13" x14ac:dyDescent="0.25">
      <c r="A2389" s="15" t="s">
        <v>4312</v>
      </c>
      <c r="B2389" s="15" t="s">
        <v>4278</v>
      </c>
      <c r="C2389" s="54">
        <v>105.42023399999999</v>
      </c>
      <c r="D2389" s="26">
        <v>8.7500000000000008E-2</v>
      </c>
      <c r="E2389" s="55">
        <v>-23.242645</v>
      </c>
      <c r="F2389" s="55">
        <v>-46.119821999999999</v>
      </c>
      <c r="G2389" s="55">
        <v>-23.18544</v>
      </c>
      <c r="H2389" s="55">
        <v>-46.367669999999997</v>
      </c>
      <c r="I2389" s="55">
        <v>-23.010956</v>
      </c>
      <c r="J2389" s="55">
        <v>-46.764772000000001</v>
      </c>
      <c r="L2389" s="61" t="str">
        <f t="shared" si="38"/>
        <v>Cliente42-Cliente8</v>
      </c>
      <c r="M2389">
        <v>105.42023399999999</v>
      </c>
    </row>
    <row r="2390" spans="1:13" x14ac:dyDescent="0.25">
      <c r="A2390" s="15" t="s">
        <v>4312</v>
      </c>
      <c r="B2390" s="15" t="s">
        <v>4279</v>
      </c>
      <c r="C2390" s="52">
        <v>129.00133</v>
      </c>
      <c r="D2390" s="25">
        <v>0.10833333333333334</v>
      </c>
      <c r="E2390" s="53">
        <v>-23.220604999999999</v>
      </c>
      <c r="F2390" s="53">
        <v>-46.142023000000002</v>
      </c>
      <c r="G2390" s="53">
        <v>-23.170057</v>
      </c>
      <c r="H2390" s="53">
        <v>-46.438690000000001</v>
      </c>
      <c r="I2390" s="53">
        <v>-22.933866999999999</v>
      </c>
      <c r="J2390" s="53">
        <v>-46.898868</v>
      </c>
      <c r="L2390" s="61" t="str">
        <f t="shared" si="38"/>
        <v>Cliente42-Cliente9</v>
      </c>
      <c r="M2390">
        <v>129.00133</v>
      </c>
    </row>
    <row r="2391" spans="1:13" x14ac:dyDescent="0.25">
      <c r="A2391" s="15" t="s">
        <v>4312</v>
      </c>
      <c r="B2391" s="15" t="s">
        <v>4280</v>
      </c>
      <c r="C2391" s="54">
        <v>76.274745999999993</v>
      </c>
      <c r="D2391" s="26">
        <v>7.3611111111111113E-2</v>
      </c>
      <c r="E2391" s="55">
        <v>-23.313414999999999</v>
      </c>
      <c r="F2391" s="55">
        <v>-46.065708999999998</v>
      </c>
      <c r="G2391" s="55">
        <v>-23.400100999999999</v>
      </c>
      <c r="H2391" s="55">
        <v>-46.303072</v>
      </c>
      <c r="I2391" s="55">
        <v>-23.518097000000001</v>
      </c>
      <c r="J2391" s="55">
        <v>-46.63944</v>
      </c>
      <c r="L2391" s="61" t="str">
        <f t="shared" si="38"/>
        <v>Cliente42-Cliente10</v>
      </c>
      <c r="M2391">
        <v>76.274745999999993</v>
      </c>
    </row>
    <row r="2392" spans="1:13" x14ac:dyDescent="0.25">
      <c r="A2392" s="15" t="s">
        <v>4312</v>
      </c>
      <c r="B2392" s="15" t="s">
        <v>4281</v>
      </c>
      <c r="C2392" s="52">
        <v>149.55136899999999</v>
      </c>
      <c r="D2392" s="25">
        <v>0.12222222222222223</v>
      </c>
      <c r="E2392" s="53">
        <v>-23.203144000000002</v>
      </c>
      <c r="F2392" s="53">
        <v>-46.162998000000002</v>
      </c>
      <c r="G2392" s="53">
        <v>-23.114518</v>
      </c>
      <c r="H2392" s="53">
        <v>-46.487740000000002</v>
      </c>
      <c r="I2392" s="53">
        <v>-22.912935999999998</v>
      </c>
      <c r="J2392" s="53">
        <v>-46.950387999999997</v>
      </c>
      <c r="L2392" s="61" t="str">
        <f t="shared" si="38"/>
        <v>Cliente42-Cliente11</v>
      </c>
      <c r="M2392">
        <v>149.55136899999999</v>
      </c>
    </row>
    <row r="2393" spans="1:13" x14ac:dyDescent="0.25">
      <c r="A2393" s="15" t="s">
        <v>4312</v>
      </c>
      <c r="B2393" s="15" t="s">
        <v>4282</v>
      </c>
      <c r="C2393" s="54">
        <v>28.482483999999999</v>
      </c>
      <c r="D2393" s="26">
        <v>2.9166666666666664E-2</v>
      </c>
      <c r="E2393" s="55">
        <v>-23.112131999999999</v>
      </c>
      <c r="F2393" s="55">
        <v>-45.707900000000002</v>
      </c>
      <c r="G2393" s="55">
        <v>-23.245025999999999</v>
      </c>
      <c r="H2393" s="55">
        <v>-45.927652000000002</v>
      </c>
      <c r="I2393" s="55">
        <v>-23.30227</v>
      </c>
      <c r="J2393" s="55">
        <v>-46.022979999999997</v>
      </c>
      <c r="L2393" s="61" t="str">
        <f t="shared" si="38"/>
        <v>Cliente42-Cliente12</v>
      </c>
      <c r="M2393">
        <v>28.482483999999999</v>
      </c>
    </row>
    <row r="2394" spans="1:13" x14ac:dyDescent="0.25">
      <c r="A2394" s="15" t="s">
        <v>4312</v>
      </c>
      <c r="B2394" s="15" t="s">
        <v>4283</v>
      </c>
      <c r="C2394" s="52">
        <v>16.032658999999999</v>
      </c>
      <c r="D2394" s="25">
        <v>1.7361111111111112E-2</v>
      </c>
      <c r="E2394" s="53">
        <v>-23.115637</v>
      </c>
      <c r="F2394" s="53">
        <v>-45.708598000000002</v>
      </c>
      <c r="G2394" s="53">
        <v>-23.114373000000001</v>
      </c>
      <c r="H2394" s="53">
        <v>-45.711855</v>
      </c>
      <c r="I2394" s="53">
        <v>-23.207954000000001</v>
      </c>
      <c r="J2394" s="53">
        <v>-45.887715999999998</v>
      </c>
      <c r="L2394" s="61" t="str">
        <f t="shared" si="38"/>
        <v>Cliente42-Cliente13</v>
      </c>
      <c r="M2394">
        <v>16.032658999999999</v>
      </c>
    </row>
    <row r="2395" spans="1:13" x14ac:dyDescent="0.25">
      <c r="A2395" s="15" t="s">
        <v>4312</v>
      </c>
      <c r="B2395" s="15" t="s">
        <v>4284</v>
      </c>
      <c r="C2395" s="54">
        <v>18.24661</v>
      </c>
      <c r="D2395" s="26">
        <v>1.9444444444444445E-2</v>
      </c>
      <c r="E2395" s="55">
        <v>-23.113054000000002</v>
      </c>
      <c r="F2395" s="55">
        <v>-45.707375999999996</v>
      </c>
      <c r="G2395" s="55">
        <v>-23.133524000000001</v>
      </c>
      <c r="H2395" s="55">
        <v>-45.748707000000003</v>
      </c>
      <c r="I2395" s="55">
        <v>-23.234902999999999</v>
      </c>
      <c r="J2395" s="55">
        <v>-45.917003999999999</v>
      </c>
      <c r="L2395" s="61" t="str">
        <f t="shared" si="38"/>
        <v>Cliente42-Cliente14</v>
      </c>
      <c r="M2395">
        <v>18.24661</v>
      </c>
    </row>
    <row r="2396" spans="1:13" x14ac:dyDescent="0.25">
      <c r="A2396" s="15" t="s">
        <v>4312</v>
      </c>
      <c r="B2396" s="15" t="s">
        <v>4285</v>
      </c>
      <c r="C2396" s="52">
        <v>17.827805000000001</v>
      </c>
      <c r="D2396" s="25">
        <v>2.2222222222222223E-2</v>
      </c>
      <c r="E2396" s="53">
        <v>-23.112131999999999</v>
      </c>
      <c r="F2396" s="53">
        <v>-45.707900000000002</v>
      </c>
      <c r="G2396" s="53">
        <v>-23.207954000000001</v>
      </c>
      <c r="H2396" s="53">
        <v>-45.887715999999998</v>
      </c>
      <c r="I2396" s="53">
        <v>-23.227184999999999</v>
      </c>
      <c r="J2396" s="53">
        <v>-45.901088999999999</v>
      </c>
      <c r="L2396" s="61" t="str">
        <f t="shared" si="38"/>
        <v>Cliente42-Cliente15</v>
      </c>
      <c r="M2396">
        <v>17.827805000000001</v>
      </c>
    </row>
    <row r="2397" spans="1:13" x14ac:dyDescent="0.25">
      <c r="A2397" s="15" t="s">
        <v>4312</v>
      </c>
      <c r="B2397" s="15" t="s">
        <v>4286</v>
      </c>
      <c r="C2397" s="54">
        <v>18.360322</v>
      </c>
      <c r="D2397" s="26">
        <v>2.1527777777777781E-2</v>
      </c>
      <c r="E2397" s="55">
        <v>-23.112116</v>
      </c>
      <c r="F2397" s="55">
        <v>-45.707763999999997</v>
      </c>
      <c r="G2397" s="55">
        <v>-23.199898999999998</v>
      </c>
      <c r="H2397" s="55">
        <v>-45.879043000000003</v>
      </c>
      <c r="I2397" s="55">
        <v>-23.221049000000001</v>
      </c>
      <c r="J2397" s="55">
        <v>-45.901088000000001</v>
      </c>
      <c r="L2397" s="61" t="str">
        <f t="shared" si="38"/>
        <v>Cliente42-Cliente16</v>
      </c>
      <c r="M2397">
        <v>18.360322</v>
      </c>
    </row>
    <row r="2398" spans="1:13" x14ac:dyDescent="0.25">
      <c r="A2398" s="15" t="s">
        <v>4312</v>
      </c>
      <c r="B2398" s="15" t="s">
        <v>4287</v>
      </c>
      <c r="C2398" s="52">
        <v>16.456436</v>
      </c>
      <c r="D2398" s="25">
        <v>1.6666666666666666E-2</v>
      </c>
      <c r="E2398" s="53">
        <v>-23.117673</v>
      </c>
      <c r="F2398" s="53">
        <v>-45.710071999999997</v>
      </c>
      <c r="G2398" s="53">
        <v>-23.112514000000001</v>
      </c>
      <c r="H2398" s="53">
        <v>-45.708364000000003</v>
      </c>
      <c r="I2398" s="53">
        <v>-23.196895000000001</v>
      </c>
      <c r="J2398" s="53">
        <v>-45.874749999999999</v>
      </c>
      <c r="L2398" s="61" t="str">
        <f t="shared" si="38"/>
        <v>Cliente42-Cliente17</v>
      </c>
      <c r="M2398">
        <v>16.456436</v>
      </c>
    </row>
    <row r="2399" spans="1:13" x14ac:dyDescent="0.25">
      <c r="A2399" s="15" t="s">
        <v>4312</v>
      </c>
      <c r="B2399" s="15" t="s">
        <v>4288</v>
      </c>
      <c r="C2399" s="54">
        <v>10.055675000000001</v>
      </c>
      <c r="D2399" s="26">
        <v>1.4583333333333332E-2</v>
      </c>
      <c r="E2399" s="55">
        <v>-23.113054000000002</v>
      </c>
      <c r="F2399" s="55">
        <v>-45.707375999999996</v>
      </c>
      <c r="G2399" s="55">
        <v>-23.133524000000001</v>
      </c>
      <c r="H2399" s="55">
        <v>-45.748707000000003</v>
      </c>
      <c r="I2399" s="55">
        <v>-23.163246000000001</v>
      </c>
      <c r="J2399" s="55">
        <v>-45.804589999999997</v>
      </c>
      <c r="L2399" s="61" t="str">
        <f t="shared" si="38"/>
        <v>Cliente42-Cliente18</v>
      </c>
      <c r="M2399">
        <v>10.055675000000001</v>
      </c>
    </row>
    <row r="2400" spans="1:13" x14ac:dyDescent="0.25">
      <c r="A2400" s="15" t="s">
        <v>4312</v>
      </c>
      <c r="B2400" s="15" t="s">
        <v>4289</v>
      </c>
      <c r="C2400" s="52">
        <v>71.447300999999996</v>
      </c>
      <c r="D2400" s="25">
        <v>6.3888888888888884E-2</v>
      </c>
      <c r="E2400" s="53">
        <v>-23.307507999999999</v>
      </c>
      <c r="F2400" s="53">
        <v>-46.044593999999996</v>
      </c>
      <c r="G2400" s="53">
        <v>-23.37623</v>
      </c>
      <c r="H2400" s="53">
        <v>-46.247695</v>
      </c>
      <c r="I2400" s="53">
        <v>-23.528976</v>
      </c>
      <c r="J2400" s="53">
        <v>-46.594265</v>
      </c>
      <c r="L2400" s="61" t="str">
        <f t="shared" si="38"/>
        <v>Cliente42-Cliente19</v>
      </c>
      <c r="M2400">
        <v>71.447300999999996</v>
      </c>
    </row>
    <row r="2401" spans="1:13" x14ac:dyDescent="0.25">
      <c r="A2401" s="15" t="s">
        <v>4312</v>
      </c>
      <c r="B2401" s="15" t="s">
        <v>4290</v>
      </c>
      <c r="C2401" s="54">
        <v>79.000086999999994</v>
      </c>
      <c r="D2401" s="26">
        <v>7.3611111111111113E-2</v>
      </c>
      <c r="E2401" s="55">
        <v>-23.313414999999999</v>
      </c>
      <c r="F2401" s="55">
        <v>-46.065708999999998</v>
      </c>
      <c r="G2401" s="55">
        <v>-23.400100999999999</v>
      </c>
      <c r="H2401" s="55">
        <v>-46.303072</v>
      </c>
      <c r="I2401" s="55">
        <v>-23.518077000000002</v>
      </c>
      <c r="J2401" s="55">
        <v>-46.639681000000003</v>
      </c>
      <c r="L2401" s="61" t="str">
        <f t="shared" si="38"/>
        <v>Cliente42-Cliente20</v>
      </c>
      <c r="M2401">
        <v>79.000086999999994</v>
      </c>
    </row>
    <row r="2402" spans="1:13" x14ac:dyDescent="0.25">
      <c r="A2402" s="15" t="s">
        <v>4312</v>
      </c>
      <c r="B2402" s="15" t="s">
        <v>4291</v>
      </c>
      <c r="C2402" s="52">
        <v>78.606757999999999</v>
      </c>
      <c r="D2402" s="25">
        <v>7.3611111111111113E-2</v>
      </c>
      <c r="E2402" s="53">
        <v>-23.316233</v>
      </c>
      <c r="F2402" s="53">
        <v>-46.079599999999999</v>
      </c>
      <c r="G2402" s="53">
        <v>-23.408674999999999</v>
      </c>
      <c r="H2402" s="53">
        <v>-46.340190999999997</v>
      </c>
      <c r="I2402" s="53">
        <v>-23.507486</v>
      </c>
      <c r="J2402" s="53">
        <v>-46.695289000000002</v>
      </c>
      <c r="L2402" s="61" t="str">
        <f t="shared" si="38"/>
        <v>Cliente42-Cliente21</v>
      </c>
      <c r="M2402">
        <v>78.606757999999999</v>
      </c>
    </row>
    <row r="2403" spans="1:13" x14ac:dyDescent="0.25">
      <c r="A2403" s="15" t="s">
        <v>4312</v>
      </c>
      <c r="B2403" s="15" t="s">
        <v>4292</v>
      </c>
      <c r="C2403" s="54">
        <v>75.317211</v>
      </c>
      <c r="D2403" s="26">
        <v>7.0833333333333331E-2</v>
      </c>
      <c r="E2403" s="55">
        <v>-23.313414999999999</v>
      </c>
      <c r="F2403" s="55">
        <v>-46.065708999999998</v>
      </c>
      <c r="G2403" s="55">
        <v>-23.400100999999999</v>
      </c>
      <c r="H2403" s="55">
        <v>-46.303072</v>
      </c>
      <c r="I2403" s="55">
        <v>-23.518097000000001</v>
      </c>
      <c r="J2403" s="55">
        <v>-46.63944</v>
      </c>
      <c r="L2403" s="61" t="str">
        <f t="shared" si="38"/>
        <v>Cliente42-Cliente22</v>
      </c>
      <c r="M2403">
        <v>75.317211</v>
      </c>
    </row>
    <row r="2404" spans="1:13" x14ac:dyDescent="0.25">
      <c r="A2404" s="15" t="s">
        <v>4312</v>
      </c>
      <c r="B2404" s="15" t="s">
        <v>4293</v>
      </c>
      <c r="C2404" s="52">
        <v>78.648390000000006</v>
      </c>
      <c r="D2404" s="25">
        <v>8.1944444444444445E-2</v>
      </c>
      <c r="E2404" s="53">
        <v>-23.321603</v>
      </c>
      <c r="F2404" s="53">
        <v>-46.097622000000001</v>
      </c>
      <c r="G2404" s="53">
        <v>-23.425604</v>
      </c>
      <c r="H2404" s="53">
        <v>-46.403803000000003</v>
      </c>
      <c r="I2404" s="53">
        <v>-23.548444</v>
      </c>
      <c r="J2404" s="53">
        <v>-46.646318000000001</v>
      </c>
      <c r="L2404" s="61" t="str">
        <f t="shared" si="38"/>
        <v>Cliente42-Cliente23</v>
      </c>
      <c r="M2404">
        <v>78.648390000000006</v>
      </c>
    </row>
    <row r="2405" spans="1:13" x14ac:dyDescent="0.25">
      <c r="A2405" s="15" t="s">
        <v>4312</v>
      </c>
      <c r="B2405" s="15" t="s">
        <v>4294</v>
      </c>
      <c r="C2405" s="54">
        <v>78.600543999999999</v>
      </c>
      <c r="D2405" s="26">
        <v>8.2638888888888887E-2</v>
      </c>
      <c r="E2405" s="55">
        <v>-23.31972</v>
      </c>
      <c r="F2405" s="55">
        <v>-46.088408999999999</v>
      </c>
      <c r="G2405" s="55">
        <v>-23.412445000000002</v>
      </c>
      <c r="H2405" s="55">
        <v>-46.359893</v>
      </c>
      <c r="I2405" s="55">
        <v>-23.556328000000001</v>
      </c>
      <c r="J2405" s="55">
        <v>-46.636192000000001</v>
      </c>
      <c r="L2405" s="61" t="str">
        <f t="shared" si="38"/>
        <v>Cliente42-Cliente24</v>
      </c>
      <c r="M2405">
        <v>78.600543999999999</v>
      </c>
    </row>
    <row r="2406" spans="1:13" x14ac:dyDescent="0.25">
      <c r="A2406" s="15" t="s">
        <v>4312</v>
      </c>
      <c r="B2406" s="15" t="s">
        <v>4295</v>
      </c>
      <c r="C2406" s="52">
        <v>81.023898000000003</v>
      </c>
      <c r="D2406" s="25">
        <v>8.819444444444445E-2</v>
      </c>
      <c r="E2406" s="53">
        <v>-23.339831</v>
      </c>
      <c r="F2406" s="53">
        <v>-46.152166999999999</v>
      </c>
      <c r="G2406" s="53">
        <v>-23.519248000000001</v>
      </c>
      <c r="H2406" s="53">
        <v>-46.58287</v>
      </c>
      <c r="I2406" s="53">
        <v>-23.572129</v>
      </c>
      <c r="J2406" s="53">
        <v>-46.703139</v>
      </c>
      <c r="L2406" s="61" t="str">
        <f t="shared" si="38"/>
        <v>Cliente42-Cliente25</v>
      </c>
      <c r="M2406">
        <v>81.023898000000003</v>
      </c>
    </row>
    <row r="2407" spans="1:13" x14ac:dyDescent="0.25">
      <c r="A2407" s="15" t="s">
        <v>4312</v>
      </c>
      <c r="B2407" s="15" t="s">
        <v>4296</v>
      </c>
      <c r="C2407" s="54">
        <v>87.712975999999998</v>
      </c>
      <c r="D2407" s="26">
        <v>8.1944444444444445E-2</v>
      </c>
      <c r="E2407" s="55">
        <v>-23.351894999999999</v>
      </c>
      <c r="F2407" s="55">
        <v>-46.180186999999997</v>
      </c>
      <c r="G2407" s="55">
        <v>-23.525095</v>
      </c>
      <c r="H2407" s="55">
        <v>-46.599069</v>
      </c>
      <c r="I2407" s="55">
        <v>-23.509401</v>
      </c>
      <c r="J2407" s="55">
        <v>-46.807020000000001</v>
      </c>
      <c r="L2407" s="61" t="str">
        <f t="shared" si="38"/>
        <v>Cliente42-Cliente26</v>
      </c>
      <c r="M2407">
        <v>87.712975999999998</v>
      </c>
    </row>
    <row r="2408" spans="1:13" x14ac:dyDescent="0.25">
      <c r="A2408" s="15" t="s">
        <v>4312</v>
      </c>
      <c r="B2408" s="15" t="s">
        <v>4297</v>
      </c>
      <c r="C2408" s="52">
        <v>80.510023000000004</v>
      </c>
      <c r="D2408" s="25">
        <v>8.4722222222222213E-2</v>
      </c>
      <c r="E2408" s="53">
        <v>-23.348134000000002</v>
      </c>
      <c r="F2408" s="53">
        <v>-46.169055999999998</v>
      </c>
      <c r="G2408" s="53">
        <v>-23.526268999999999</v>
      </c>
      <c r="H2408" s="53">
        <v>-46.597400999999998</v>
      </c>
      <c r="I2408" s="53">
        <v>-23.578358999999999</v>
      </c>
      <c r="J2408" s="53">
        <v>-46.675418999999998</v>
      </c>
      <c r="L2408" s="61" t="str">
        <f t="shared" si="38"/>
        <v>Cliente42-Cliente27</v>
      </c>
      <c r="M2408">
        <v>80.510023000000004</v>
      </c>
    </row>
    <row r="2409" spans="1:13" x14ac:dyDescent="0.25">
      <c r="A2409" s="15" t="s">
        <v>4312</v>
      </c>
      <c r="B2409" s="15" t="s">
        <v>4298</v>
      </c>
      <c r="C2409" s="54">
        <v>80.214871000000002</v>
      </c>
      <c r="D2409" s="26">
        <v>8.0555555555555561E-2</v>
      </c>
      <c r="E2409" s="55">
        <v>-23.321372</v>
      </c>
      <c r="F2409" s="55">
        <v>-46.095202</v>
      </c>
      <c r="G2409" s="55">
        <v>-23.423157</v>
      </c>
      <c r="H2409" s="55">
        <v>-46.397033999999998</v>
      </c>
      <c r="I2409" s="55">
        <v>-23.558568000000001</v>
      </c>
      <c r="J2409" s="55">
        <v>-46.638679000000003</v>
      </c>
      <c r="L2409" s="61" t="str">
        <f t="shared" si="38"/>
        <v>Cliente42-Cliente28</v>
      </c>
      <c r="M2409">
        <v>80.214871000000002</v>
      </c>
    </row>
    <row r="2410" spans="1:13" x14ac:dyDescent="0.25">
      <c r="A2410" s="15" t="s">
        <v>4312</v>
      </c>
      <c r="B2410" s="15" t="s">
        <v>4299</v>
      </c>
      <c r="C2410" s="52">
        <v>77.799594999999997</v>
      </c>
      <c r="D2410" s="25">
        <v>7.5694444444444439E-2</v>
      </c>
      <c r="E2410" s="53">
        <v>-23.315766</v>
      </c>
      <c r="F2410" s="53">
        <v>-46.077271000000003</v>
      </c>
      <c r="G2410" s="53">
        <v>-23.406993</v>
      </c>
      <c r="H2410" s="53">
        <v>-46.336984999999999</v>
      </c>
      <c r="I2410" s="53">
        <v>-23.582077000000002</v>
      </c>
      <c r="J2410" s="53">
        <v>-46.572654999999997</v>
      </c>
      <c r="L2410" s="61" t="str">
        <f t="shared" si="38"/>
        <v>Cliente42-Cliente29</v>
      </c>
      <c r="M2410">
        <v>77.799594999999997</v>
      </c>
    </row>
    <row r="2411" spans="1:13" x14ac:dyDescent="0.25">
      <c r="A2411" s="15" t="s">
        <v>4312</v>
      </c>
      <c r="B2411" s="15" t="s">
        <v>4300</v>
      </c>
      <c r="C2411" s="54">
        <v>78.989524000000003</v>
      </c>
      <c r="D2411" s="26">
        <v>6.805555555555555E-2</v>
      </c>
      <c r="E2411" s="55">
        <v>-23.315446999999999</v>
      </c>
      <c r="F2411" s="55">
        <v>-45.902504</v>
      </c>
      <c r="G2411" s="55">
        <v>-23.414614</v>
      </c>
      <c r="H2411" s="55">
        <v>-46.193804999999998</v>
      </c>
      <c r="I2411" s="55">
        <v>-23.595289000000001</v>
      </c>
      <c r="J2411" s="55">
        <v>-46.351478</v>
      </c>
      <c r="L2411" s="61" t="str">
        <f t="shared" si="38"/>
        <v>Cliente42-Cliente30</v>
      </c>
      <c r="M2411">
        <v>78.989524000000003</v>
      </c>
    </row>
    <row r="2412" spans="1:13" x14ac:dyDescent="0.25">
      <c r="A2412" s="15" t="s">
        <v>4312</v>
      </c>
      <c r="B2412" s="15" t="s">
        <v>4301</v>
      </c>
      <c r="C2412" s="52">
        <v>81.715485999999999</v>
      </c>
      <c r="D2412" s="25">
        <v>7.8472222222222221E-2</v>
      </c>
      <c r="E2412" s="53">
        <v>-23.321808000000001</v>
      </c>
      <c r="F2412" s="53">
        <v>-46.112901000000001</v>
      </c>
      <c r="G2412" s="53">
        <v>-23.459454999999998</v>
      </c>
      <c r="H2412" s="53">
        <v>-46.484453999999999</v>
      </c>
      <c r="I2412" s="53">
        <v>-23.517015000000001</v>
      </c>
      <c r="J2412" s="53">
        <v>-46.734730999999996</v>
      </c>
      <c r="L2412" s="61" t="str">
        <f t="shared" si="38"/>
        <v>Cliente42-Cliente31</v>
      </c>
      <c r="M2412">
        <v>81.715485999999999</v>
      </c>
    </row>
    <row r="2413" spans="1:13" x14ac:dyDescent="0.25">
      <c r="A2413" s="15" t="s">
        <v>4312</v>
      </c>
      <c r="B2413" s="15" t="s">
        <v>4302</v>
      </c>
      <c r="C2413" s="54">
        <v>76.746368000000004</v>
      </c>
      <c r="D2413" s="26">
        <v>7.1527777777777787E-2</v>
      </c>
      <c r="E2413" s="55">
        <v>-23.312625000000001</v>
      </c>
      <c r="F2413" s="55">
        <v>-46.064214999999997</v>
      </c>
      <c r="G2413" s="55">
        <v>-23.39845</v>
      </c>
      <c r="H2413" s="55">
        <v>-46.298672000000003</v>
      </c>
      <c r="I2413" s="55">
        <v>-23.518851000000002</v>
      </c>
      <c r="J2413" s="55">
        <v>-46.622418000000003</v>
      </c>
      <c r="L2413" s="61" t="str">
        <f t="shared" si="38"/>
        <v>Cliente42-Cliente32</v>
      </c>
      <c r="M2413">
        <v>76.746368000000004</v>
      </c>
    </row>
    <row r="2414" spans="1:13" x14ac:dyDescent="0.25">
      <c r="A2414" s="15" t="s">
        <v>4312</v>
      </c>
      <c r="B2414" s="15" t="s">
        <v>4303</v>
      </c>
      <c r="C2414" s="52">
        <v>66.812482000000003</v>
      </c>
      <c r="D2414" s="25">
        <v>6.1111111111111116E-2</v>
      </c>
      <c r="E2414" s="53">
        <v>-23.299669999999999</v>
      </c>
      <c r="F2414" s="53">
        <v>-46.013658</v>
      </c>
      <c r="G2414" s="53">
        <v>-23.363486999999999</v>
      </c>
      <c r="H2414" s="53">
        <v>-46.223405999999997</v>
      </c>
      <c r="I2414" s="53">
        <v>-23.450962000000001</v>
      </c>
      <c r="J2414" s="53">
        <v>-46.464472000000001</v>
      </c>
      <c r="L2414" s="61" t="str">
        <f t="shared" si="38"/>
        <v>Cliente42-Cliente33</v>
      </c>
      <c r="M2414">
        <v>66.812482000000003</v>
      </c>
    </row>
    <row r="2415" spans="1:13" x14ac:dyDescent="0.25">
      <c r="A2415" s="15" t="s">
        <v>4312</v>
      </c>
      <c r="B2415" s="15" t="s">
        <v>4304</v>
      </c>
      <c r="C2415" s="54">
        <v>86.423006000000001</v>
      </c>
      <c r="D2415" s="26">
        <v>8.3333333333333329E-2</v>
      </c>
      <c r="E2415" s="55">
        <v>-23.347311000000001</v>
      </c>
      <c r="F2415" s="55">
        <v>-46.167164999999997</v>
      </c>
      <c r="G2415" s="55">
        <v>-23.528842999999998</v>
      </c>
      <c r="H2415" s="55">
        <v>-46.594597</v>
      </c>
      <c r="I2415" s="55">
        <v>-23.512758999999999</v>
      </c>
      <c r="J2415" s="55">
        <v>-46.798164999999997</v>
      </c>
      <c r="L2415" s="61" t="str">
        <f t="shared" si="38"/>
        <v>Cliente42-Cliente34</v>
      </c>
      <c r="M2415">
        <v>86.423006000000001</v>
      </c>
    </row>
    <row r="2416" spans="1:13" x14ac:dyDescent="0.25">
      <c r="A2416" s="15" t="s">
        <v>4312</v>
      </c>
      <c r="B2416" s="15" t="s">
        <v>4305</v>
      </c>
      <c r="C2416" s="52">
        <v>87.018901999999997</v>
      </c>
      <c r="D2416" s="25">
        <v>8.2638888888888887E-2</v>
      </c>
      <c r="E2416" s="53">
        <v>-23.339831</v>
      </c>
      <c r="F2416" s="53">
        <v>-46.152166999999999</v>
      </c>
      <c r="G2416" s="53">
        <v>-23.528957999999999</v>
      </c>
      <c r="H2416" s="53">
        <v>-46.590741999999999</v>
      </c>
      <c r="I2416" s="53">
        <v>-23.520189999999999</v>
      </c>
      <c r="J2416" s="53">
        <v>-46.769798000000002</v>
      </c>
      <c r="L2416" s="61" t="str">
        <f t="shared" si="38"/>
        <v>Cliente42-Cliente35</v>
      </c>
      <c r="M2416">
        <v>87.018901999999997</v>
      </c>
    </row>
    <row r="2417" spans="1:13" x14ac:dyDescent="0.25">
      <c r="A2417" s="15" t="s">
        <v>4312</v>
      </c>
      <c r="B2417" s="15" t="s">
        <v>4306</v>
      </c>
      <c r="C2417" s="54">
        <v>195.71874199999999</v>
      </c>
      <c r="D2417" s="26">
        <v>0.16041666666666668</v>
      </c>
      <c r="E2417" s="55">
        <v>-23.175356000000001</v>
      </c>
      <c r="F2417" s="55">
        <v>-46.252940000000002</v>
      </c>
      <c r="G2417" s="55">
        <v>-22.990732999999999</v>
      </c>
      <c r="H2417" s="55">
        <v>-46.797373999999998</v>
      </c>
      <c r="I2417" s="55">
        <v>-22.592675</v>
      </c>
      <c r="J2417" s="55">
        <v>-47.366796999999998</v>
      </c>
      <c r="L2417" s="61" t="str">
        <f t="shared" si="38"/>
        <v>Cliente42-Cliente36</v>
      </c>
      <c r="M2417">
        <v>195.71874199999999</v>
      </c>
    </row>
    <row r="2418" spans="1:13" x14ac:dyDescent="0.25">
      <c r="A2418" s="15" t="s">
        <v>4312</v>
      </c>
      <c r="B2418" s="15" t="s">
        <v>4307</v>
      </c>
      <c r="C2418" s="52">
        <v>194.62201899999999</v>
      </c>
      <c r="D2418" s="25">
        <v>0.15902777777777777</v>
      </c>
      <c r="E2418" s="53">
        <v>-23.175408999999998</v>
      </c>
      <c r="F2418" s="53">
        <v>-46.255575</v>
      </c>
      <c r="G2418" s="53">
        <v>-22.98621</v>
      </c>
      <c r="H2418" s="53">
        <v>-46.813600999999998</v>
      </c>
      <c r="I2418" s="53">
        <v>-22.559887</v>
      </c>
      <c r="J2418" s="53">
        <v>-47.366543999999998</v>
      </c>
      <c r="L2418" s="61" t="str">
        <f t="shared" si="38"/>
        <v>Cliente42-Cliente37</v>
      </c>
      <c r="M2418">
        <v>194.62201899999999</v>
      </c>
    </row>
    <row r="2419" spans="1:13" x14ac:dyDescent="0.25">
      <c r="A2419" s="15" t="s">
        <v>4312</v>
      </c>
      <c r="B2419" s="15" t="s">
        <v>4308</v>
      </c>
      <c r="C2419" s="54">
        <v>192.84551400000001</v>
      </c>
      <c r="D2419" s="26">
        <v>0.15694444444444444</v>
      </c>
      <c r="E2419" s="55">
        <v>-23.174630000000001</v>
      </c>
      <c r="F2419" s="55">
        <v>-46.251722000000001</v>
      </c>
      <c r="G2419" s="55">
        <v>-23.003177000000001</v>
      </c>
      <c r="H2419" s="55">
        <v>-46.775430999999998</v>
      </c>
      <c r="I2419" s="55">
        <v>-22.612962</v>
      </c>
      <c r="J2419" s="55">
        <v>-47.353290999999999</v>
      </c>
      <c r="L2419" s="61" t="str">
        <f t="shared" si="38"/>
        <v>Cliente42-Cliente38</v>
      </c>
      <c r="M2419">
        <v>192.84551400000001</v>
      </c>
    </row>
    <row r="2420" spans="1:13" x14ac:dyDescent="0.25">
      <c r="A2420" s="15" t="s">
        <v>4312</v>
      </c>
      <c r="B2420" s="15" t="s">
        <v>4309</v>
      </c>
      <c r="C2420" s="52">
        <v>14.093976</v>
      </c>
      <c r="D2420" s="25">
        <v>1.9444444444444445E-2</v>
      </c>
      <c r="E2420" s="53">
        <v>-23.111646</v>
      </c>
      <c r="F2420" s="53">
        <v>-45.703910999999998</v>
      </c>
      <c r="G2420" s="53">
        <v>-23.037689</v>
      </c>
      <c r="H2420" s="53">
        <v>-45.557670000000002</v>
      </c>
      <c r="I2420" s="53">
        <v>-23.029959000000002</v>
      </c>
      <c r="J2420" s="53">
        <v>-45.554031000000002</v>
      </c>
      <c r="L2420" s="61" t="str">
        <f t="shared" si="38"/>
        <v>Cliente42-Cliente39</v>
      </c>
      <c r="M2420">
        <v>14.093976</v>
      </c>
    </row>
    <row r="2421" spans="1:13" x14ac:dyDescent="0.25">
      <c r="A2421" s="15" t="s">
        <v>4312</v>
      </c>
      <c r="B2421" s="15" t="s">
        <v>4310</v>
      </c>
      <c r="C2421" s="54">
        <v>15.655486</v>
      </c>
      <c r="D2421" s="26">
        <v>2.2916666666666669E-2</v>
      </c>
      <c r="E2421" s="55">
        <v>-23.111022999999999</v>
      </c>
      <c r="F2421" s="55">
        <v>-45.703294999999997</v>
      </c>
      <c r="G2421" s="55">
        <v>-23.038772999999999</v>
      </c>
      <c r="H2421" s="55">
        <v>-45.558177999999998</v>
      </c>
      <c r="I2421" s="55">
        <v>-23.020672000000001</v>
      </c>
      <c r="J2421" s="55">
        <v>-45.553883999999996</v>
      </c>
      <c r="L2421" s="61" t="str">
        <f t="shared" si="38"/>
        <v>Cliente42-Cliente40</v>
      </c>
      <c r="M2421">
        <v>15.655486</v>
      </c>
    </row>
    <row r="2422" spans="1:13" x14ac:dyDescent="0.25">
      <c r="A2422" s="15" t="s">
        <v>4312</v>
      </c>
      <c r="B2422" s="15" t="s">
        <v>4311</v>
      </c>
      <c r="C2422" s="52">
        <v>5.0828290000000003</v>
      </c>
      <c r="D2422" s="25">
        <v>1.2499999999999999E-2</v>
      </c>
      <c r="E2422" s="53">
        <v>-23.112856000000001</v>
      </c>
      <c r="F2422" s="53">
        <v>-45.707323000000002</v>
      </c>
      <c r="G2422" s="53">
        <v>-23.099254999999999</v>
      </c>
      <c r="H2422" s="53">
        <v>-45.703125</v>
      </c>
      <c r="I2422" s="53">
        <v>-23.084672999999999</v>
      </c>
      <c r="J2422" s="53">
        <v>-45.710155999999998</v>
      </c>
      <c r="L2422" s="61" t="str">
        <f t="shared" si="38"/>
        <v>Cliente42-Cliente41</v>
      </c>
      <c r="M2422">
        <v>5.0828290000000003</v>
      </c>
    </row>
    <row r="2423" spans="1:13" x14ac:dyDescent="0.25">
      <c r="A2423" s="15" t="s">
        <v>4312</v>
      </c>
      <c r="B2423" s="15" t="s">
        <v>4312</v>
      </c>
      <c r="C2423" s="54">
        <v>0</v>
      </c>
      <c r="D2423" s="26">
        <v>0</v>
      </c>
      <c r="E2423" s="55">
        <f>'1. Locais'!D46</f>
        <v>-23.11919</v>
      </c>
      <c r="F2423" s="55">
        <f>'1. Locais'!E46</f>
        <v>-45.713470000000001</v>
      </c>
      <c r="G2423" s="55">
        <f>'1. Locais'!D46</f>
        <v>-23.11919</v>
      </c>
      <c r="H2423" s="55">
        <f>'1. Locais'!E46</f>
        <v>-45.713470000000001</v>
      </c>
      <c r="I2423" s="55">
        <f>'1. Locais'!D46</f>
        <v>-23.11919</v>
      </c>
      <c r="J2423" s="55">
        <f>'1. Locais'!E46</f>
        <v>-45.713470000000001</v>
      </c>
      <c r="L2423" s="61" t="str">
        <f t="shared" si="38"/>
        <v>Cliente42-Cliente42</v>
      </c>
      <c r="M2423">
        <v>0</v>
      </c>
    </row>
    <row r="2424" spans="1:13" x14ac:dyDescent="0.25">
      <c r="A2424" s="15" t="s">
        <v>4312</v>
      </c>
      <c r="B2424" s="15" t="s">
        <v>4313</v>
      </c>
      <c r="C2424" s="52">
        <v>20.335666</v>
      </c>
      <c r="D2424" s="25">
        <v>2.4999999999999998E-2</v>
      </c>
      <c r="E2424" s="53">
        <v>-23.109041000000001</v>
      </c>
      <c r="F2424" s="53">
        <v>-45.701137000000003</v>
      </c>
      <c r="G2424" s="53">
        <v>-23.011914999999998</v>
      </c>
      <c r="H2424" s="53">
        <v>-45.520774000000003</v>
      </c>
      <c r="I2424" s="53">
        <v>-22.984690000000001</v>
      </c>
      <c r="J2424" s="53">
        <v>-45.518129000000002</v>
      </c>
      <c r="L2424" s="61" t="str">
        <f t="shared" si="38"/>
        <v>Cliente42-Cliente43</v>
      </c>
      <c r="M2424">
        <v>20.335666</v>
      </c>
    </row>
    <row r="2425" spans="1:13" x14ac:dyDescent="0.25">
      <c r="A2425" s="15" t="s">
        <v>4312</v>
      </c>
      <c r="B2425" s="15" t="s">
        <v>4314</v>
      </c>
      <c r="C2425" s="54">
        <v>139.72497999999999</v>
      </c>
      <c r="D2425" s="26">
        <v>0.12222222222222223</v>
      </c>
      <c r="E2425" s="55">
        <v>-23.375692000000001</v>
      </c>
      <c r="F2425" s="55">
        <v>-46.246760000000002</v>
      </c>
      <c r="G2425" s="55">
        <v>-23.516957000000001</v>
      </c>
      <c r="H2425" s="55">
        <v>-46.734350999999997</v>
      </c>
      <c r="I2425" s="55">
        <v>-23.418655999999999</v>
      </c>
      <c r="J2425" s="55">
        <v>-47.220267</v>
      </c>
      <c r="L2425" s="61" t="str">
        <f t="shared" si="38"/>
        <v>Cliente42-Cliente44</v>
      </c>
      <c r="M2425">
        <v>139.72497999999999</v>
      </c>
    </row>
    <row r="2426" spans="1:13" x14ac:dyDescent="0.25">
      <c r="A2426" s="15" t="s">
        <v>4312</v>
      </c>
      <c r="B2426" s="15" t="s">
        <v>4315</v>
      </c>
      <c r="C2426" s="52">
        <v>144.018045</v>
      </c>
      <c r="D2426" s="25">
        <v>0.13125000000000001</v>
      </c>
      <c r="E2426" s="53">
        <v>-23.393934999999999</v>
      </c>
      <c r="F2426" s="53">
        <v>-46.287450999999997</v>
      </c>
      <c r="G2426" s="53">
        <v>-23.524556</v>
      </c>
      <c r="H2426" s="53">
        <v>-46.754387999999999</v>
      </c>
      <c r="I2426" s="53">
        <v>-23.396457999999999</v>
      </c>
      <c r="J2426" s="53">
        <v>-47.348235000000003</v>
      </c>
      <c r="L2426" s="61" t="str">
        <f t="shared" si="38"/>
        <v>Cliente42-Cliente45</v>
      </c>
      <c r="M2426">
        <v>144.018045</v>
      </c>
    </row>
    <row r="2427" spans="1:13" x14ac:dyDescent="0.25">
      <c r="A2427" s="15" t="s">
        <v>4312</v>
      </c>
      <c r="B2427" s="15" t="s">
        <v>4316</v>
      </c>
      <c r="C2427" s="54">
        <v>128.45514299999999</v>
      </c>
      <c r="D2427" s="26">
        <v>0.11666666666666665</v>
      </c>
      <c r="E2427" s="55">
        <v>-23.369153000000001</v>
      </c>
      <c r="F2427" s="55">
        <v>-46.236646999999998</v>
      </c>
      <c r="G2427" s="55">
        <v>-23.507629000000001</v>
      </c>
      <c r="H2427" s="55">
        <v>-46.716140000000003</v>
      </c>
      <c r="I2427" s="55">
        <v>-23.439218</v>
      </c>
      <c r="J2427" s="55">
        <v>-47.111420000000003</v>
      </c>
      <c r="L2427" s="61" t="str">
        <f t="shared" si="38"/>
        <v>Cliente42-Cliente46</v>
      </c>
      <c r="M2427">
        <v>128.45514299999999</v>
      </c>
    </row>
    <row r="2428" spans="1:13" x14ac:dyDescent="0.25">
      <c r="A2428" s="15" t="s">
        <v>4312</v>
      </c>
      <c r="B2428" s="15" t="s">
        <v>4317</v>
      </c>
      <c r="C2428" s="52">
        <v>256.19757199999998</v>
      </c>
      <c r="D2428" s="25">
        <v>0.20694444444444446</v>
      </c>
      <c r="E2428" s="53">
        <v>-23.181913000000002</v>
      </c>
      <c r="F2428" s="53">
        <v>-46.30912</v>
      </c>
      <c r="G2428" s="53">
        <v>-22.928688999999999</v>
      </c>
      <c r="H2428" s="53">
        <v>-46.914214999999999</v>
      </c>
      <c r="I2428" s="53">
        <v>-22.223797999999999</v>
      </c>
      <c r="J2428" s="53">
        <v>-46.978959000000003</v>
      </c>
      <c r="L2428" s="61" t="str">
        <f t="shared" si="38"/>
        <v>Cliente42-Cliente47</v>
      </c>
      <c r="M2428">
        <v>256.19757199999998</v>
      </c>
    </row>
    <row r="2429" spans="1:13" x14ac:dyDescent="0.25">
      <c r="A2429" s="15" t="s">
        <v>4312</v>
      </c>
      <c r="B2429" s="15" t="s">
        <v>4318</v>
      </c>
      <c r="C2429" s="54">
        <v>251.28624199999999</v>
      </c>
      <c r="D2429" s="26">
        <v>0.20277777777777781</v>
      </c>
      <c r="E2429" s="55">
        <v>-23.178464999999999</v>
      </c>
      <c r="F2429" s="55">
        <v>-46.314211999999998</v>
      </c>
      <c r="G2429" s="55">
        <v>-22.929143</v>
      </c>
      <c r="H2429" s="55">
        <v>-46.940201000000002</v>
      </c>
      <c r="I2429" s="55">
        <v>-22.247682999999999</v>
      </c>
      <c r="J2429" s="55">
        <v>-47.390053000000002</v>
      </c>
      <c r="L2429" s="61" t="str">
        <f t="shared" si="38"/>
        <v>Cliente42-Cliente48</v>
      </c>
      <c r="M2429">
        <v>251.28624199999999</v>
      </c>
    </row>
    <row r="2430" spans="1:13" x14ac:dyDescent="0.25">
      <c r="A2430" s="15" t="s">
        <v>4312</v>
      </c>
      <c r="B2430" s="15" t="s">
        <v>4319</v>
      </c>
      <c r="C2430" s="52">
        <v>244.92400599999999</v>
      </c>
      <c r="D2430" s="25">
        <v>0.1986111111111111</v>
      </c>
      <c r="E2430" s="53">
        <v>-23.182113000000001</v>
      </c>
      <c r="F2430" s="53">
        <v>-46.307738000000001</v>
      </c>
      <c r="G2430" s="53">
        <v>-22.928504</v>
      </c>
      <c r="H2430" s="53">
        <v>-46.909339000000003</v>
      </c>
      <c r="I2430" s="53">
        <v>-22.333988000000002</v>
      </c>
      <c r="J2430" s="53">
        <v>-47.389125999999997</v>
      </c>
      <c r="L2430" s="61" t="str">
        <f t="shared" si="38"/>
        <v>Cliente42-Cliente49</v>
      </c>
      <c r="M2430">
        <v>244.92400599999999</v>
      </c>
    </row>
    <row r="2431" spans="1:13" x14ac:dyDescent="0.25">
      <c r="A2431" s="15" t="s">
        <v>4312</v>
      </c>
      <c r="B2431" s="15" t="s">
        <v>4320</v>
      </c>
      <c r="C2431" s="54">
        <v>275.84599900000001</v>
      </c>
      <c r="D2431" s="26">
        <v>0.22500000000000001</v>
      </c>
      <c r="E2431" s="55">
        <v>-23.175943</v>
      </c>
      <c r="F2431" s="55">
        <v>-46.382437000000003</v>
      </c>
      <c r="G2431" s="55">
        <v>-22.800936</v>
      </c>
      <c r="H2431" s="55">
        <v>-47.221663999999997</v>
      </c>
      <c r="I2431" s="55">
        <v>-22.290595</v>
      </c>
      <c r="J2431" s="55">
        <v>-48.017564</v>
      </c>
      <c r="L2431" s="61" t="str">
        <f t="shared" si="38"/>
        <v>Cliente42-Cliente50</v>
      </c>
      <c r="M2431">
        <v>275.84599900000001</v>
      </c>
    </row>
    <row r="2432" spans="1:13" x14ac:dyDescent="0.25">
      <c r="A2432" s="15" t="s">
        <v>4312</v>
      </c>
      <c r="B2432" s="15" t="s">
        <v>4321</v>
      </c>
      <c r="C2432" s="52">
        <v>269.50116200000002</v>
      </c>
      <c r="D2432" s="25">
        <v>0.22083333333333333</v>
      </c>
      <c r="E2432" s="53">
        <v>-23.185034999999999</v>
      </c>
      <c r="F2432" s="53">
        <v>-46.362957000000002</v>
      </c>
      <c r="G2432" s="53">
        <v>-22.85746</v>
      </c>
      <c r="H2432" s="53">
        <v>-47.142434000000002</v>
      </c>
      <c r="I2432" s="53">
        <v>-22.246524999999998</v>
      </c>
      <c r="J2432" s="53">
        <v>-47.832065999999998</v>
      </c>
      <c r="L2432" s="61" t="str">
        <f t="shared" si="38"/>
        <v>Cliente42-Cliente51</v>
      </c>
      <c r="M2432">
        <v>269.50116200000002</v>
      </c>
    </row>
    <row r="2433" spans="1:13" x14ac:dyDescent="0.25">
      <c r="A2433" s="15" t="s">
        <v>4313</v>
      </c>
      <c r="B2433" s="15" t="s">
        <v>4268</v>
      </c>
      <c r="C2433" s="54">
        <v>150.32746299999999</v>
      </c>
      <c r="D2433" s="26">
        <v>0.12847222222222224</v>
      </c>
      <c r="E2433" s="55">
        <v>-23.317084999999999</v>
      </c>
      <c r="F2433" s="55">
        <v>-46.082048</v>
      </c>
      <c r="G2433" s="55">
        <v>-23.522423</v>
      </c>
      <c r="H2433" s="55">
        <v>-46.611075</v>
      </c>
      <c r="I2433" s="55">
        <v>-23.462869999999999</v>
      </c>
      <c r="J2433" s="55">
        <v>-47.033450000000002</v>
      </c>
      <c r="L2433" s="61" t="str">
        <f t="shared" si="38"/>
        <v>Cliente43-depósito A</v>
      </c>
      <c r="M2433">
        <v>150.32746299999999</v>
      </c>
    </row>
    <row r="2434" spans="1:13" x14ac:dyDescent="0.25">
      <c r="A2434" s="15" t="s">
        <v>4313</v>
      </c>
      <c r="B2434" s="15" t="s">
        <v>4269</v>
      </c>
      <c r="C2434" s="52">
        <v>240.41532599999999</v>
      </c>
      <c r="D2434" s="25">
        <v>0.19375000000000001</v>
      </c>
      <c r="E2434" s="53">
        <v>-23.190270000000002</v>
      </c>
      <c r="F2434" s="53">
        <v>-46.189027000000003</v>
      </c>
      <c r="G2434" s="53">
        <v>-23.024882999999999</v>
      </c>
      <c r="H2434" s="53">
        <v>-46.751731999999997</v>
      </c>
      <c r="I2434" s="53">
        <v>-22.609055000000001</v>
      </c>
      <c r="J2434" s="53">
        <v>-47.359665999999997</v>
      </c>
      <c r="L2434" s="61" t="str">
        <f t="shared" si="38"/>
        <v>Cliente43-depósito B</v>
      </c>
      <c r="M2434">
        <v>240.41532599999999</v>
      </c>
    </row>
    <row r="2435" spans="1:13" x14ac:dyDescent="0.25">
      <c r="A2435" s="15" t="s">
        <v>4313</v>
      </c>
      <c r="B2435" s="15" t="s">
        <v>4270</v>
      </c>
      <c r="C2435" s="54">
        <v>41.719586999999997</v>
      </c>
      <c r="D2435" s="26">
        <v>3.9583333333333331E-2</v>
      </c>
      <c r="E2435" s="55">
        <v>-22.983521</v>
      </c>
      <c r="F2435" s="55">
        <v>-45.513886999999997</v>
      </c>
      <c r="G2435" s="55">
        <v>-23.008862000000001</v>
      </c>
      <c r="H2435" s="55">
        <v>-45.517318000000003</v>
      </c>
      <c r="I2435" s="55">
        <v>-23.244256</v>
      </c>
      <c r="J2435" s="55">
        <v>-45.926594000000001</v>
      </c>
      <c r="L2435" s="61" t="str">
        <f t="shared" si="38"/>
        <v>Cliente43-depósito C</v>
      </c>
      <c r="M2435">
        <v>41.719586999999997</v>
      </c>
    </row>
    <row r="2436" spans="1:13" x14ac:dyDescent="0.25">
      <c r="A2436" s="15" t="s">
        <v>4313</v>
      </c>
      <c r="B2436" s="15" t="s">
        <v>4271</v>
      </c>
      <c r="C2436" s="52">
        <v>131.39423600000001</v>
      </c>
      <c r="D2436" s="25">
        <v>0.11458333333333333</v>
      </c>
      <c r="E2436" s="53">
        <v>-23.258492</v>
      </c>
      <c r="F2436" s="53">
        <v>-46.092449999999999</v>
      </c>
      <c r="G2436" s="53">
        <v>-23.170565</v>
      </c>
      <c r="H2436" s="53">
        <v>-46.391060000000003</v>
      </c>
      <c r="I2436" s="53">
        <v>-22.930872999999998</v>
      </c>
      <c r="J2436" s="53">
        <v>-46.901926000000003</v>
      </c>
      <c r="L2436" s="61" t="str">
        <f t="shared" si="38"/>
        <v>Cliente43-Cliente1</v>
      </c>
      <c r="M2436">
        <v>131.39423600000001</v>
      </c>
    </row>
    <row r="2437" spans="1:13" x14ac:dyDescent="0.25">
      <c r="A2437" s="15" t="s">
        <v>4313</v>
      </c>
      <c r="B2437" s="15" t="s">
        <v>4272</v>
      </c>
      <c r="C2437" s="54">
        <v>129.25422800000001</v>
      </c>
      <c r="D2437" s="26">
        <v>0.10972222222222222</v>
      </c>
      <c r="E2437" s="55">
        <v>-23.24727</v>
      </c>
      <c r="F2437" s="55">
        <v>-46.081422000000003</v>
      </c>
      <c r="G2437" s="55">
        <v>-23.190908</v>
      </c>
      <c r="H2437" s="55">
        <v>-46.355207</v>
      </c>
      <c r="I2437" s="55">
        <v>-23.002727</v>
      </c>
      <c r="J2437" s="55">
        <v>-46.776809999999998</v>
      </c>
      <c r="L2437" s="61" t="str">
        <f t="shared" si="38"/>
        <v>Cliente43-Cliente2</v>
      </c>
      <c r="M2437">
        <v>129.25422800000001</v>
      </c>
    </row>
    <row r="2438" spans="1:13" x14ac:dyDescent="0.25">
      <c r="A2438" s="15" t="s">
        <v>4313</v>
      </c>
      <c r="B2438" s="15" t="s">
        <v>4273</v>
      </c>
      <c r="C2438" s="52">
        <v>129.32071500000001</v>
      </c>
      <c r="D2438" s="25">
        <v>0.11041666666666666</v>
      </c>
      <c r="E2438" s="53">
        <v>-23.250112000000001</v>
      </c>
      <c r="F2438" s="53">
        <v>-46.085822</v>
      </c>
      <c r="G2438" s="53">
        <v>-23.185472000000001</v>
      </c>
      <c r="H2438" s="53">
        <v>-46.368713</v>
      </c>
      <c r="I2438" s="53">
        <v>-22.962472000000002</v>
      </c>
      <c r="J2438" s="53">
        <v>-46.846203000000003</v>
      </c>
      <c r="L2438" s="61" t="str">
        <f t="shared" si="38"/>
        <v>Cliente43-Cliente3</v>
      </c>
      <c r="M2438">
        <v>129.32071500000001</v>
      </c>
    </row>
    <row r="2439" spans="1:13" x14ac:dyDescent="0.25">
      <c r="A2439" s="15" t="s">
        <v>4313</v>
      </c>
      <c r="B2439" s="15" t="s">
        <v>4274</v>
      </c>
      <c r="C2439" s="54">
        <v>133.170119</v>
      </c>
      <c r="D2439" s="26">
        <v>0.1111111111111111</v>
      </c>
      <c r="E2439" s="55">
        <v>-23.24727</v>
      </c>
      <c r="F2439" s="55">
        <v>-46.081422000000003</v>
      </c>
      <c r="G2439" s="55">
        <v>-23.190908</v>
      </c>
      <c r="H2439" s="55">
        <v>-46.355207</v>
      </c>
      <c r="I2439" s="55">
        <v>-23.004674000000001</v>
      </c>
      <c r="J2439" s="55">
        <v>-46.769309999999997</v>
      </c>
      <c r="L2439" s="61" t="str">
        <f t="shared" si="38"/>
        <v>Cliente43-Cliente4</v>
      </c>
      <c r="M2439">
        <v>133.170119</v>
      </c>
    </row>
    <row r="2440" spans="1:13" x14ac:dyDescent="0.25">
      <c r="A2440" s="15" t="s">
        <v>4313</v>
      </c>
      <c r="B2440" s="15" t="s">
        <v>4275</v>
      </c>
      <c r="C2440" s="52">
        <v>133.26332500000001</v>
      </c>
      <c r="D2440" s="25">
        <v>0.1111111111111111</v>
      </c>
      <c r="E2440" s="53">
        <v>-23.247364999999999</v>
      </c>
      <c r="F2440" s="53">
        <v>-46.080585999999997</v>
      </c>
      <c r="G2440" s="53">
        <v>-23.193729000000001</v>
      </c>
      <c r="H2440" s="53">
        <v>-46.347257999999997</v>
      </c>
      <c r="I2440" s="53">
        <v>-23.006740000000001</v>
      </c>
      <c r="J2440" s="53">
        <v>-46.766705000000002</v>
      </c>
      <c r="L2440" s="61" t="str">
        <f t="shared" si="38"/>
        <v>Cliente43-Cliente5</v>
      </c>
      <c r="M2440">
        <v>133.26332500000001</v>
      </c>
    </row>
    <row r="2441" spans="1:13" x14ac:dyDescent="0.25">
      <c r="A2441" s="15" t="s">
        <v>4313</v>
      </c>
      <c r="B2441" s="15" t="s">
        <v>4276</v>
      </c>
      <c r="C2441" s="54">
        <v>133.585196</v>
      </c>
      <c r="D2441" s="26">
        <v>0.11666666666666665</v>
      </c>
      <c r="E2441" s="55">
        <v>-23.258607000000001</v>
      </c>
      <c r="F2441" s="55">
        <v>-46.097866000000003</v>
      </c>
      <c r="G2441" s="55">
        <v>-23.171102999999999</v>
      </c>
      <c r="H2441" s="55">
        <v>-46.424118999999997</v>
      </c>
      <c r="I2441" s="55">
        <v>-22.928578999999999</v>
      </c>
      <c r="J2441" s="55">
        <v>-46.940820000000002</v>
      </c>
      <c r="L2441" s="61" t="str">
        <f t="shared" si="38"/>
        <v>Cliente43-Cliente6</v>
      </c>
      <c r="M2441">
        <v>133.585196</v>
      </c>
    </row>
    <row r="2442" spans="1:13" x14ac:dyDescent="0.25">
      <c r="A2442" s="15" t="s">
        <v>4313</v>
      </c>
      <c r="B2442" s="15" t="s">
        <v>4277</v>
      </c>
      <c r="C2442" s="52">
        <v>132.31635299999999</v>
      </c>
      <c r="D2442" s="25">
        <v>0.11388888888888889</v>
      </c>
      <c r="E2442" s="53">
        <v>-23.257531</v>
      </c>
      <c r="F2442" s="53">
        <v>-46.090679000000002</v>
      </c>
      <c r="G2442" s="53">
        <v>-23.173535000000001</v>
      </c>
      <c r="H2442" s="53">
        <v>-46.384925000000003</v>
      </c>
      <c r="I2442" s="53">
        <v>-22.935393000000001</v>
      </c>
      <c r="J2442" s="53">
        <v>-46.895313999999999</v>
      </c>
      <c r="L2442" s="61" t="str">
        <f t="shared" si="38"/>
        <v>Cliente43-Cliente7</v>
      </c>
      <c r="M2442">
        <v>132.31635299999999</v>
      </c>
    </row>
    <row r="2443" spans="1:13" x14ac:dyDescent="0.25">
      <c r="A2443" s="15" t="s">
        <v>4313</v>
      </c>
      <c r="B2443" s="15" t="s">
        <v>4278</v>
      </c>
      <c r="C2443" s="54">
        <v>127.052705</v>
      </c>
      <c r="D2443" s="26">
        <v>0.10555555555555556</v>
      </c>
      <c r="E2443" s="55">
        <v>-23.256395000000001</v>
      </c>
      <c r="F2443" s="55">
        <v>-46.069535000000002</v>
      </c>
      <c r="G2443" s="55">
        <v>-23.18534</v>
      </c>
      <c r="H2443" s="55">
        <v>-46.328203000000002</v>
      </c>
      <c r="I2443" s="55">
        <v>-23.028084</v>
      </c>
      <c r="J2443" s="55">
        <v>-46.748938000000003</v>
      </c>
      <c r="L2443" s="61" t="str">
        <f t="shared" si="38"/>
        <v>Cliente43-Cliente8</v>
      </c>
      <c r="M2443">
        <v>127.052705</v>
      </c>
    </row>
    <row r="2444" spans="1:13" x14ac:dyDescent="0.25">
      <c r="A2444" s="15" t="s">
        <v>4313</v>
      </c>
      <c r="B2444" s="15" t="s">
        <v>4279</v>
      </c>
      <c r="C2444" s="52">
        <v>150.63380000000001</v>
      </c>
      <c r="D2444" s="25">
        <v>0.12638888888888888</v>
      </c>
      <c r="E2444" s="53">
        <v>-23.25451</v>
      </c>
      <c r="F2444" s="53">
        <v>-46.087843999999997</v>
      </c>
      <c r="G2444" s="53">
        <v>-23.183751000000001</v>
      </c>
      <c r="H2444" s="53">
        <v>-46.372582000000001</v>
      </c>
      <c r="I2444" s="53">
        <v>-22.947365000000001</v>
      </c>
      <c r="J2444" s="53">
        <v>-46.869992000000003</v>
      </c>
      <c r="L2444" s="61" t="str">
        <f t="shared" si="38"/>
        <v>Cliente43-Cliente9</v>
      </c>
      <c r="M2444">
        <v>150.63380000000001</v>
      </c>
    </row>
    <row r="2445" spans="1:13" x14ac:dyDescent="0.25">
      <c r="A2445" s="15" t="s">
        <v>4313</v>
      </c>
      <c r="B2445" s="15" t="s">
        <v>4280</v>
      </c>
      <c r="C2445" s="54">
        <v>97.907217000000003</v>
      </c>
      <c r="D2445" s="26">
        <v>9.1666666666666674E-2</v>
      </c>
      <c r="E2445" s="55">
        <v>-23.110382999999999</v>
      </c>
      <c r="F2445" s="55">
        <v>-45.703434000000001</v>
      </c>
      <c r="G2445" s="55">
        <v>-23.369653</v>
      </c>
      <c r="H2445" s="55">
        <v>-46.240321000000002</v>
      </c>
      <c r="I2445" s="55">
        <v>-23.521847999999999</v>
      </c>
      <c r="J2445" s="55">
        <v>-46.612279999999998</v>
      </c>
      <c r="L2445" s="61" t="str">
        <f t="shared" si="38"/>
        <v>Cliente43-Cliente10</v>
      </c>
      <c r="M2445">
        <v>97.907217000000003</v>
      </c>
    </row>
    <row r="2446" spans="1:13" x14ac:dyDescent="0.25">
      <c r="A2446" s="15" t="s">
        <v>4313</v>
      </c>
      <c r="B2446" s="15" t="s">
        <v>4281</v>
      </c>
      <c r="C2446" s="52">
        <v>171.18383900000001</v>
      </c>
      <c r="D2446" s="25">
        <v>0.14027777777777778</v>
      </c>
      <c r="E2446" s="53">
        <v>-23.258607000000001</v>
      </c>
      <c r="F2446" s="53">
        <v>-46.097866000000003</v>
      </c>
      <c r="G2446" s="53">
        <v>-23.171102999999999</v>
      </c>
      <c r="H2446" s="53">
        <v>-46.424118999999997</v>
      </c>
      <c r="I2446" s="53">
        <v>-22.928578999999999</v>
      </c>
      <c r="J2446" s="53">
        <v>-46.940820000000002</v>
      </c>
      <c r="L2446" s="61" t="str">
        <f t="shared" si="38"/>
        <v>Cliente43-Cliente11</v>
      </c>
      <c r="M2446">
        <v>171.18383900000001</v>
      </c>
    </row>
    <row r="2447" spans="1:13" x14ac:dyDescent="0.25">
      <c r="A2447" s="15" t="s">
        <v>4313</v>
      </c>
      <c r="B2447" s="15" t="s">
        <v>4282</v>
      </c>
      <c r="C2447" s="54">
        <v>46.524040999999997</v>
      </c>
      <c r="D2447" s="26">
        <v>4.3750000000000004E-2</v>
      </c>
      <c r="E2447" s="55">
        <v>-22.984696</v>
      </c>
      <c r="F2447" s="55">
        <v>-45.516976</v>
      </c>
      <c r="G2447" s="55">
        <v>-23.048114999999999</v>
      </c>
      <c r="H2447" s="55">
        <v>-45.596052999999998</v>
      </c>
      <c r="I2447" s="55">
        <v>-23.301697999999998</v>
      </c>
      <c r="J2447" s="55">
        <v>-46.024264000000002</v>
      </c>
      <c r="L2447" s="61" t="str">
        <f t="shared" si="38"/>
        <v>Cliente43-Cliente12</v>
      </c>
      <c r="M2447">
        <v>46.524040999999997</v>
      </c>
    </row>
    <row r="2448" spans="1:13" x14ac:dyDescent="0.25">
      <c r="A2448" s="15" t="s">
        <v>4313</v>
      </c>
      <c r="B2448" s="15" t="s">
        <v>4283</v>
      </c>
      <c r="C2448" s="52">
        <v>34.074216999999997</v>
      </c>
      <c r="D2448" s="25">
        <v>3.1944444444444449E-2</v>
      </c>
      <c r="E2448" s="53">
        <v>-22.979106000000002</v>
      </c>
      <c r="F2448" s="53">
        <v>-45.514951000000003</v>
      </c>
      <c r="G2448" s="53">
        <v>-23.003995</v>
      </c>
      <c r="H2448" s="53">
        <v>-45.512534000000002</v>
      </c>
      <c r="I2448" s="53">
        <v>-23.110382999999999</v>
      </c>
      <c r="J2448" s="53">
        <v>-45.703434000000001</v>
      </c>
      <c r="L2448" s="61" t="str">
        <f t="shared" si="38"/>
        <v>Cliente43-Cliente13</v>
      </c>
      <c r="M2448">
        <v>34.074216999999997</v>
      </c>
    </row>
    <row r="2449" spans="1:13" x14ac:dyDescent="0.25">
      <c r="A2449" s="15" t="s">
        <v>4313</v>
      </c>
      <c r="B2449" s="15" t="s">
        <v>4284</v>
      </c>
      <c r="C2449" s="54">
        <v>36.288167999999999</v>
      </c>
      <c r="D2449" s="26">
        <v>3.4027777777777775E-2</v>
      </c>
      <c r="E2449" s="55">
        <v>-22.983521</v>
      </c>
      <c r="F2449" s="55">
        <v>-45.513886999999997</v>
      </c>
      <c r="G2449" s="55">
        <v>-23.008862000000001</v>
      </c>
      <c r="H2449" s="55">
        <v>-45.517318000000003</v>
      </c>
      <c r="I2449" s="55">
        <v>-23.207954000000001</v>
      </c>
      <c r="J2449" s="55">
        <v>-45.887715999999998</v>
      </c>
      <c r="L2449" s="61" t="str">
        <f t="shared" si="38"/>
        <v>Cliente43-Cliente14</v>
      </c>
      <c r="M2449">
        <v>36.288167999999999</v>
      </c>
    </row>
    <row r="2450" spans="1:13" x14ac:dyDescent="0.25">
      <c r="A2450" s="15" t="s">
        <v>4313</v>
      </c>
      <c r="B2450" s="15" t="s">
        <v>4285</v>
      </c>
      <c r="C2450" s="52">
        <v>35.869363</v>
      </c>
      <c r="D2450" s="25">
        <v>3.7499999999999999E-2</v>
      </c>
      <c r="E2450" s="53">
        <v>-22.984696</v>
      </c>
      <c r="F2450" s="53">
        <v>-45.516976</v>
      </c>
      <c r="G2450" s="53">
        <v>-23.048114999999999</v>
      </c>
      <c r="H2450" s="53">
        <v>-45.596052999999998</v>
      </c>
      <c r="I2450" s="53">
        <v>-23.219287999999999</v>
      </c>
      <c r="J2450" s="53">
        <v>-45.901947</v>
      </c>
      <c r="L2450" s="61" t="str">
        <f t="shared" ref="L2450:L2513" si="39">_xlfn.CONCAT(A2450,"-",B2450)</f>
        <v>Cliente43-Cliente15</v>
      </c>
      <c r="M2450">
        <v>35.869363</v>
      </c>
    </row>
    <row r="2451" spans="1:13" x14ac:dyDescent="0.25">
      <c r="A2451" s="15" t="s">
        <v>4313</v>
      </c>
      <c r="B2451" s="15" t="s">
        <v>4286</v>
      </c>
      <c r="C2451" s="54">
        <v>36.401879000000001</v>
      </c>
      <c r="D2451" s="26">
        <v>3.6805555555555557E-2</v>
      </c>
      <c r="E2451" s="55">
        <v>-22.984898999999999</v>
      </c>
      <c r="F2451" s="55">
        <v>-45.515980999999996</v>
      </c>
      <c r="G2451" s="55">
        <v>-23.039536999999999</v>
      </c>
      <c r="H2451" s="55">
        <v>-45.563257999999998</v>
      </c>
      <c r="I2451" s="55">
        <v>-23.220454</v>
      </c>
      <c r="J2451" s="55">
        <v>-45.902138000000001</v>
      </c>
      <c r="L2451" s="61" t="str">
        <f t="shared" si="39"/>
        <v>Cliente43-Cliente16</v>
      </c>
      <c r="M2451">
        <v>36.401879000000001</v>
      </c>
    </row>
    <row r="2452" spans="1:13" x14ac:dyDescent="0.25">
      <c r="A2452" s="15" t="s">
        <v>4313</v>
      </c>
      <c r="B2452" s="15" t="s">
        <v>4287</v>
      </c>
      <c r="C2452" s="52">
        <v>34.497993000000001</v>
      </c>
      <c r="D2452" s="25">
        <v>3.1944444444444449E-2</v>
      </c>
      <c r="E2452" s="53">
        <v>-22.976880999999999</v>
      </c>
      <c r="F2452" s="53">
        <v>-45.514800999999999</v>
      </c>
      <c r="G2452" s="53">
        <v>-23.003056999999998</v>
      </c>
      <c r="H2452" s="53">
        <v>-45.512286000000003</v>
      </c>
      <c r="I2452" s="53">
        <v>-23.050021000000001</v>
      </c>
      <c r="J2452" s="53">
        <v>-45.601247999999998</v>
      </c>
      <c r="L2452" s="61" t="str">
        <f t="shared" si="39"/>
        <v>Cliente43-Cliente17</v>
      </c>
      <c r="M2452">
        <v>34.497993000000001</v>
      </c>
    </row>
    <row r="2453" spans="1:13" x14ac:dyDescent="0.25">
      <c r="A2453" s="15" t="s">
        <v>4313</v>
      </c>
      <c r="B2453" s="15" t="s">
        <v>4288</v>
      </c>
      <c r="C2453" s="54">
        <v>28.097232000000002</v>
      </c>
      <c r="D2453" s="26">
        <v>2.9861111111111113E-2</v>
      </c>
      <c r="E2453" s="55">
        <v>-22.983521</v>
      </c>
      <c r="F2453" s="55">
        <v>-45.513886999999997</v>
      </c>
      <c r="G2453" s="55">
        <v>-23.008862000000001</v>
      </c>
      <c r="H2453" s="55">
        <v>-45.517318000000003</v>
      </c>
      <c r="I2453" s="55">
        <v>-23.158103000000001</v>
      </c>
      <c r="J2453" s="55">
        <v>-45.804701000000001</v>
      </c>
      <c r="L2453" s="61" t="str">
        <f t="shared" si="39"/>
        <v>Cliente43-Cliente18</v>
      </c>
      <c r="M2453">
        <v>28.097232000000002</v>
      </c>
    </row>
    <row r="2454" spans="1:13" x14ac:dyDescent="0.25">
      <c r="A2454" s="15" t="s">
        <v>4313</v>
      </c>
      <c r="B2454" s="15" t="s">
        <v>4289</v>
      </c>
      <c r="C2454" s="52">
        <v>93.079772000000006</v>
      </c>
      <c r="D2454" s="25">
        <v>8.1944444444444445E-2</v>
      </c>
      <c r="E2454" s="53">
        <v>-23.046925999999999</v>
      </c>
      <c r="F2454" s="53">
        <v>-45.592117999999999</v>
      </c>
      <c r="G2454" s="53">
        <v>-23.351792</v>
      </c>
      <c r="H2454" s="53">
        <v>-46.188212999999998</v>
      </c>
      <c r="I2454" s="53">
        <v>-23.495353000000001</v>
      </c>
      <c r="J2454" s="53">
        <v>-46.555329</v>
      </c>
      <c r="L2454" s="61" t="str">
        <f t="shared" si="39"/>
        <v>Cliente43-Cliente19</v>
      </c>
      <c r="M2454">
        <v>93.079772000000006</v>
      </c>
    </row>
    <row r="2455" spans="1:13" x14ac:dyDescent="0.25">
      <c r="A2455" s="15" t="s">
        <v>4313</v>
      </c>
      <c r="B2455" s="15" t="s">
        <v>4290</v>
      </c>
      <c r="C2455" s="54">
        <v>100.63255700000001</v>
      </c>
      <c r="D2455" s="26">
        <v>9.1666666666666674E-2</v>
      </c>
      <c r="E2455" s="55">
        <v>-23.110382999999999</v>
      </c>
      <c r="F2455" s="55">
        <v>-45.703434000000001</v>
      </c>
      <c r="G2455" s="55">
        <v>-23.369653</v>
      </c>
      <c r="H2455" s="55">
        <v>-46.240321000000002</v>
      </c>
      <c r="I2455" s="55">
        <v>-23.521847999999999</v>
      </c>
      <c r="J2455" s="55">
        <v>-46.612279999999998</v>
      </c>
      <c r="L2455" s="61" t="str">
        <f t="shared" si="39"/>
        <v>Cliente43-Cliente20</v>
      </c>
      <c r="M2455">
        <v>100.63255700000001</v>
      </c>
    </row>
    <row r="2456" spans="1:13" x14ac:dyDescent="0.25">
      <c r="A2456" s="15" t="s">
        <v>4313</v>
      </c>
      <c r="B2456" s="15" t="s">
        <v>4291</v>
      </c>
      <c r="C2456" s="52">
        <v>100.23922899999999</v>
      </c>
      <c r="D2456" s="25">
        <v>9.1666666666666674E-2</v>
      </c>
      <c r="E2456" s="53">
        <v>-23.196276999999998</v>
      </c>
      <c r="F2456" s="53">
        <v>-45.873694999999998</v>
      </c>
      <c r="G2456" s="53">
        <v>-23.377419</v>
      </c>
      <c r="H2456" s="53">
        <v>-46.253095000000002</v>
      </c>
      <c r="I2456" s="53">
        <v>-23.516734</v>
      </c>
      <c r="J2456" s="53">
        <v>-46.650905999999999</v>
      </c>
      <c r="L2456" s="61" t="str">
        <f t="shared" si="39"/>
        <v>Cliente43-Cliente21</v>
      </c>
      <c r="M2456">
        <v>100.23922899999999</v>
      </c>
    </row>
    <row r="2457" spans="1:13" x14ac:dyDescent="0.25">
      <c r="A2457" s="15" t="s">
        <v>4313</v>
      </c>
      <c r="B2457" s="15" t="s">
        <v>4292</v>
      </c>
      <c r="C2457" s="54">
        <v>96.949680999999998</v>
      </c>
      <c r="D2457" s="26">
        <v>8.8888888888888892E-2</v>
      </c>
      <c r="E2457" s="55">
        <v>-23.110382999999999</v>
      </c>
      <c r="F2457" s="55">
        <v>-45.703434000000001</v>
      </c>
      <c r="G2457" s="55">
        <v>-23.369653</v>
      </c>
      <c r="H2457" s="55">
        <v>-46.240321000000002</v>
      </c>
      <c r="I2457" s="55">
        <v>-23.521847999999999</v>
      </c>
      <c r="J2457" s="55">
        <v>-46.612279999999998</v>
      </c>
      <c r="L2457" s="61" t="str">
        <f t="shared" si="39"/>
        <v>Cliente43-Cliente22</v>
      </c>
      <c r="M2457">
        <v>96.949680999999998</v>
      </c>
    </row>
    <row r="2458" spans="1:13" x14ac:dyDescent="0.25">
      <c r="A2458" s="15" t="s">
        <v>4313</v>
      </c>
      <c r="B2458" s="15" t="s">
        <v>4293</v>
      </c>
      <c r="C2458" s="52">
        <v>100.28086</v>
      </c>
      <c r="D2458" s="25">
        <v>9.9999999999999992E-2</v>
      </c>
      <c r="E2458" s="53">
        <v>-23.243434000000001</v>
      </c>
      <c r="F2458" s="53">
        <v>-45.925581000000001</v>
      </c>
      <c r="G2458" s="53">
        <v>-23.401969999999999</v>
      </c>
      <c r="H2458" s="53">
        <v>-46.313215999999997</v>
      </c>
      <c r="I2458" s="53">
        <v>-23.555136000000001</v>
      </c>
      <c r="J2458" s="53">
        <v>-46.642752999999999</v>
      </c>
      <c r="L2458" s="61" t="str">
        <f t="shared" si="39"/>
        <v>Cliente43-Cliente23</v>
      </c>
      <c r="M2458">
        <v>100.28086</v>
      </c>
    </row>
    <row r="2459" spans="1:13" x14ac:dyDescent="0.25">
      <c r="A2459" s="15" t="s">
        <v>4313</v>
      </c>
      <c r="B2459" s="15" t="s">
        <v>4294</v>
      </c>
      <c r="C2459" s="54">
        <v>100.23301499999999</v>
      </c>
      <c r="D2459" s="26">
        <v>0.10069444444444443</v>
      </c>
      <c r="E2459" s="55">
        <v>-23.198494</v>
      </c>
      <c r="F2459" s="55">
        <v>-45.877130000000001</v>
      </c>
      <c r="G2459" s="55">
        <v>-23.393184000000002</v>
      </c>
      <c r="H2459" s="55">
        <v>-46.285952000000002</v>
      </c>
      <c r="I2459" s="55">
        <v>-23.551714</v>
      </c>
      <c r="J2459" s="55">
        <v>-46.624541999999998</v>
      </c>
      <c r="L2459" s="61" t="str">
        <f t="shared" si="39"/>
        <v>Cliente43-Cliente24</v>
      </c>
      <c r="M2459">
        <v>100.23301499999999</v>
      </c>
    </row>
    <row r="2460" spans="1:13" x14ac:dyDescent="0.25">
      <c r="A2460" s="15" t="s">
        <v>4313</v>
      </c>
      <c r="B2460" s="15" t="s">
        <v>4295</v>
      </c>
      <c r="C2460" s="52">
        <v>102.656368</v>
      </c>
      <c r="D2460" s="25">
        <v>0.10625</v>
      </c>
      <c r="E2460" s="53">
        <v>-23.299669999999999</v>
      </c>
      <c r="F2460" s="53">
        <v>-46.013658</v>
      </c>
      <c r="G2460" s="53">
        <v>-23.413972000000001</v>
      </c>
      <c r="H2460" s="53">
        <v>-46.364187000000001</v>
      </c>
      <c r="I2460" s="53">
        <v>-23.558585000000001</v>
      </c>
      <c r="J2460" s="53">
        <v>-46.668680000000002</v>
      </c>
      <c r="L2460" s="61" t="str">
        <f t="shared" si="39"/>
        <v>Cliente43-Cliente25</v>
      </c>
      <c r="M2460">
        <v>102.656368</v>
      </c>
    </row>
    <row r="2461" spans="1:13" x14ac:dyDescent="0.25">
      <c r="A2461" s="15" t="s">
        <v>4313</v>
      </c>
      <c r="B2461" s="15" t="s">
        <v>4296</v>
      </c>
      <c r="C2461" s="54">
        <v>109.345446</v>
      </c>
      <c r="D2461" s="26">
        <v>9.9999999999999992E-2</v>
      </c>
      <c r="E2461" s="55">
        <v>-23.307098</v>
      </c>
      <c r="F2461" s="55">
        <v>-46.041440999999999</v>
      </c>
      <c r="G2461" s="55">
        <v>-23.467075999999999</v>
      </c>
      <c r="H2461" s="55">
        <v>-46.505155000000002</v>
      </c>
      <c r="I2461" s="55">
        <v>-23.520171999999999</v>
      </c>
      <c r="J2461" s="55">
        <v>-46.776637999999998</v>
      </c>
      <c r="L2461" s="61" t="str">
        <f t="shared" si="39"/>
        <v>Cliente43-Cliente26</v>
      </c>
      <c r="M2461">
        <v>109.345446</v>
      </c>
    </row>
    <row r="2462" spans="1:13" x14ac:dyDescent="0.25">
      <c r="A2462" s="15" t="s">
        <v>4313</v>
      </c>
      <c r="B2462" s="15" t="s">
        <v>4297</v>
      </c>
      <c r="C2462" s="52">
        <v>102.142493</v>
      </c>
      <c r="D2462" s="25">
        <v>0.10277777777777779</v>
      </c>
      <c r="E2462" s="53">
        <v>-23.307210000000001</v>
      </c>
      <c r="F2462" s="53">
        <v>-46.041981</v>
      </c>
      <c r="G2462" s="53">
        <v>-23.467075999999999</v>
      </c>
      <c r="H2462" s="53">
        <v>-46.505155000000002</v>
      </c>
      <c r="I2462" s="53">
        <v>-23.566524000000001</v>
      </c>
      <c r="J2462" s="53">
        <v>-46.658602000000002</v>
      </c>
      <c r="L2462" s="61" t="str">
        <f t="shared" si="39"/>
        <v>Cliente43-Cliente27</v>
      </c>
      <c r="M2462">
        <v>102.142493</v>
      </c>
    </row>
    <row r="2463" spans="1:13" x14ac:dyDescent="0.25">
      <c r="A2463" s="15" t="s">
        <v>4313</v>
      </c>
      <c r="B2463" s="15" t="s">
        <v>4298</v>
      </c>
      <c r="C2463" s="54">
        <v>101.847341</v>
      </c>
      <c r="D2463" s="26">
        <v>9.8611111111111108E-2</v>
      </c>
      <c r="E2463" s="55">
        <v>-23.238009999999999</v>
      </c>
      <c r="F2463" s="55">
        <v>-45.919735000000003</v>
      </c>
      <c r="G2463" s="55">
        <v>-23.398163</v>
      </c>
      <c r="H2463" s="55">
        <v>-46.297789000000002</v>
      </c>
      <c r="I2463" s="55">
        <v>-23.556331</v>
      </c>
      <c r="J2463" s="55">
        <v>-46.631183999999998</v>
      </c>
      <c r="L2463" s="61" t="str">
        <f t="shared" si="39"/>
        <v>Cliente43-Cliente28</v>
      </c>
      <c r="M2463">
        <v>101.847341</v>
      </c>
    </row>
    <row r="2464" spans="1:13" x14ac:dyDescent="0.25">
      <c r="A2464" s="15" t="s">
        <v>4313</v>
      </c>
      <c r="B2464" s="15" t="s">
        <v>4299</v>
      </c>
      <c r="C2464" s="52">
        <v>99.432064999999994</v>
      </c>
      <c r="D2464" s="25">
        <v>9.375E-2</v>
      </c>
      <c r="E2464" s="53">
        <v>-23.158128000000001</v>
      </c>
      <c r="F2464" s="53">
        <v>-45.797541000000002</v>
      </c>
      <c r="G2464" s="53">
        <v>-23.376688999999999</v>
      </c>
      <c r="H2464" s="53">
        <v>-46.249085999999998</v>
      </c>
      <c r="I2464" s="53">
        <v>-23.568307999999998</v>
      </c>
      <c r="J2464" s="53">
        <v>-46.573689999999999</v>
      </c>
      <c r="L2464" s="61" t="str">
        <f t="shared" si="39"/>
        <v>Cliente43-Cliente29</v>
      </c>
      <c r="M2464">
        <v>99.432064999999994</v>
      </c>
    </row>
    <row r="2465" spans="1:13" x14ac:dyDescent="0.25">
      <c r="A2465" s="15" t="s">
        <v>4313</v>
      </c>
      <c r="B2465" s="15" t="s">
        <v>4300</v>
      </c>
      <c r="C2465" s="54">
        <v>100.49399099999999</v>
      </c>
      <c r="D2465" s="26">
        <v>8.7500000000000008E-2</v>
      </c>
      <c r="E2465" s="55">
        <v>-23.300183000000001</v>
      </c>
      <c r="F2465" s="55">
        <v>-46.015455000000003</v>
      </c>
      <c r="G2465" s="55">
        <v>-23.440815000000001</v>
      </c>
      <c r="H2465" s="55">
        <v>-46.286879999999996</v>
      </c>
      <c r="I2465" s="55">
        <v>-23.635998000000001</v>
      </c>
      <c r="J2465" s="55">
        <v>-46.385821999999997</v>
      </c>
      <c r="L2465" s="61" t="str">
        <f t="shared" si="39"/>
        <v>Cliente43-Cliente30</v>
      </c>
      <c r="M2465">
        <v>100.49399099999999</v>
      </c>
    </row>
    <row r="2466" spans="1:13" x14ac:dyDescent="0.25">
      <c r="A2466" s="15" t="s">
        <v>4313</v>
      </c>
      <c r="B2466" s="15" t="s">
        <v>4301</v>
      </c>
      <c r="C2466" s="52">
        <v>114.496005</v>
      </c>
      <c r="D2466" s="25">
        <v>0.10625</v>
      </c>
      <c r="E2466" s="53">
        <v>-23.301573999999999</v>
      </c>
      <c r="F2466" s="53">
        <v>-46.023099999999999</v>
      </c>
      <c r="G2466" s="53">
        <v>-23.423829999999999</v>
      </c>
      <c r="H2466" s="53">
        <v>-46.399090000000001</v>
      </c>
      <c r="I2466" s="53">
        <v>-23.524556</v>
      </c>
      <c r="J2466" s="53">
        <v>-46.754387999999999</v>
      </c>
      <c r="L2466" s="61" t="str">
        <f t="shared" si="39"/>
        <v>Cliente43-Cliente31</v>
      </c>
      <c r="M2466">
        <v>114.496005</v>
      </c>
    </row>
    <row r="2467" spans="1:13" x14ac:dyDescent="0.25">
      <c r="A2467" s="15" t="s">
        <v>4313</v>
      </c>
      <c r="B2467" s="15" t="s">
        <v>4302</v>
      </c>
      <c r="C2467" s="54">
        <v>98.378838999999999</v>
      </c>
      <c r="D2467" s="26">
        <v>8.9583333333333334E-2</v>
      </c>
      <c r="E2467" s="55">
        <v>-23.075965</v>
      </c>
      <c r="F2467" s="55">
        <v>-45.653106000000001</v>
      </c>
      <c r="G2467" s="55">
        <v>-23.367366000000001</v>
      </c>
      <c r="H2467" s="55">
        <v>-46.232011</v>
      </c>
      <c r="I2467" s="55">
        <v>-23.522431999999998</v>
      </c>
      <c r="J2467" s="55">
        <v>-46.603338000000001</v>
      </c>
      <c r="L2467" s="61" t="str">
        <f t="shared" si="39"/>
        <v>Cliente43-Cliente32</v>
      </c>
      <c r="M2467">
        <v>98.378838999999999</v>
      </c>
    </row>
    <row r="2468" spans="1:13" x14ac:dyDescent="0.25">
      <c r="A2468" s="15" t="s">
        <v>4313</v>
      </c>
      <c r="B2468" s="15" t="s">
        <v>4303</v>
      </c>
      <c r="C2468" s="52">
        <v>88.444952999999998</v>
      </c>
      <c r="D2468" s="25">
        <v>7.9166666666666663E-2</v>
      </c>
      <c r="E2468" s="53">
        <v>-23.031718999999999</v>
      </c>
      <c r="F2468" s="53">
        <v>-45.549548999999999</v>
      </c>
      <c r="G2468" s="53">
        <v>-23.338882000000002</v>
      </c>
      <c r="H2468" s="53">
        <v>-46.150635000000001</v>
      </c>
      <c r="I2468" s="53">
        <v>-23.413035000000001</v>
      </c>
      <c r="J2468" s="53">
        <v>-46.362282999999998</v>
      </c>
      <c r="L2468" s="61" t="str">
        <f t="shared" si="39"/>
        <v>Cliente43-Cliente33</v>
      </c>
      <c r="M2468">
        <v>88.444952999999998</v>
      </c>
    </row>
    <row r="2469" spans="1:13" x14ac:dyDescent="0.25">
      <c r="A2469" s="15" t="s">
        <v>4313</v>
      </c>
      <c r="B2469" s="15" t="s">
        <v>4304</v>
      </c>
      <c r="C2469" s="54">
        <v>108.055476</v>
      </c>
      <c r="D2469" s="26">
        <v>0.1013888888888889</v>
      </c>
      <c r="E2469" s="55">
        <v>-23.302142</v>
      </c>
      <c r="F2469" s="55">
        <v>-46.025424000000001</v>
      </c>
      <c r="G2469" s="55">
        <v>-23.432136</v>
      </c>
      <c r="H2469" s="55">
        <v>-46.419510000000002</v>
      </c>
      <c r="I2469" s="55">
        <v>-23.521606999999999</v>
      </c>
      <c r="J2469" s="55">
        <v>-46.763976</v>
      </c>
      <c r="L2469" s="61" t="str">
        <f t="shared" si="39"/>
        <v>Cliente43-Cliente34</v>
      </c>
      <c r="M2469">
        <v>108.055476</v>
      </c>
    </row>
    <row r="2470" spans="1:13" x14ac:dyDescent="0.25">
      <c r="A2470" s="15" t="s">
        <v>4313</v>
      </c>
      <c r="B2470" s="15" t="s">
        <v>4305</v>
      </c>
      <c r="C2470" s="52">
        <v>108.65137300000001</v>
      </c>
      <c r="D2470" s="25">
        <v>0.10069444444444443</v>
      </c>
      <c r="E2470" s="53">
        <v>-23.299669999999999</v>
      </c>
      <c r="F2470" s="53">
        <v>-46.013658</v>
      </c>
      <c r="G2470" s="53">
        <v>-23.413035000000001</v>
      </c>
      <c r="H2470" s="53">
        <v>-46.362282999999998</v>
      </c>
      <c r="I2470" s="53">
        <v>-23.522960000000001</v>
      </c>
      <c r="J2470" s="53">
        <v>-46.749045000000002</v>
      </c>
      <c r="L2470" s="61" t="str">
        <f t="shared" si="39"/>
        <v>Cliente43-Cliente35</v>
      </c>
      <c r="M2470">
        <v>108.65137300000001</v>
      </c>
    </row>
    <row r="2471" spans="1:13" x14ac:dyDescent="0.25">
      <c r="A2471" s="15" t="s">
        <v>4313</v>
      </c>
      <c r="B2471" s="15" t="s">
        <v>4306</v>
      </c>
      <c r="C2471" s="54">
        <v>217.351212</v>
      </c>
      <c r="D2471" s="26">
        <v>0.17847222222222223</v>
      </c>
      <c r="E2471" s="55">
        <v>-23.197237000000001</v>
      </c>
      <c r="F2471" s="55">
        <v>-46.183689999999999</v>
      </c>
      <c r="G2471" s="55">
        <v>-23.028084</v>
      </c>
      <c r="H2471" s="55">
        <v>-46.748938000000003</v>
      </c>
      <c r="I2471" s="55">
        <v>-22.638641</v>
      </c>
      <c r="J2471" s="55">
        <v>-47.329670999999998</v>
      </c>
      <c r="L2471" s="61" t="str">
        <f t="shared" si="39"/>
        <v>Cliente43-Cliente36</v>
      </c>
      <c r="M2471">
        <v>217.351212</v>
      </c>
    </row>
    <row r="2472" spans="1:13" x14ac:dyDescent="0.25">
      <c r="A2472" s="15" t="s">
        <v>4313</v>
      </c>
      <c r="B2472" s="15" t="s">
        <v>4307</v>
      </c>
      <c r="C2472" s="52">
        <v>216.25448900000001</v>
      </c>
      <c r="D2472" s="25">
        <v>0.17708333333333334</v>
      </c>
      <c r="E2472" s="53">
        <v>-23.190270000000002</v>
      </c>
      <c r="F2472" s="53">
        <v>-46.189027000000003</v>
      </c>
      <c r="G2472" s="53">
        <v>-23.024882999999999</v>
      </c>
      <c r="H2472" s="53">
        <v>-46.751731999999997</v>
      </c>
      <c r="I2472" s="53">
        <v>-22.609055000000001</v>
      </c>
      <c r="J2472" s="53">
        <v>-47.359665999999997</v>
      </c>
      <c r="L2472" s="61" t="str">
        <f t="shared" si="39"/>
        <v>Cliente43-Cliente37</v>
      </c>
      <c r="M2472">
        <v>216.25448900000001</v>
      </c>
    </row>
    <row r="2473" spans="1:13" x14ac:dyDescent="0.25">
      <c r="A2473" s="15" t="s">
        <v>4313</v>
      </c>
      <c r="B2473" s="15" t="s">
        <v>4308</v>
      </c>
      <c r="C2473" s="54">
        <v>214.47798499999999</v>
      </c>
      <c r="D2473" s="26">
        <v>0.17500000000000002</v>
      </c>
      <c r="E2473" s="55">
        <v>-23.198744000000001</v>
      </c>
      <c r="F2473" s="55">
        <v>-46.179428999999999</v>
      </c>
      <c r="G2473" s="55">
        <v>-23.031542000000002</v>
      </c>
      <c r="H2473" s="55">
        <v>-46.734447000000003</v>
      </c>
      <c r="I2473" s="55">
        <v>-22.673173999999999</v>
      </c>
      <c r="J2473" s="55">
        <v>-47.311771</v>
      </c>
      <c r="L2473" s="61" t="str">
        <f t="shared" si="39"/>
        <v>Cliente43-Cliente38</v>
      </c>
      <c r="M2473">
        <v>214.47798499999999</v>
      </c>
    </row>
    <row r="2474" spans="1:13" x14ac:dyDescent="0.25">
      <c r="A2474" s="15" t="s">
        <v>4313</v>
      </c>
      <c r="B2474" s="15" t="s">
        <v>4309</v>
      </c>
      <c r="C2474" s="52">
        <v>7.8578799999999998</v>
      </c>
      <c r="D2474" s="25">
        <v>1.5277777777777777E-2</v>
      </c>
      <c r="E2474" s="53">
        <v>-22.976880999999999</v>
      </c>
      <c r="F2474" s="53">
        <v>-45.514800999999999</v>
      </c>
      <c r="G2474" s="53">
        <v>-23.003056999999998</v>
      </c>
      <c r="H2474" s="53">
        <v>-45.512286000000003</v>
      </c>
      <c r="I2474" s="53">
        <v>-23.019130000000001</v>
      </c>
      <c r="J2474" s="53">
        <v>-45.532760000000003</v>
      </c>
      <c r="L2474" s="61" t="str">
        <f t="shared" si="39"/>
        <v>Cliente43-Cliente39</v>
      </c>
      <c r="M2474">
        <v>7.8578799999999998</v>
      </c>
    </row>
    <row r="2475" spans="1:13" x14ac:dyDescent="0.25">
      <c r="A2475" s="15" t="s">
        <v>4313</v>
      </c>
      <c r="B2475" s="15" t="s">
        <v>4310</v>
      </c>
      <c r="C2475" s="54">
        <v>5.8694870000000003</v>
      </c>
      <c r="D2475" s="26">
        <v>1.0416666666666666E-2</v>
      </c>
      <c r="E2475" s="55">
        <v>-22.966920999999999</v>
      </c>
      <c r="F2475" s="55">
        <v>-45.504241999999998</v>
      </c>
      <c r="G2475" s="55">
        <v>-22.984690000000001</v>
      </c>
      <c r="H2475" s="55">
        <v>-45.514864000000003</v>
      </c>
      <c r="I2475" s="55">
        <v>-22.991123000000002</v>
      </c>
      <c r="J2475" s="55">
        <v>-45.534840000000003</v>
      </c>
      <c r="L2475" s="61" t="str">
        <f t="shared" si="39"/>
        <v>Cliente43-Cliente40</v>
      </c>
      <c r="M2475">
        <v>5.8694870000000003</v>
      </c>
    </row>
    <row r="2476" spans="1:13" x14ac:dyDescent="0.25">
      <c r="A2476" s="15" t="s">
        <v>4313</v>
      </c>
      <c r="B2476" s="15" t="s">
        <v>4311</v>
      </c>
      <c r="C2476" s="52">
        <v>22.276834000000001</v>
      </c>
      <c r="D2476" s="25">
        <v>2.7083333333333334E-2</v>
      </c>
      <c r="E2476" s="53">
        <v>-22.984894000000001</v>
      </c>
      <c r="F2476" s="53">
        <v>-45.515456999999998</v>
      </c>
      <c r="G2476" s="53">
        <v>-23.037704999999999</v>
      </c>
      <c r="H2476" s="53">
        <v>-45.558642999999996</v>
      </c>
      <c r="I2476" s="53">
        <v>-23.087011</v>
      </c>
      <c r="J2476" s="53">
        <v>-45.707093999999998</v>
      </c>
      <c r="L2476" s="61" t="str">
        <f t="shared" si="39"/>
        <v>Cliente43-Cliente41</v>
      </c>
      <c r="M2476">
        <v>22.276834000000001</v>
      </c>
    </row>
    <row r="2477" spans="1:13" x14ac:dyDescent="0.25">
      <c r="A2477" s="15" t="s">
        <v>4313</v>
      </c>
      <c r="B2477" s="15" t="s">
        <v>4312</v>
      </c>
      <c r="C2477" s="54">
        <v>20.453105000000001</v>
      </c>
      <c r="D2477" s="26">
        <v>2.2222222222222223E-2</v>
      </c>
      <c r="E2477" s="55">
        <v>-22.979106000000002</v>
      </c>
      <c r="F2477" s="55">
        <v>-45.514951000000003</v>
      </c>
      <c r="G2477" s="55">
        <v>-23.003995</v>
      </c>
      <c r="H2477" s="55">
        <v>-45.512534000000002</v>
      </c>
      <c r="I2477" s="55">
        <v>-23.114384999999999</v>
      </c>
      <c r="J2477" s="55">
        <v>-45.711047000000001</v>
      </c>
      <c r="L2477" s="61" t="str">
        <f t="shared" si="39"/>
        <v>Cliente43-Cliente42</v>
      </c>
      <c r="M2477">
        <v>20.453105000000001</v>
      </c>
    </row>
    <row r="2478" spans="1:13" x14ac:dyDescent="0.25">
      <c r="A2478" s="15" t="s">
        <v>4313</v>
      </c>
      <c r="B2478" s="15" t="s">
        <v>4313</v>
      </c>
      <c r="C2478" s="52">
        <v>0</v>
      </c>
      <c r="D2478" s="25">
        <v>0</v>
      </c>
      <c r="E2478" s="53">
        <f>'1. Locais'!D47</f>
        <v>-22.95467</v>
      </c>
      <c r="F2478" s="53">
        <f>'1. Locais'!E47</f>
        <v>-45.494889999999998</v>
      </c>
      <c r="G2478" s="53">
        <f>'1. Locais'!D47</f>
        <v>-22.95467</v>
      </c>
      <c r="H2478" s="53">
        <f>'1. Locais'!E47</f>
        <v>-45.494889999999998</v>
      </c>
      <c r="I2478" s="53">
        <f>'1. Locais'!D47</f>
        <v>-22.95467</v>
      </c>
      <c r="J2478" s="53">
        <f>'1. Locais'!E47</f>
        <v>-45.494889999999998</v>
      </c>
      <c r="L2478" s="61" t="str">
        <f t="shared" si="39"/>
        <v>Cliente43-Cliente43</v>
      </c>
      <c r="M2478">
        <v>0</v>
      </c>
    </row>
    <row r="2479" spans="1:13" x14ac:dyDescent="0.25">
      <c r="A2479" s="15" t="s">
        <v>4313</v>
      </c>
      <c r="B2479" s="15" t="s">
        <v>4314</v>
      </c>
      <c r="C2479" s="54">
        <v>161.357451</v>
      </c>
      <c r="D2479" s="26">
        <v>0.14027777777777778</v>
      </c>
      <c r="E2479" s="55">
        <v>-23.323710999999999</v>
      </c>
      <c r="F2479" s="55">
        <v>-46.120660999999998</v>
      </c>
      <c r="G2479" s="55">
        <v>-23.509692999999999</v>
      </c>
      <c r="H2479" s="55">
        <v>-46.683678</v>
      </c>
      <c r="I2479" s="55">
        <v>-23.428775000000002</v>
      </c>
      <c r="J2479" s="55">
        <v>-47.138109</v>
      </c>
      <c r="L2479" s="61" t="str">
        <f t="shared" si="39"/>
        <v>Cliente43-Cliente44</v>
      </c>
      <c r="M2479">
        <v>161.357451</v>
      </c>
    </row>
    <row r="2480" spans="1:13" x14ac:dyDescent="0.25">
      <c r="A2480" s="15" t="s">
        <v>4313</v>
      </c>
      <c r="B2480" s="15" t="s">
        <v>4315</v>
      </c>
      <c r="C2480" s="52">
        <v>165.65051500000001</v>
      </c>
      <c r="D2480" s="25">
        <v>0.14930555555555555</v>
      </c>
      <c r="E2480" s="53">
        <v>-23.352387</v>
      </c>
      <c r="F2480" s="53">
        <v>-46.183017999999997</v>
      </c>
      <c r="G2480" s="53">
        <v>-23.514762000000001</v>
      </c>
      <c r="H2480" s="53">
        <v>-46.727697999999997</v>
      </c>
      <c r="I2480" s="53">
        <v>-23.413698</v>
      </c>
      <c r="J2480" s="53">
        <v>-47.271191000000002</v>
      </c>
      <c r="L2480" s="61" t="str">
        <f t="shared" si="39"/>
        <v>Cliente43-Cliente45</v>
      </c>
      <c r="M2480">
        <v>165.65051500000001</v>
      </c>
    </row>
    <row r="2481" spans="1:13" x14ac:dyDescent="0.25">
      <c r="A2481" s="15" t="s">
        <v>4313</v>
      </c>
      <c r="B2481" s="15" t="s">
        <v>4316</v>
      </c>
      <c r="C2481" s="54">
        <v>163.757814</v>
      </c>
      <c r="D2481" s="26">
        <v>0.14583333333333334</v>
      </c>
      <c r="E2481" s="55">
        <v>-23.339831</v>
      </c>
      <c r="F2481" s="55">
        <v>-46.152166999999999</v>
      </c>
      <c r="G2481" s="55">
        <v>-23.507504000000001</v>
      </c>
      <c r="H2481" s="55">
        <v>-46.697887000000001</v>
      </c>
      <c r="I2481" s="55">
        <v>-23.419445</v>
      </c>
      <c r="J2481" s="55">
        <v>-47.198946999999997</v>
      </c>
      <c r="L2481" s="61" t="str">
        <f t="shared" si="39"/>
        <v>Cliente43-Cliente46</v>
      </c>
      <c r="M2481">
        <v>163.757814</v>
      </c>
    </row>
    <row r="2482" spans="1:13" x14ac:dyDescent="0.25">
      <c r="A2482" s="15" t="s">
        <v>4313</v>
      </c>
      <c r="B2482" s="15" t="s">
        <v>4317</v>
      </c>
      <c r="C2482" s="52">
        <v>277.83004199999999</v>
      </c>
      <c r="D2482" s="25">
        <v>0.22500000000000001</v>
      </c>
      <c r="E2482" s="53">
        <v>-23.164041999999998</v>
      </c>
      <c r="F2482" s="53">
        <v>-46.228105999999997</v>
      </c>
      <c r="G2482" s="53">
        <v>-22.95363</v>
      </c>
      <c r="H2482" s="53">
        <v>-46.859690000000001</v>
      </c>
      <c r="I2482" s="53">
        <v>-22.276413999999999</v>
      </c>
      <c r="J2482" s="53">
        <v>-46.974583000000003</v>
      </c>
      <c r="L2482" s="61" t="str">
        <f t="shared" si="39"/>
        <v>Cliente43-Cliente47</v>
      </c>
      <c r="M2482">
        <v>277.83004199999999</v>
      </c>
    </row>
    <row r="2483" spans="1:13" x14ac:dyDescent="0.25">
      <c r="A2483" s="15" t="s">
        <v>4313</v>
      </c>
      <c r="B2483" s="15" t="s">
        <v>4318</v>
      </c>
      <c r="C2483" s="54">
        <v>286.94123100000002</v>
      </c>
      <c r="D2483" s="26">
        <v>0.23333333333333331</v>
      </c>
      <c r="E2483" s="55">
        <v>-23.175599999999999</v>
      </c>
      <c r="F2483" s="55">
        <v>-46.254511000000001</v>
      </c>
      <c r="G2483" s="55">
        <v>-22.93197</v>
      </c>
      <c r="H2483" s="55">
        <v>-46.934762999999997</v>
      </c>
      <c r="I2483" s="55">
        <v>-22.022407999999999</v>
      </c>
      <c r="J2483" s="55">
        <v>-47.099854999999998</v>
      </c>
      <c r="L2483" s="61" t="str">
        <f t="shared" si="39"/>
        <v>Cliente43-Cliente48</v>
      </c>
      <c r="M2483">
        <v>286.94123100000002</v>
      </c>
    </row>
    <row r="2484" spans="1:13" x14ac:dyDescent="0.25">
      <c r="A2484" s="15" t="s">
        <v>4313</v>
      </c>
      <c r="B2484" s="15" t="s">
        <v>4319</v>
      </c>
      <c r="C2484" s="52">
        <v>280.57899500000002</v>
      </c>
      <c r="D2484" s="25">
        <v>0.22916666666666666</v>
      </c>
      <c r="E2484" s="53">
        <v>-23.172630999999999</v>
      </c>
      <c r="F2484" s="53">
        <v>-46.249164</v>
      </c>
      <c r="G2484" s="53">
        <v>-22.930872999999998</v>
      </c>
      <c r="H2484" s="53">
        <v>-46.901926000000003</v>
      </c>
      <c r="I2484" s="53">
        <v>-22.05611</v>
      </c>
      <c r="J2484" s="53">
        <v>-47.028613</v>
      </c>
      <c r="L2484" s="61" t="str">
        <f t="shared" si="39"/>
        <v>Cliente43-Cliente49</v>
      </c>
      <c r="M2484">
        <v>280.57899500000002</v>
      </c>
    </row>
    <row r="2485" spans="1:13" x14ac:dyDescent="0.25">
      <c r="A2485" s="15" t="s">
        <v>4313</v>
      </c>
      <c r="B2485" s="15" t="s">
        <v>4320</v>
      </c>
      <c r="C2485" s="54">
        <v>297.47846900000002</v>
      </c>
      <c r="D2485" s="26">
        <v>0.24305555555555555</v>
      </c>
      <c r="E2485" s="55">
        <v>-23.180109999999999</v>
      </c>
      <c r="F2485" s="55">
        <v>-46.322183000000003</v>
      </c>
      <c r="G2485" s="55">
        <v>-22.857437000000001</v>
      </c>
      <c r="H2485" s="55">
        <v>-47.14237</v>
      </c>
      <c r="I2485" s="55">
        <v>-22.275791000000002</v>
      </c>
      <c r="J2485" s="55">
        <v>-47.973154000000001</v>
      </c>
      <c r="L2485" s="61" t="str">
        <f t="shared" si="39"/>
        <v>Cliente43-Cliente50</v>
      </c>
      <c r="M2485">
        <v>297.47846900000002</v>
      </c>
    </row>
    <row r="2486" spans="1:13" x14ac:dyDescent="0.25">
      <c r="A2486" s="15" t="s">
        <v>4313</v>
      </c>
      <c r="B2486" s="15" t="s">
        <v>4321</v>
      </c>
      <c r="C2486" s="52">
        <v>291.13363199999998</v>
      </c>
      <c r="D2486" s="25">
        <v>0.2388888888888889</v>
      </c>
      <c r="E2486" s="53">
        <v>-23.182054999999998</v>
      </c>
      <c r="F2486" s="53">
        <v>-46.308515</v>
      </c>
      <c r="G2486" s="53">
        <v>-22.896228000000001</v>
      </c>
      <c r="H2486" s="53">
        <v>-47.006818000000003</v>
      </c>
      <c r="I2486" s="53">
        <v>-22.224229000000001</v>
      </c>
      <c r="J2486" s="53">
        <v>-47.777183999999998</v>
      </c>
      <c r="L2486" s="61" t="str">
        <f t="shared" si="39"/>
        <v>Cliente43-Cliente51</v>
      </c>
      <c r="M2486">
        <v>291.13363199999998</v>
      </c>
    </row>
    <row r="2487" spans="1:13" x14ac:dyDescent="0.25">
      <c r="A2487" s="15" t="s">
        <v>4314</v>
      </c>
      <c r="B2487" s="15" t="s">
        <v>4268</v>
      </c>
      <c r="C2487" s="54">
        <v>26.515217</v>
      </c>
      <c r="D2487" s="26">
        <v>2.7777777777777776E-2</v>
      </c>
      <c r="E2487" s="55">
        <v>-23.495746</v>
      </c>
      <c r="F2487" s="55">
        <v>-47.457503000000003</v>
      </c>
      <c r="G2487" s="55">
        <v>-23.480259</v>
      </c>
      <c r="H2487" s="55">
        <v>-47.439433000000001</v>
      </c>
      <c r="I2487" s="55">
        <v>-23.300086</v>
      </c>
      <c r="J2487" s="55">
        <v>-47.331899999999997</v>
      </c>
      <c r="L2487" s="61" t="str">
        <f t="shared" si="39"/>
        <v>Cliente44-depósito A</v>
      </c>
      <c r="M2487">
        <v>26.515217</v>
      </c>
    </row>
    <row r="2488" spans="1:13" x14ac:dyDescent="0.25">
      <c r="A2488" s="15" t="s">
        <v>4314</v>
      </c>
      <c r="B2488" s="15" t="s">
        <v>4269</v>
      </c>
      <c r="C2488" s="52">
        <v>150.13111000000001</v>
      </c>
      <c r="D2488" s="25">
        <v>0.1277777777777778</v>
      </c>
      <c r="E2488" s="53">
        <v>-23.197181</v>
      </c>
      <c r="F2488" s="53">
        <v>-47.324015000000003</v>
      </c>
      <c r="G2488" s="53">
        <v>-22.707574999999999</v>
      </c>
      <c r="H2488" s="53">
        <v>-47.611640999999999</v>
      </c>
      <c r="I2488" s="53">
        <v>-22.312868999999999</v>
      </c>
      <c r="J2488" s="53">
        <v>-47.664707999999997</v>
      </c>
      <c r="L2488" s="61" t="str">
        <f t="shared" si="39"/>
        <v>Cliente44-depósito B</v>
      </c>
      <c r="M2488">
        <v>150.13111000000001</v>
      </c>
    </row>
    <row r="2489" spans="1:13" x14ac:dyDescent="0.25">
      <c r="A2489" s="15" t="s">
        <v>4314</v>
      </c>
      <c r="B2489" s="15" t="s">
        <v>4270</v>
      </c>
      <c r="C2489" s="54">
        <v>109.95687700000001</v>
      </c>
      <c r="D2489" s="26">
        <v>0.10069444444444443</v>
      </c>
      <c r="E2489" s="55">
        <v>-23.418626</v>
      </c>
      <c r="F2489" s="55">
        <v>-47.216392999999997</v>
      </c>
      <c r="G2489" s="55">
        <v>-23.525493000000001</v>
      </c>
      <c r="H2489" s="55">
        <v>-46.747509999999998</v>
      </c>
      <c r="I2489" s="55">
        <v>-23.399701</v>
      </c>
      <c r="J2489" s="55">
        <v>-46.301403999999998</v>
      </c>
      <c r="L2489" s="61" t="str">
        <f t="shared" si="39"/>
        <v>Cliente44-depósito C</v>
      </c>
      <c r="M2489">
        <v>109.95687700000001</v>
      </c>
    </row>
    <row r="2490" spans="1:13" x14ac:dyDescent="0.25">
      <c r="A2490" s="15" t="s">
        <v>4314</v>
      </c>
      <c r="B2490" s="15" t="s">
        <v>4271</v>
      </c>
      <c r="C2490" s="52">
        <v>58.602283999999997</v>
      </c>
      <c r="D2490" s="25">
        <v>5.486111111111111E-2</v>
      </c>
      <c r="E2490" s="53">
        <v>-23.480114</v>
      </c>
      <c r="F2490" s="53">
        <v>-47.439584000000004</v>
      </c>
      <c r="G2490" s="53">
        <v>-23.177610999999999</v>
      </c>
      <c r="H2490" s="53">
        <v>-47.273318000000003</v>
      </c>
      <c r="I2490" s="53">
        <v>-23.016068000000001</v>
      </c>
      <c r="J2490" s="53">
        <v>-47.084893000000001</v>
      </c>
      <c r="L2490" s="61" t="str">
        <f t="shared" si="39"/>
        <v>Cliente44-Cliente1</v>
      </c>
      <c r="M2490">
        <v>58.602283999999997</v>
      </c>
    </row>
    <row r="2491" spans="1:13" x14ac:dyDescent="0.25">
      <c r="A2491" s="15" t="s">
        <v>4314</v>
      </c>
      <c r="B2491" s="15" t="s">
        <v>4272</v>
      </c>
      <c r="C2491" s="54">
        <v>58.133147999999998</v>
      </c>
      <c r="D2491" s="26">
        <v>5.6250000000000001E-2</v>
      </c>
      <c r="E2491" s="55">
        <v>-23.480114</v>
      </c>
      <c r="F2491" s="55">
        <v>-47.439584000000004</v>
      </c>
      <c r="G2491" s="55">
        <v>-23.177906</v>
      </c>
      <c r="H2491" s="55">
        <v>-47.27366</v>
      </c>
      <c r="I2491" s="55">
        <v>-22.931422999999999</v>
      </c>
      <c r="J2491" s="55">
        <v>-47.071187999999999</v>
      </c>
      <c r="L2491" s="61" t="str">
        <f t="shared" si="39"/>
        <v>Cliente44-Cliente2</v>
      </c>
      <c r="M2491">
        <v>58.133147999999998</v>
      </c>
    </row>
    <row r="2492" spans="1:13" x14ac:dyDescent="0.25">
      <c r="A2492" s="15" t="s">
        <v>4314</v>
      </c>
      <c r="B2492" s="15" t="s">
        <v>4273</v>
      </c>
      <c r="C2492" s="52">
        <v>57.650962999999997</v>
      </c>
      <c r="D2492" s="25">
        <v>5.6250000000000001E-2</v>
      </c>
      <c r="E2492" s="53">
        <v>-23.481074</v>
      </c>
      <c r="F2492" s="53">
        <v>-47.439217999999997</v>
      </c>
      <c r="G2492" s="53">
        <v>-23.179276000000002</v>
      </c>
      <c r="H2492" s="53">
        <v>-47.295191000000003</v>
      </c>
      <c r="I2492" s="53">
        <v>-22.936384</v>
      </c>
      <c r="J2492" s="53">
        <v>-47.083995000000002</v>
      </c>
      <c r="L2492" s="61" t="str">
        <f t="shared" si="39"/>
        <v>Cliente44-Cliente3</v>
      </c>
      <c r="M2492">
        <v>57.650962999999997</v>
      </c>
    </row>
    <row r="2493" spans="1:13" x14ac:dyDescent="0.25">
      <c r="A2493" s="15" t="s">
        <v>4314</v>
      </c>
      <c r="B2493" s="15" t="s">
        <v>4274</v>
      </c>
      <c r="C2493" s="54">
        <v>65.862403</v>
      </c>
      <c r="D2493" s="26">
        <v>6.1111111111111116E-2</v>
      </c>
      <c r="E2493" s="55">
        <v>-23.479261999999999</v>
      </c>
      <c r="F2493" s="55">
        <v>-47.441333999999998</v>
      </c>
      <c r="G2493" s="55">
        <v>-23.141978999999999</v>
      </c>
      <c r="H2493" s="55">
        <v>-47.247895999999997</v>
      </c>
      <c r="I2493" s="55">
        <v>-22.912247000000001</v>
      </c>
      <c r="J2493" s="55">
        <v>-47.136132000000003</v>
      </c>
      <c r="L2493" s="61" t="str">
        <f t="shared" si="39"/>
        <v>Cliente44-Cliente4</v>
      </c>
      <c r="M2493">
        <v>65.862403</v>
      </c>
    </row>
    <row r="2494" spans="1:13" x14ac:dyDescent="0.25">
      <c r="A2494" s="15" t="s">
        <v>4314</v>
      </c>
      <c r="B2494" s="15" t="s">
        <v>4275</v>
      </c>
      <c r="C2494" s="52">
        <v>65.955608999999995</v>
      </c>
      <c r="D2494" s="25">
        <v>6.1805555555555558E-2</v>
      </c>
      <c r="E2494" s="53">
        <v>-23.479583999999999</v>
      </c>
      <c r="F2494" s="53">
        <v>-47.441490000000002</v>
      </c>
      <c r="G2494" s="53">
        <v>-23.161487000000001</v>
      </c>
      <c r="H2494" s="53">
        <v>-47.263710000000003</v>
      </c>
      <c r="I2494" s="53">
        <v>-22.921012000000001</v>
      </c>
      <c r="J2494" s="53">
        <v>-47.132838</v>
      </c>
      <c r="L2494" s="61" t="str">
        <f t="shared" si="39"/>
        <v>Cliente44-Cliente5</v>
      </c>
      <c r="M2494">
        <v>65.955608999999995</v>
      </c>
    </row>
    <row r="2495" spans="1:13" x14ac:dyDescent="0.25">
      <c r="A2495" s="15" t="s">
        <v>4314</v>
      </c>
      <c r="B2495" s="15" t="s">
        <v>4276</v>
      </c>
      <c r="C2495" s="54">
        <v>59.293250999999998</v>
      </c>
      <c r="D2495" s="26">
        <v>5.486111111111111E-2</v>
      </c>
      <c r="E2495" s="55">
        <v>-23.480114</v>
      </c>
      <c r="F2495" s="55">
        <v>-47.439584000000004</v>
      </c>
      <c r="G2495" s="55">
        <v>-23.177610999999999</v>
      </c>
      <c r="H2495" s="55">
        <v>-47.273318000000003</v>
      </c>
      <c r="I2495" s="55">
        <v>-23.016068000000001</v>
      </c>
      <c r="J2495" s="55">
        <v>-47.084893000000001</v>
      </c>
      <c r="L2495" s="61" t="str">
        <f t="shared" si="39"/>
        <v>Cliente44-Cliente6</v>
      </c>
      <c r="M2495">
        <v>59.293250999999998</v>
      </c>
    </row>
    <row r="2496" spans="1:13" x14ac:dyDescent="0.25">
      <c r="A2496" s="15" t="s">
        <v>4314</v>
      </c>
      <c r="B2496" s="15" t="s">
        <v>4277</v>
      </c>
      <c r="C2496" s="52">
        <v>53.456074999999998</v>
      </c>
      <c r="D2496" s="25">
        <v>4.9999999999999996E-2</v>
      </c>
      <c r="E2496" s="53">
        <v>-23.496102</v>
      </c>
      <c r="F2496" s="53">
        <v>-47.450448000000002</v>
      </c>
      <c r="G2496" s="53">
        <v>-23.263227000000001</v>
      </c>
      <c r="H2496" s="53">
        <v>-47.324157</v>
      </c>
      <c r="I2496" s="53">
        <v>-23.079518</v>
      </c>
      <c r="J2496" s="53">
        <v>-47.171480000000003</v>
      </c>
      <c r="L2496" s="61" t="str">
        <f t="shared" si="39"/>
        <v>Cliente44-Cliente7</v>
      </c>
      <c r="M2496">
        <v>53.456074999999998</v>
      </c>
    </row>
    <row r="2497" spans="1:13" x14ac:dyDescent="0.25">
      <c r="A2497" s="15" t="s">
        <v>4314</v>
      </c>
      <c r="B2497" s="15" t="s">
        <v>4278</v>
      </c>
      <c r="C2497" s="54">
        <v>66.723004000000003</v>
      </c>
      <c r="D2497" s="26">
        <v>6.1805555555555558E-2</v>
      </c>
      <c r="E2497" s="55">
        <v>-23.409891999999999</v>
      </c>
      <c r="F2497" s="55">
        <v>-47.340181000000001</v>
      </c>
      <c r="G2497" s="55">
        <v>-23.034230999999998</v>
      </c>
      <c r="H2497" s="55">
        <v>-47.133626999999997</v>
      </c>
      <c r="I2497" s="55">
        <v>-22.933881</v>
      </c>
      <c r="J2497" s="55">
        <v>-47.010176999999999</v>
      </c>
      <c r="L2497" s="61" t="str">
        <f t="shared" si="39"/>
        <v>Cliente44-Cliente8</v>
      </c>
      <c r="M2497">
        <v>66.723004000000003</v>
      </c>
    </row>
    <row r="2498" spans="1:13" x14ac:dyDescent="0.25">
      <c r="A2498" s="15" t="s">
        <v>4314</v>
      </c>
      <c r="B2498" s="15" t="s">
        <v>4279</v>
      </c>
      <c r="C2498" s="52">
        <v>74.460337999999993</v>
      </c>
      <c r="D2498" s="25">
        <v>6.9444444444444434E-2</v>
      </c>
      <c r="E2498" s="53">
        <v>-23.455164</v>
      </c>
      <c r="F2498" s="53">
        <v>-47.401325999999997</v>
      </c>
      <c r="G2498" s="53">
        <v>-23.079518</v>
      </c>
      <c r="H2498" s="53">
        <v>-47.171480000000003</v>
      </c>
      <c r="I2498" s="53">
        <v>-22.870587</v>
      </c>
      <c r="J2498" s="53">
        <v>-47.131515</v>
      </c>
      <c r="L2498" s="61" t="str">
        <f t="shared" si="39"/>
        <v>Cliente44-Cliente9</v>
      </c>
      <c r="M2498">
        <v>74.460337999999993</v>
      </c>
    </row>
    <row r="2499" spans="1:13" x14ac:dyDescent="0.25">
      <c r="A2499" s="15" t="s">
        <v>4314</v>
      </c>
      <c r="B2499" s="15" t="s">
        <v>4280</v>
      </c>
      <c r="C2499" s="54">
        <v>63.710588999999999</v>
      </c>
      <c r="D2499" s="26">
        <v>6.5972222222222224E-2</v>
      </c>
      <c r="E2499" s="55">
        <v>-23.402187000000001</v>
      </c>
      <c r="F2499" s="55">
        <v>-47.334135000000003</v>
      </c>
      <c r="G2499" s="55">
        <v>-23.463502999999999</v>
      </c>
      <c r="H2499" s="55">
        <v>-47.031528999999999</v>
      </c>
      <c r="I2499" s="55">
        <v>-23.518380000000001</v>
      </c>
      <c r="J2499" s="55">
        <v>-46.743850999999999</v>
      </c>
      <c r="L2499" s="61" t="str">
        <f t="shared" si="39"/>
        <v>Cliente44-Cliente10</v>
      </c>
      <c r="M2499">
        <v>63.710588999999999</v>
      </c>
    </row>
    <row r="2500" spans="1:13" x14ac:dyDescent="0.25">
      <c r="A2500" s="15" t="s">
        <v>4314</v>
      </c>
      <c r="B2500" s="15" t="s">
        <v>4281</v>
      </c>
      <c r="C2500" s="52">
        <v>65.797780000000003</v>
      </c>
      <c r="D2500" s="25">
        <v>6.0416666666666667E-2</v>
      </c>
      <c r="E2500" s="53">
        <v>-23.489903000000002</v>
      </c>
      <c r="F2500" s="53">
        <v>-47.440365</v>
      </c>
      <c r="G2500" s="53">
        <v>-23.235914000000001</v>
      </c>
      <c r="H2500" s="53">
        <v>-47.315953</v>
      </c>
      <c r="I2500" s="53">
        <v>-22.922533999999999</v>
      </c>
      <c r="J2500" s="53">
        <v>-47.500495999999998</v>
      </c>
      <c r="L2500" s="61" t="str">
        <f t="shared" si="39"/>
        <v>Cliente44-Cliente11</v>
      </c>
      <c r="M2500">
        <v>65.797780000000003</v>
      </c>
    </row>
    <row r="2501" spans="1:13" x14ac:dyDescent="0.25">
      <c r="A2501" s="15" t="s">
        <v>4314</v>
      </c>
      <c r="B2501" s="15" t="s">
        <v>4282</v>
      </c>
      <c r="C2501" s="54">
        <v>108.998099</v>
      </c>
      <c r="D2501" s="26">
        <v>0.10069444444444443</v>
      </c>
      <c r="E2501" s="55">
        <v>-23.423338000000001</v>
      </c>
      <c r="F2501" s="55">
        <v>-47.151088999999999</v>
      </c>
      <c r="G2501" s="55">
        <v>-23.521049999999999</v>
      </c>
      <c r="H2501" s="55">
        <v>-46.746671999999997</v>
      </c>
      <c r="I2501" s="55">
        <v>-23.394511999999999</v>
      </c>
      <c r="J2501" s="55">
        <v>-46.288277999999998</v>
      </c>
      <c r="L2501" s="61" t="str">
        <f t="shared" si="39"/>
        <v>Cliente44-Cliente12</v>
      </c>
      <c r="M2501">
        <v>108.998099</v>
      </c>
    </row>
    <row r="2502" spans="1:13" x14ac:dyDescent="0.25">
      <c r="A2502" s="15" t="s">
        <v>4314</v>
      </c>
      <c r="B2502" s="15" t="s">
        <v>4283</v>
      </c>
      <c r="C2502" s="52">
        <v>116.882076</v>
      </c>
      <c r="D2502" s="25">
        <v>0.10625</v>
      </c>
      <c r="E2502" s="53">
        <v>-23.428629000000001</v>
      </c>
      <c r="F2502" s="53">
        <v>-47.139819000000003</v>
      </c>
      <c r="G2502" s="53">
        <v>-23.517824999999998</v>
      </c>
      <c r="H2502" s="53">
        <v>-46.731133999999997</v>
      </c>
      <c r="I2502" s="53">
        <v>-23.369465000000002</v>
      </c>
      <c r="J2502" s="53">
        <v>-46.239342999999998</v>
      </c>
      <c r="L2502" s="61" t="str">
        <f t="shared" si="39"/>
        <v>Cliente44-Cliente13</v>
      </c>
      <c r="M2502">
        <v>116.882076</v>
      </c>
    </row>
    <row r="2503" spans="1:13" x14ac:dyDescent="0.25">
      <c r="A2503" s="15" t="s">
        <v>4314</v>
      </c>
      <c r="B2503" s="15" t="s">
        <v>4284</v>
      </c>
      <c r="C2503" s="54">
        <v>114.944636</v>
      </c>
      <c r="D2503" s="26">
        <v>0.10347222222222223</v>
      </c>
      <c r="E2503" s="55">
        <v>-23.418710000000001</v>
      </c>
      <c r="F2503" s="55">
        <v>-47.218232999999998</v>
      </c>
      <c r="G2503" s="55">
        <v>-23.526458000000002</v>
      </c>
      <c r="H2503" s="55">
        <v>-46.748004000000002</v>
      </c>
      <c r="I2503" s="55">
        <v>-23.402647000000002</v>
      </c>
      <c r="J2503" s="55">
        <v>-46.317950000000003</v>
      </c>
      <c r="L2503" s="61" t="str">
        <f t="shared" si="39"/>
        <v>Cliente44-Cliente14</v>
      </c>
      <c r="M2503">
        <v>114.944636</v>
      </c>
    </row>
    <row r="2504" spans="1:13" x14ac:dyDescent="0.25">
      <c r="A2504" s="15" t="s">
        <v>4314</v>
      </c>
      <c r="B2504" s="15" t="s">
        <v>4285</v>
      </c>
      <c r="C2504" s="52">
        <v>118.677222</v>
      </c>
      <c r="D2504" s="25">
        <v>0.1111111111111111</v>
      </c>
      <c r="E2504" s="53">
        <v>-23.436405000000001</v>
      </c>
      <c r="F2504" s="53">
        <v>-47.119414999999996</v>
      </c>
      <c r="G2504" s="53">
        <v>-23.513106000000001</v>
      </c>
      <c r="H2504" s="53">
        <v>-46.680301999999998</v>
      </c>
      <c r="I2504" s="53">
        <v>-23.346274000000001</v>
      </c>
      <c r="J2504" s="53">
        <v>-46.16413</v>
      </c>
      <c r="L2504" s="61" t="str">
        <f t="shared" si="39"/>
        <v>Cliente44-Cliente15</v>
      </c>
      <c r="M2504">
        <v>118.677222</v>
      </c>
    </row>
    <row r="2505" spans="1:13" x14ac:dyDescent="0.25">
      <c r="A2505" s="15" t="s">
        <v>4314</v>
      </c>
      <c r="B2505" s="15" t="s">
        <v>4286</v>
      </c>
      <c r="C2505" s="54">
        <v>116.253868</v>
      </c>
      <c r="D2505" s="26">
        <v>0.1076388888888889</v>
      </c>
      <c r="E2505" s="55">
        <v>-23.428979000000002</v>
      </c>
      <c r="F2505" s="55">
        <v>-47.137681999999998</v>
      </c>
      <c r="G2505" s="55">
        <v>-23.513279000000001</v>
      </c>
      <c r="H2505" s="55">
        <v>-46.723036999999998</v>
      </c>
      <c r="I2505" s="55">
        <v>-23.369211</v>
      </c>
      <c r="J2505" s="55">
        <v>-46.236528</v>
      </c>
      <c r="L2505" s="61" t="str">
        <f t="shared" si="39"/>
        <v>Cliente44-Cliente16</v>
      </c>
      <c r="M2505">
        <v>116.253868</v>
      </c>
    </row>
    <row r="2506" spans="1:13" x14ac:dyDescent="0.25">
      <c r="A2506" s="15" t="s">
        <v>4314</v>
      </c>
      <c r="B2506" s="15" t="s">
        <v>4287</v>
      </c>
      <c r="C2506" s="52">
        <v>117.30958</v>
      </c>
      <c r="D2506" s="25">
        <v>0.10625</v>
      </c>
      <c r="E2506" s="53">
        <v>-23.428629000000001</v>
      </c>
      <c r="F2506" s="53">
        <v>-47.139819000000003</v>
      </c>
      <c r="G2506" s="53">
        <v>-23.517824999999998</v>
      </c>
      <c r="H2506" s="53">
        <v>-46.731133999999997</v>
      </c>
      <c r="I2506" s="53">
        <v>-23.369465000000002</v>
      </c>
      <c r="J2506" s="53">
        <v>-46.239342999999998</v>
      </c>
      <c r="L2506" s="61" t="str">
        <f t="shared" si="39"/>
        <v>Cliente44-Cliente17</v>
      </c>
      <c r="M2506">
        <v>117.30958</v>
      </c>
    </row>
    <row r="2507" spans="1:13" x14ac:dyDescent="0.25">
      <c r="A2507" s="15" t="s">
        <v>4314</v>
      </c>
      <c r="B2507" s="15" t="s">
        <v>4288</v>
      </c>
      <c r="C2507" s="54">
        <v>122.137646</v>
      </c>
      <c r="D2507" s="26">
        <v>0.11041666666666666</v>
      </c>
      <c r="E2507" s="55">
        <v>-23.423883</v>
      </c>
      <c r="F2507" s="55">
        <v>-47.149203999999997</v>
      </c>
      <c r="G2507" s="55">
        <v>-23.52008</v>
      </c>
      <c r="H2507" s="55">
        <v>-46.746032</v>
      </c>
      <c r="I2507" s="55">
        <v>-23.378776999999999</v>
      </c>
      <c r="J2507" s="55">
        <v>-46.256095000000002</v>
      </c>
      <c r="L2507" s="61" t="str">
        <f t="shared" si="39"/>
        <v>Cliente44-Cliente18</v>
      </c>
      <c r="M2507">
        <v>122.137646</v>
      </c>
    </row>
    <row r="2508" spans="1:13" x14ac:dyDescent="0.25">
      <c r="A2508" s="15" t="s">
        <v>4314</v>
      </c>
      <c r="B2508" s="15" t="s">
        <v>4289</v>
      </c>
      <c r="C2508" s="52">
        <v>60.51052</v>
      </c>
      <c r="D2508" s="25">
        <v>5.6944444444444443E-2</v>
      </c>
      <c r="E2508" s="53">
        <v>-23.463605999999999</v>
      </c>
      <c r="F2508" s="53">
        <v>-47.413784999999997</v>
      </c>
      <c r="G2508" s="53">
        <v>-23.439533000000001</v>
      </c>
      <c r="H2508" s="53">
        <v>-47.108710000000002</v>
      </c>
      <c r="I2508" s="53">
        <v>-23.506001999999999</v>
      </c>
      <c r="J2508" s="53">
        <v>-46.848970000000001</v>
      </c>
      <c r="L2508" s="61" t="str">
        <f t="shared" si="39"/>
        <v>Cliente44-Cliente19</v>
      </c>
      <c r="M2508">
        <v>60.51052</v>
      </c>
    </row>
    <row r="2509" spans="1:13" x14ac:dyDescent="0.25">
      <c r="A2509" s="15" t="s">
        <v>4314</v>
      </c>
      <c r="B2509" s="15" t="s">
        <v>4290</v>
      </c>
      <c r="C2509" s="54">
        <v>57.027104000000001</v>
      </c>
      <c r="D2509" s="26">
        <v>5.5555555555555552E-2</v>
      </c>
      <c r="E2509" s="55">
        <v>-23.479980999999999</v>
      </c>
      <c r="F2509" s="55">
        <v>-47.440835999999997</v>
      </c>
      <c r="G2509" s="55">
        <v>-23.429188</v>
      </c>
      <c r="H2509" s="55">
        <v>-47.131368999999999</v>
      </c>
      <c r="I2509" s="55">
        <v>-23.517484</v>
      </c>
      <c r="J2509" s="55">
        <v>-46.933306999999999</v>
      </c>
      <c r="L2509" s="61" t="str">
        <f t="shared" si="39"/>
        <v>Cliente44-Cliente20</v>
      </c>
      <c r="M2509">
        <v>57.027104000000001</v>
      </c>
    </row>
    <row r="2510" spans="1:13" x14ac:dyDescent="0.25">
      <c r="A2510" s="15" t="s">
        <v>4314</v>
      </c>
      <c r="B2510" s="15" t="s">
        <v>4291</v>
      </c>
      <c r="C2510" s="52">
        <v>57.569563000000002</v>
      </c>
      <c r="D2510" s="25">
        <v>5.5555555555555552E-2</v>
      </c>
      <c r="E2510" s="53">
        <v>-23.479261999999999</v>
      </c>
      <c r="F2510" s="53">
        <v>-47.441333999999998</v>
      </c>
      <c r="G2510" s="53">
        <v>-23.438023999999999</v>
      </c>
      <c r="H2510" s="53">
        <v>-47.116017999999997</v>
      </c>
      <c r="I2510" s="53">
        <v>-23.505002000000001</v>
      </c>
      <c r="J2510" s="53">
        <v>-46.876255999999998</v>
      </c>
      <c r="L2510" s="61" t="str">
        <f t="shared" si="39"/>
        <v>Cliente44-Cliente21</v>
      </c>
      <c r="M2510">
        <v>57.569563000000002</v>
      </c>
    </row>
    <row r="2511" spans="1:13" x14ac:dyDescent="0.25">
      <c r="A2511" s="15" t="s">
        <v>4314</v>
      </c>
      <c r="B2511" s="15" t="s">
        <v>4292</v>
      </c>
      <c r="C2511" s="54">
        <v>58.832813000000002</v>
      </c>
      <c r="D2511" s="26">
        <v>5.9027777777777783E-2</v>
      </c>
      <c r="E2511" s="55">
        <v>-23.416740000000001</v>
      </c>
      <c r="F2511" s="55">
        <v>-47.346693999999999</v>
      </c>
      <c r="G2511" s="55">
        <v>-23.436395999999998</v>
      </c>
      <c r="H2511" s="55">
        <v>-47.076810000000002</v>
      </c>
      <c r="I2511" s="55">
        <v>-23.518878999999998</v>
      </c>
      <c r="J2511" s="55">
        <v>-46.785621999999996</v>
      </c>
      <c r="L2511" s="61" t="str">
        <f t="shared" si="39"/>
        <v>Cliente44-Cliente22</v>
      </c>
      <c r="M2511">
        <v>58.832813000000002</v>
      </c>
    </row>
    <row r="2512" spans="1:13" x14ac:dyDescent="0.25">
      <c r="A2512" s="15" t="s">
        <v>4314</v>
      </c>
      <c r="B2512" s="15" t="s">
        <v>4293</v>
      </c>
      <c r="C2512" s="52">
        <v>62.577205999999997</v>
      </c>
      <c r="D2512" s="25">
        <v>6.1111111111111116E-2</v>
      </c>
      <c r="E2512" s="53">
        <v>-23.402505000000001</v>
      </c>
      <c r="F2512" s="53">
        <v>-47.327942</v>
      </c>
      <c r="G2512" s="53">
        <v>-23.47306</v>
      </c>
      <c r="H2512" s="53">
        <v>-47.006169999999997</v>
      </c>
      <c r="I2512" s="53">
        <v>-23.565211000000001</v>
      </c>
      <c r="J2512" s="53">
        <v>-46.819788000000003</v>
      </c>
      <c r="L2512" s="61" t="str">
        <f t="shared" si="39"/>
        <v>Cliente44-Cliente23</v>
      </c>
      <c r="M2512">
        <v>62.577205999999997</v>
      </c>
    </row>
    <row r="2513" spans="1:13" x14ac:dyDescent="0.25">
      <c r="A2513" s="15" t="s">
        <v>4314</v>
      </c>
      <c r="B2513" s="15" t="s">
        <v>4294</v>
      </c>
      <c r="C2513" s="54">
        <v>63.556488999999999</v>
      </c>
      <c r="D2513" s="26">
        <v>6.3194444444444442E-2</v>
      </c>
      <c r="E2513" s="55">
        <v>-23.405757000000001</v>
      </c>
      <c r="F2513" s="55">
        <v>-47.305109999999999</v>
      </c>
      <c r="G2513" s="55">
        <v>-23.478258</v>
      </c>
      <c r="H2513" s="55">
        <v>-46.998520999999997</v>
      </c>
      <c r="I2513" s="55">
        <v>-23.567374000000001</v>
      </c>
      <c r="J2513" s="55">
        <v>-46.817726</v>
      </c>
      <c r="L2513" s="61" t="str">
        <f t="shared" si="39"/>
        <v>Cliente44-Cliente24</v>
      </c>
      <c r="M2513">
        <v>63.556488999999999</v>
      </c>
    </row>
    <row r="2514" spans="1:13" x14ac:dyDescent="0.25">
      <c r="A2514" s="15" t="s">
        <v>4314</v>
      </c>
      <c r="B2514" s="15" t="s">
        <v>4295</v>
      </c>
      <c r="C2514" s="52">
        <v>66.376900000000006</v>
      </c>
      <c r="D2514" s="25">
        <v>6.5972222222222224E-2</v>
      </c>
      <c r="E2514" s="53">
        <v>-23.406276999999999</v>
      </c>
      <c r="F2514" s="53">
        <v>-47.300808000000004</v>
      </c>
      <c r="G2514" s="53">
        <v>-23.479952000000001</v>
      </c>
      <c r="H2514" s="53">
        <v>-46.996733999999996</v>
      </c>
      <c r="I2514" s="53">
        <v>-23.569472999999999</v>
      </c>
      <c r="J2514" s="53">
        <v>-46.813755999999998</v>
      </c>
      <c r="L2514" s="61" t="str">
        <f t="shared" ref="L2514:L2577" si="40">_xlfn.CONCAT(A2514,"-",B2514)</f>
        <v>Cliente44-Cliente25</v>
      </c>
      <c r="M2514">
        <v>66.376900000000006</v>
      </c>
    </row>
    <row r="2515" spans="1:13" x14ac:dyDescent="0.25">
      <c r="A2515" s="15" t="s">
        <v>4314</v>
      </c>
      <c r="B2515" s="15" t="s">
        <v>4296</v>
      </c>
      <c r="C2515" s="54">
        <v>58.039319999999996</v>
      </c>
      <c r="D2515" s="26">
        <v>5.6250000000000001E-2</v>
      </c>
      <c r="E2515" s="55">
        <v>-23.402187000000001</v>
      </c>
      <c r="F2515" s="55">
        <v>-47.334135000000003</v>
      </c>
      <c r="G2515" s="55">
        <v>-23.463502999999999</v>
      </c>
      <c r="H2515" s="55">
        <v>-47.031528999999999</v>
      </c>
      <c r="I2515" s="55">
        <v>-23.537672000000001</v>
      </c>
      <c r="J2515" s="55">
        <v>-46.817822999999997</v>
      </c>
      <c r="L2515" s="61" t="str">
        <f t="shared" si="40"/>
        <v>Cliente44-Cliente26</v>
      </c>
      <c r="M2515">
        <v>58.039319999999996</v>
      </c>
    </row>
    <row r="2516" spans="1:13" x14ac:dyDescent="0.25">
      <c r="A2516" s="15" t="s">
        <v>4314</v>
      </c>
      <c r="B2516" s="15" t="s">
        <v>4297</v>
      </c>
      <c r="C2516" s="52">
        <v>64.356195999999997</v>
      </c>
      <c r="D2516" s="25">
        <v>6.3888888888888884E-2</v>
      </c>
      <c r="E2516" s="53">
        <v>-23.406276999999999</v>
      </c>
      <c r="F2516" s="53">
        <v>-47.300808000000004</v>
      </c>
      <c r="G2516" s="53">
        <v>-23.479952000000001</v>
      </c>
      <c r="H2516" s="53">
        <v>-46.996733999999996</v>
      </c>
      <c r="I2516" s="53">
        <v>-23.569472999999999</v>
      </c>
      <c r="J2516" s="53">
        <v>-46.813755999999998</v>
      </c>
      <c r="L2516" s="61" t="str">
        <f t="shared" si="40"/>
        <v>Cliente44-Cliente27</v>
      </c>
      <c r="M2516">
        <v>64.356195999999997</v>
      </c>
    </row>
    <row r="2517" spans="1:13" x14ac:dyDescent="0.25">
      <c r="A2517" s="15" t="s">
        <v>4314</v>
      </c>
      <c r="B2517" s="15" t="s">
        <v>4298</v>
      </c>
      <c r="C2517" s="54">
        <v>68.039693</v>
      </c>
      <c r="D2517" s="26">
        <v>7.1527777777777787E-2</v>
      </c>
      <c r="E2517" s="55">
        <v>-23.402362</v>
      </c>
      <c r="F2517" s="55">
        <v>-47.328879999999998</v>
      </c>
      <c r="G2517" s="55">
        <v>-23.471475999999999</v>
      </c>
      <c r="H2517" s="55">
        <v>-47.010097000000002</v>
      </c>
      <c r="I2517" s="55">
        <v>-23.562441</v>
      </c>
      <c r="J2517" s="55">
        <v>-46.706564</v>
      </c>
      <c r="L2517" s="61" t="str">
        <f t="shared" si="40"/>
        <v>Cliente44-Cliente28</v>
      </c>
      <c r="M2517">
        <v>68.039693</v>
      </c>
    </row>
    <row r="2518" spans="1:13" x14ac:dyDescent="0.25">
      <c r="A2518" s="15" t="s">
        <v>4314</v>
      </c>
      <c r="B2518" s="15" t="s">
        <v>4299</v>
      </c>
      <c r="C2518" s="52">
        <v>73.459928000000005</v>
      </c>
      <c r="D2518" s="25">
        <v>7.8472222222222221E-2</v>
      </c>
      <c r="E2518" s="53">
        <v>-23.414217000000001</v>
      </c>
      <c r="F2518" s="53">
        <v>-47.270895000000003</v>
      </c>
      <c r="G2518" s="53">
        <v>-23.519393999999998</v>
      </c>
      <c r="H2518" s="53">
        <v>-46.950279999999999</v>
      </c>
      <c r="I2518" s="53">
        <v>-23.610938000000001</v>
      </c>
      <c r="J2518" s="53">
        <v>-46.674754999999998</v>
      </c>
      <c r="L2518" s="61" t="str">
        <f t="shared" si="40"/>
        <v>Cliente44-Cliente29</v>
      </c>
      <c r="M2518">
        <v>73.459928000000005</v>
      </c>
    </row>
    <row r="2519" spans="1:13" x14ac:dyDescent="0.25">
      <c r="A2519" s="15" t="s">
        <v>4314</v>
      </c>
      <c r="B2519" s="15" t="s">
        <v>4300</v>
      </c>
      <c r="C2519" s="54">
        <v>79.387202000000002</v>
      </c>
      <c r="D2519" s="26">
        <v>8.9583333333333334E-2</v>
      </c>
      <c r="E2519" s="55">
        <v>-23.423363999999999</v>
      </c>
      <c r="F2519" s="55">
        <v>-47.237332000000002</v>
      </c>
      <c r="G2519" s="55">
        <v>-23.521713999999999</v>
      </c>
      <c r="H2519" s="55">
        <v>-46.767434999999999</v>
      </c>
      <c r="I2519" s="55">
        <v>-23.579896000000002</v>
      </c>
      <c r="J2519" s="55">
        <v>-46.599780000000003</v>
      </c>
      <c r="L2519" s="61" t="str">
        <f t="shared" si="40"/>
        <v>Cliente44-Cliente30</v>
      </c>
      <c r="M2519">
        <v>79.387202000000002</v>
      </c>
    </row>
    <row r="2520" spans="1:13" x14ac:dyDescent="0.25">
      <c r="A2520" s="15" t="s">
        <v>4314</v>
      </c>
      <c r="B2520" s="15" t="s">
        <v>4301</v>
      </c>
      <c r="C2520" s="52">
        <v>54.938048999999999</v>
      </c>
      <c r="D2520" s="25">
        <v>5.5555555555555552E-2</v>
      </c>
      <c r="E2520" s="53">
        <v>-23.479583999999999</v>
      </c>
      <c r="F2520" s="53">
        <v>-47.441490000000002</v>
      </c>
      <c r="G2520" s="53">
        <v>-23.436405000000001</v>
      </c>
      <c r="H2520" s="53">
        <v>-47.119414999999996</v>
      </c>
      <c r="I2520" s="53">
        <v>-23.506692000000001</v>
      </c>
      <c r="J2520" s="53">
        <v>-46.898417999999999</v>
      </c>
      <c r="L2520" s="61" t="str">
        <f t="shared" si="40"/>
        <v>Cliente44-Cliente31</v>
      </c>
      <c r="M2520">
        <v>54.938048999999999</v>
      </c>
    </row>
    <row r="2521" spans="1:13" x14ac:dyDescent="0.25">
      <c r="A2521" s="15" t="s">
        <v>4314</v>
      </c>
      <c r="B2521" s="15" t="s">
        <v>4302</v>
      </c>
      <c r="C2521" s="54">
        <v>59.394534</v>
      </c>
      <c r="D2521" s="26">
        <v>5.9027777777777783E-2</v>
      </c>
      <c r="E2521" s="55">
        <v>-23.411518999999998</v>
      </c>
      <c r="F2521" s="55">
        <v>-47.341365000000003</v>
      </c>
      <c r="G2521" s="55">
        <v>-23.454015999999999</v>
      </c>
      <c r="H2521" s="55">
        <v>-47.054217999999999</v>
      </c>
      <c r="I2521" s="55">
        <v>-23.526903999999998</v>
      </c>
      <c r="J2521" s="55">
        <v>-46.748562</v>
      </c>
      <c r="L2521" s="61" t="str">
        <f t="shared" si="40"/>
        <v>Cliente44-Cliente32</v>
      </c>
      <c r="M2521">
        <v>59.394534</v>
      </c>
    </row>
    <row r="2522" spans="1:13" x14ac:dyDescent="0.25">
      <c r="A2522" s="15" t="s">
        <v>4314</v>
      </c>
      <c r="B2522" s="15" t="s">
        <v>4303</v>
      </c>
      <c r="C2522" s="52">
        <v>73.406490000000005</v>
      </c>
      <c r="D2522" s="25">
        <v>7.3611111111111113E-2</v>
      </c>
      <c r="E2522" s="53">
        <v>-23.41086</v>
      </c>
      <c r="F2522" s="53">
        <v>-47.276922999999996</v>
      </c>
      <c r="G2522" s="53">
        <v>-23.515863</v>
      </c>
      <c r="H2522" s="53">
        <v>-46.962871999999997</v>
      </c>
      <c r="I2522" s="53">
        <v>-23.518944000000001</v>
      </c>
      <c r="J2522" s="53">
        <v>-46.637487999999998</v>
      </c>
      <c r="L2522" s="61" t="str">
        <f t="shared" si="40"/>
        <v>Cliente44-Cliente33</v>
      </c>
      <c r="M2522">
        <v>73.406490000000005</v>
      </c>
    </row>
    <row r="2523" spans="1:13" x14ac:dyDescent="0.25">
      <c r="A2523" s="15" t="s">
        <v>4314</v>
      </c>
      <c r="B2523" s="15" t="s">
        <v>4304</v>
      </c>
      <c r="C2523" s="54">
        <v>54.192402000000001</v>
      </c>
      <c r="D2523" s="26">
        <v>5.486111111111111E-2</v>
      </c>
      <c r="E2523" s="55">
        <v>-23.411518999999998</v>
      </c>
      <c r="F2523" s="55">
        <v>-47.341365000000003</v>
      </c>
      <c r="G2523" s="55">
        <v>-23.454015999999999</v>
      </c>
      <c r="H2523" s="55">
        <v>-47.054217999999999</v>
      </c>
      <c r="I2523" s="55">
        <v>-23.499110000000002</v>
      </c>
      <c r="J2523" s="55">
        <v>-46.830956999999998</v>
      </c>
      <c r="L2523" s="61" t="str">
        <f t="shared" si="40"/>
        <v>Cliente44-Cliente34</v>
      </c>
      <c r="M2523">
        <v>54.192402000000001</v>
      </c>
    </row>
    <row r="2524" spans="1:13" x14ac:dyDescent="0.25">
      <c r="A2524" s="15" t="s">
        <v>4314</v>
      </c>
      <c r="B2524" s="15" t="s">
        <v>4305</v>
      </c>
      <c r="C2524" s="52">
        <v>52.916102000000002</v>
      </c>
      <c r="D2524" s="25">
        <v>5.347222222222222E-2</v>
      </c>
      <c r="E2524" s="53">
        <v>-23.415597000000002</v>
      </c>
      <c r="F2524" s="53">
        <v>-47.345281</v>
      </c>
      <c r="G2524" s="53">
        <v>-23.438251000000001</v>
      </c>
      <c r="H2524" s="53">
        <v>-47.067673999999997</v>
      </c>
      <c r="I2524" s="53">
        <v>-23.506962000000001</v>
      </c>
      <c r="J2524" s="53">
        <v>-46.846020000000003</v>
      </c>
      <c r="L2524" s="61" t="str">
        <f t="shared" si="40"/>
        <v>Cliente44-Cliente35</v>
      </c>
      <c r="M2524">
        <v>52.916102000000002</v>
      </c>
    </row>
    <row r="2525" spans="1:13" x14ac:dyDescent="0.25">
      <c r="A2525" s="15" t="s">
        <v>4314</v>
      </c>
      <c r="B2525" s="15" t="s">
        <v>4306</v>
      </c>
      <c r="C2525" s="54">
        <v>127.066996</v>
      </c>
      <c r="D2525" s="26">
        <v>0.1125</v>
      </c>
      <c r="E2525" s="55">
        <v>-23.235914000000001</v>
      </c>
      <c r="F2525" s="55">
        <v>-47.315953</v>
      </c>
      <c r="G2525" s="55">
        <v>-22.716215999999999</v>
      </c>
      <c r="H2525" s="55">
        <v>-47.606065999999998</v>
      </c>
      <c r="I2525" s="55">
        <v>-22.325462999999999</v>
      </c>
      <c r="J2525" s="55">
        <v>-47.656661</v>
      </c>
      <c r="L2525" s="61" t="str">
        <f t="shared" si="40"/>
        <v>Cliente44-Cliente36</v>
      </c>
      <c r="M2525">
        <v>127.066996</v>
      </c>
    </row>
    <row r="2526" spans="1:13" x14ac:dyDescent="0.25">
      <c r="A2526" s="15" t="s">
        <v>4314</v>
      </c>
      <c r="B2526" s="15" t="s">
        <v>4307</v>
      </c>
      <c r="C2526" s="52">
        <v>125.970274</v>
      </c>
      <c r="D2526" s="25">
        <v>0.1111111111111111</v>
      </c>
      <c r="E2526" s="53">
        <v>-23.197181</v>
      </c>
      <c r="F2526" s="53">
        <v>-47.324015000000003</v>
      </c>
      <c r="G2526" s="53">
        <v>-22.707574999999999</v>
      </c>
      <c r="H2526" s="53">
        <v>-47.611640999999999</v>
      </c>
      <c r="I2526" s="53">
        <v>-22.312868999999999</v>
      </c>
      <c r="J2526" s="53">
        <v>-47.664707999999997</v>
      </c>
      <c r="L2526" s="61" t="str">
        <f t="shared" si="40"/>
        <v>Cliente44-Cliente37</v>
      </c>
      <c r="M2526">
        <v>125.970274</v>
      </c>
    </row>
    <row r="2527" spans="1:13" x14ac:dyDescent="0.25">
      <c r="A2527" s="15" t="s">
        <v>4314</v>
      </c>
      <c r="B2527" s="15" t="s">
        <v>4308</v>
      </c>
      <c r="C2527" s="54">
        <v>124.193769</v>
      </c>
      <c r="D2527" s="26">
        <v>0.10833333333333334</v>
      </c>
      <c r="E2527" s="55">
        <v>-23.240037000000001</v>
      </c>
      <c r="F2527" s="55">
        <v>-47.315626000000002</v>
      </c>
      <c r="G2527" s="55">
        <v>-22.719725</v>
      </c>
      <c r="H2527" s="55">
        <v>-47.606836000000001</v>
      </c>
      <c r="I2527" s="55">
        <v>-22.339144000000001</v>
      </c>
      <c r="J2527" s="55">
        <v>-47.650959999999998</v>
      </c>
      <c r="L2527" s="61" t="str">
        <f t="shared" si="40"/>
        <v>Cliente44-Cliente38</v>
      </c>
      <c r="M2527">
        <v>124.193769</v>
      </c>
    </row>
    <row r="2528" spans="1:13" x14ac:dyDescent="0.25">
      <c r="A2528" s="15" t="s">
        <v>4314</v>
      </c>
      <c r="B2528" s="15" t="s">
        <v>4309</v>
      </c>
      <c r="C2528" s="52">
        <v>143.14377300000001</v>
      </c>
      <c r="D2528" s="25">
        <v>0.13055555555555556</v>
      </c>
      <c r="E2528" s="53">
        <v>-23.433992</v>
      </c>
      <c r="F2528" s="53">
        <v>-47.123097000000001</v>
      </c>
      <c r="G2528" s="53">
        <v>-23.511005000000001</v>
      </c>
      <c r="H2528" s="53">
        <v>-46.683208999999998</v>
      </c>
      <c r="I2528" s="53">
        <v>-23.352187000000001</v>
      </c>
      <c r="J2528" s="53">
        <v>-46.180871000000003</v>
      </c>
      <c r="L2528" s="61" t="str">
        <f t="shared" si="40"/>
        <v>Cliente44-Cliente39</v>
      </c>
      <c r="M2528">
        <v>143.14377300000001</v>
      </c>
    </row>
    <row r="2529" spans="1:13" x14ac:dyDescent="0.25">
      <c r="A2529" s="15" t="s">
        <v>4314</v>
      </c>
      <c r="B2529" s="15" t="s">
        <v>4310</v>
      </c>
      <c r="C2529" s="54">
        <v>147.99918</v>
      </c>
      <c r="D2529" s="26">
        <v>0.1388888888888889</v>
      </c>
      <c r="E2529" s="55">
        <v>-23.436748000000001</v>
      </c>
      <c r="F2529" s="55">
        <v>-47.096527999999999</v>
      </c>
      <c r="G2529" s="55">
        <v>-23.5227</v>
      </c>
      <c r="H2529" s="55">
        <v>-46.612954999999999</v>
      </c>
      <c r="I2529" s="55">
        <v>-23.307883</v>
      </c>
      <c r="J2529" s="55">
        <v>-46.054720000000003</v>
      </c>
      <c r="L2529" s="61" t="str">
        <f t="shared" si="40"/>
        <v>Cliente44-Cliente40</v>
      </c>
      <c r="M2529">
        <v>147.99918</v>
      </c>
    </row>
    <row r="2530" spans="1:13" x14ac:dyDescent="0.25">
      <c r="A2530" s="15" t="s">
        <v>4314</v>
      </c>
      <c r="B2530" s="15" t="s">
        <v>4311</v>
      </c>
      <c r="C2530" s="52">
        <v>134.18233599999999</v>
      </c>
      <c r="D2530" s="25">
        <v>0.125</v>
      </c>
      <c r="E2530" s="53">
        <v>-23.438023999999999</v>
      </c>
      <c r="F2530" s="53">
        <v>-47.116017999999997</v>
      </c>
      <c r="G2530" s="53">
        <v>-23.516403</v>
      </c>
      <c r="H2530" s="53">
        <v>-46.661253000000002</v>
      </c>
      <c r="I2530" s="53">
        <v>-23.326279</v>
      </c>
      <c r="J2530" s="53">
        <v>-46.125484</v>
      </c>
      <c r="L2530" s="61" t="str">
        <f t="shared" si="40"/>
        <v>Cliente44-Cliente41</v>
      </c>
      <c r="M2530">
        <v>134.18233599999999</v>
      </c>
    </row>
    <row r="2531" spans="1:13" x14ac:dyDescent="0.25">
      <c r="A2531" s="15" t="s">
        <v>4314</v>
      </c>
      <c r="B2531" s="15" t="s">
        <v>4312</v>
      </c>
      <c r="C2531" s="54">
        <v>130.71134799999999</v>
      </c>
      <c r="D2531" s="26">
        <v>0.11666666666666665</v>
      </c>
      <c r="E2531" s="55">
        <v>-23.424537999999998</v>
      </c>
      <c r="F2531" s="55">
        <v>-47.147815000000001</v>
      </c>
      <c r="G2531" s="55">
        <v>-23.518709000000001</v>
      </c>
      <c r="H2531" s="55">
        <v>-46.744439</v>
      </c>
      <c r="I2531" s="55">
        <v>-23.377472000000001</v>
      </c>
      <c r="J2531" s="55">
        <v>-46.253006999999997</v>
      </c>
      <c r="L2531" s="61" t="str">
        <f t="shared" si="40"/>
        <v>Cliente44-Cliente42</v>
      </c>
      <c r="M2531">
        <v>130.71134799999999</v>
      </c>
    </row>
    <row r="2532" spans="1:13" x14ac:dyDescent="0.25">
      <c r="A2532" s="15" t="s">
        <v>4314</v>
      </c>
      <c r="B2532" s="15" t="s">
        <v>4313</v>
      </c>
      <c r="C2532" s="52">
        <v>153.36411200000001</v>
      </c>
      <c r="D2532" s="25">
        <v>0.13749999999999998</v>
      </c>
      <c r="E2532" s="53">
        <v>-23.439371999999999</v>
      </c>
      <c r="F2532" s="53">
        <v>-47.106530999999997</v>
      </c>
      <c r="G2532" s="53">
        <v>-23.519265999999998</v>
      </c>
      <c r="H2532" s="53">
        <v>-46.618634999999998</v>
      </c>
      <c r="I2532" s="53">
        <v>-23.313413000000001</v>
      </c>
      <c r="J2532" s="53">
        <v>-46.065551999999997</v>
      </c>
      <c r="L2532" s="61" t="str">
        <f t="shared" si="40"/>
        <v>Cliente44-Cliente43</v>
      </c>
      <c r="M2532">
        <v>153.36411200000001</v>
      </c>
    </row>
    <row r="2533" spans="1:13" x14ac:dyDescent="0.25">
      <c r="A2533" s="15" t="s">
        <v>4314</v>
      </c>
      <c r="B2533" s="15" t="s">
        <v>4314</v>
      </c>
      <c r="C2533" s="54">
        <v>0</v>
      </c>
      <c r="D2533" s="26">
        <v>0</v>
      </c>
      <c r="E2533" s="55">
        <f>'1. Locais'!D48</f>
        <v>-23.465869999999999</v>
      </c>
      <c r="F2533" s="55">
        <f>'1. Locais'!E48</f>
        <v>-47.496229999999997</v>
      </c>
      <c r="G2533" s="55">
        <f>'1. Locais'!D48</f>
        <v>-23.465869999999999</v>
      </c>
      <c r="H2533" s="55">
        <f>'1. Locais'!E48</f>
        <v>-47.496229999999997</v>
      </c>
      <c r="I2533" s="55">
        <f>'1. Locais'!D48</f>
        <v>-23.465869999999999</v>
      </c>
      <c r="J2533" s="55">
        <f>'1. Locais'!E48</f>
        <v>-47.496229999999997</v>
      </c>
      <c r="L2533" s="61" t="str">
        <f t="shared" si="40"/>
        <v>Cliente44-Cliente44</v>
      </c>
      <c r="M2533">
        <v>0</v>
      </c>
    </row>
    <row r="2534" spans="1:13" x14ac:dyDescent="0.25">
      <c r="A2534" s="15" t="s">
        <v>4314</v>
      </c>
      <c r="B2534" s="15" t="s">
        <v>4315</v>
      </c>
      <c r="C2534" s="52">
        <v>4.352716</v>
      </c>
      <c r="D2534" s="25">
        <v>9.7222222222222224E-3</v>
      </c>
      <c r="E2534" s="53">
        <v>-23.479744</v>
      </c>
      <c r="F2534" s="53">
        <v>-47.482832999999999</v>
      </c>
      <c r="G2534" s="53">
        <v>-23.486761999999999</v>
      </c>
      <c r="H2534" s="53">
        <v>-47.491491000000003</v>
      </c>
      <c r="I2534" s="53">
        <v>-23.493359999999999</v>
      </c>
      <c r="J2534" s="53">
        <v>-47.511395</v>
      </c>
      <c r="L2534" s="61" t="str">
        <f t="shared" si="40"/>
        <v>Cliente44-Cliente45</v>
      </c>
      <c r="M2534">
        <v>4.352716</v>
      </c>
    </row>
    <row r="2535" spans="1:13" x14ac:dyDescent="0.25">
      <c r="A2535" s="15" t="s">
        <v>4314</v>
      </c>
      <c r="B2535" s="15" t="s">
        <v>4316</v>
      </c>
      <c r="C2535" s="54">
        <v>2.4600149999999998</v>
      </c>
      <c r="D2535" s="26">
        <v>6.2499999999999995E-3</v>
      </c>
      <c r="E2535" s="55">
        <v>-23.465845000000002</v>
      </c>
      <c r="F2535" s="55">
        <v>-47.495548999999997</v>
      </c>
      <c r="G2535" s="55">
        <v>-23.471367000000001</v>
      </c>
      <c r="H2535" s="55">
        <v>-47.490476999999998</v>
      </c>
      <c r="I2535" s="55">
        <v>-23.484912000000001</v>
      </c>
      <c r="J2535" s="55">
        <v>-47.469188000000003</v>
      </c>
      <c r="L2535" s="61" t="str">
        <f t="shared" si="40"/>
        <v>Cliente44-Cliente46</v>
      </c>
      <c r="M2535">
        <v>2.4600149999999998</v>
      </c>
    </row>
    <row r="2536" spans="1:13" x14ac:dyDescent="0.25">
      <c r="A2536" s="15" t="s">
        <v>4314</v>
      </c>
      <c r="B2536" s="15" t="s">
        <v>4317</v>
      </c>
      <c r="C2536" s="52">
        <v>185.16659000000001</v>
      </c>
      <c r="D2536" s="25">
        <v>0.15486111111111112</v>
      </c>
      <c r="E2536" s="53">
        <v>-22.990722999999999</v>
      </c>
      <c r="F2536" s="53">
        <v>-47.464149999999997</v>
      </c>
      <c r="G2536" s="53">
        <v>-22.607973999999999</v>
      </c>
      <c r="H2536" s="53">
        <v>-47.459499999999998</v>
      </c>
      <c r="I2536" s="53">
        <v>-22.149125000000002</v>
      </c>
      <c r="J2536" s="53">
        <v>-47.401997999999999</v>
      </c>
      <c r="L2536" s="61" t="str">
        <f t="shared" si="40"/>
        <v>Cliente44-Cliente47</v>
      </c>
      <c r="M2536">
        <v>185.16659000000001</v>
      </c>
    </row>
    <row r="2537" spans="1:13" x14ac:dyDescent="0.25">
      <c r="A2537" s="15" t="s">
        <v>4314</v>
      </c>
      <c r="B2537" s="15" t="s">
        <v>4318</v>
      </c>
      <c r="C2537" s="54">
        <v>194.27777800000001</v>
      </c>
      <c r="D2537" s="26">
        <v>0.16250000000000001</v>
      </c>
      <c r="E2537" s="55">
        <v>-22.907520000000002</v>
      </c>
      <c r="F2537" s="55">
        <v>-47.509138999999998</v>
      </c>
      <c r="G2537" s="55">
        <v>-22.538353000000001</v>
      </c>
      <c r="H2537" s="55">
        <v>-47.452350000000003</v>
      </c>
      <c r="I2537" s="55">
        <v>-21.614515000000001</v>
      </c>
      <c r="J2537" s="55">
        <v>-47.616148000000003</v>
      </c>
      <c r="L2537" s="61" t="str">
        <f t="shared" si="40"/>
        <v>Cliente44-Cliente48</v>
      </c>
      <c r="M2537">
        <v>194.27777800000001</v>
      </c>
    </row>
    <row r="2538" spans="1:13" x14ac:dyDescent="0.25">
      <c r="A2538" s="15" t="s">
        <v>4314</v>
      </c>
      <c r="B2538" s="15" t="s">
        <v>4319</v>
      </c>
      <c r="C2538" s="52">
        <v>187.91554300000001</v>
      </c>
      <c r="D2538" s="25">
        <v>0.15833333333333333</v>
      </c>
      <c r="E2538" s="53">
        <v>-22.943225000000002</v>
      </c>
      <c r="F2538" s="53">
        <v>-47.482339000000003</v>
      </c>
      <c r="G2538" s="53">
        <v>-22.555862999999999</v>
      </c>
      <c r="H2538" s="53">
        <v>-47.460154000000003</v>
      </c>
      <c r="I2538" s="53">
        <v>-21.810300000000002</v>
      </c>
      <c r="J2538" s="53">
        <v>-47.499709000000003</v>
      </c>
      <c r="L2538" s="61" t="str">
        <f t="shared" si="40"/>
        <v>Cliente44-Cliente49</v>
      </c>
      <c r="M2538">
        <v>187.91554300000001</v>
      </c>
    </row>
    <row r="2539" spans="1:13" x14ac:dyDescent="0.25">
      <c r="A2539" s="15" t="s">
        <v>4314</v>
      </c>
      <c r="B2539" s="15" t="s">
        <v>4320</v>
      </c>
      <c r="C2539" s="54">
        <v>151.99895599999999</v>
      </c>
      <c r="D2539" s="26">
        <v>0.12986111111111112</v>
      </c>
      <c r="E2539" s="55">
        <v>-23.316628999999999</v>
      </c>
      <c r="F2539" s="55">
        <v>-47.638508999999999</v>
      </c>
      <c r="G2539" s="55">
        <v>-23.146471999999999</v>
      </c>
      <c r="H2539" s="55">
        <v>-48.402952999999997</v>
      </c>
      <c r="I2539" s="55">
        <v>-22.808800999999999</v>
      </c>
      <c r="J2539" s="55">
        <v>-48.533557999999999</v>
      </c>
      <c r="L2539" s="61" t="str">
        <f t="shared" si="40"/>
        <v>Cliente44-Cliente50</v>
      </c>
      <c r="M2539">
        <v>151.99895599999999</v>
      </c>
    </row>
    <row r="2540" spans="1:13" x14ac:dyDescent="0.25">
      <c r="A2540" s="15" t="s">
        <v>4314</v>
      </c>
      <c r="B2540" s="15" t="s">
        <v>4321</v>
      </c>
      <c r="C2540" s="52">
        <v>150.897884</v>
      </c>
      <c r="D2540" s="25">
        <v>0.1277777777777778</v>
      </c>
      <c r="E2540" s="53">
        <v>-23.317426999999999</v>
      </c>
      <c r="F2540" s="53">
        <v>-47.635238999999999</v>
      </c>
      <c r="G2540" s="53">
        <v>-23.157900000000001</v>
      </c>
      <c r="H2540" s="53">
        <v>-48.371791999999999</v>
      </c>
      <c r="I2540" s="53">
        <v>-22.825800999999998</v>
      </c>
      <c r="J2540" s="53">
        <v>-48.528860999999999</v>
      </c>
      <c r="L2540" s="61" t="str">
        <f t="shared" si="40"/>
        <v>Cliente44-Cliente51</v>
      </c>
      <c r="M2540">
        <v>150.897884</v>
      </c>
    </row>
    <row r="2541" spans="1:13" x14ac:dyDescent="0.25">
      <c r="A2541" s="15" t="s">
        <v>4315</v>
      </c>
      <c r="B2541" s="15" t="s">
        <v>4268</v>
      </c>
      <c r="C2541" s="54">
        <v>27.468402999999999</v>
      </c>
      <c r="D2541" s="26">
        <v>3.1944444444444449E-2</v>
      </c>
      <c r="E2541" s="55">
        <v>-23.485184</v>
      </c>
      <c r="F2541" s="55">
        <v>-47.485334999999999</v>
      </c>
      <c r="G2541" s="55">
        <v>-23.489367999999999</v>
      </c>
      <c r="H2541" s="55">
        <v>-47.439624999999999</v>
      </c>
      <c r="I2541" s="55">
        <v>-23.306732</v>
      </c>
      <c r="J2541" s="55">
        <v>-47.331518000000003</v>
      </c>
      <c r="L2541" s="61" t="str">
        <f t="shared" si="40"/>
        <v>Cliente45-depósito A</v>
      </c>
      <c r="M2541">
        <v>27.468402999999999</v>
      </c>
    </row>
    <row r="2542" spans="1:13" x14ac:dyDescent="0.25">
      <c r="A2542" s="15" t="s">
        <v>4315</v>
      </c>
      <c r="B2542" s="15" t="s">
        <v>4269</v>
      </c>
      <c r="C2542" s="52">
        <v>151.49129500000001</v>
      </c>
      <c r="D2542" s="25">
        <v>0.13194444444444445</v>
      </c>
      <c r="E2542" s="53">
        <v>-23.409891999999999</v>
      </c>
      <c r="F2542" s="53">
        <v>-47.340181000000001</v>
      </c>
      <c r="G2542" s="53">
        <v>-22.747537999999999</v>
      </c>
      <c r="H2542" s="53">
        <v>-47.599165999999997</v>
      </c>
      <c r="I2542" s="53">
        <v>-22.326243999999999</v>
      </c>
      <c r="J2542" s="53">
        <v>-47.656668000000003</v>
      </c>
      <c r="L2542" s="61" t="str">
        <f t="shared" si="40"/>
        <v>Cliente45-depósito B</v>
      </c>
      <c r="M2542">
        <v>151.49129500000001</v>
      </c>
    </row>
    <row r="2543" spans="1:13" x14ac:dyDescent="0.25">
      <c r="A2543" s="15" t="s">
        <v>4315</v>
      </c>
      <c r="B2543" s="15" t="s">
        <v>4270</v>
      </c>
      <c r="C2543" s="54">
        <v>115.060211</v>
      </c>
      <c r="D2543" s="26">
        <v>0.10486111111111111</v>
      </c>
      <c r="E2543" s="55">
        <v>-23.448523000000002</v>
      </c>
      <c r="F2543" s="55">
        <v>-47.386521999999999</v>
      </c>
      <c r="G2543" s="55">
        <v>-23.506724999999999</v>
      </c>
      <c r="H2543" s="55">
        <v>-46.898634999999999</v>
      </c>
      <c r="I2543" s="55">
        <v>-23.412475000000001</v>
      </c>
      <c r="J2543" s="55">
        <v>-46.357961000000003</v>
      </c>
      <c r="L2543" s="61" t="str">
        <f t="shared" si="40"/>
        <v>Cliente45-depósito C</v>
      </c>
      <c r="M2543">
        <v>115.060211</v>
      </c>
    </row>
    <row r="2544" spans="1:13" x14ac:dyDescent="0.25">
      <c r="A2544" s="15" t="s">
        <v>4315</v>
      </c>
      <c r="B2544" s="15" t="s">
        <v>4271</v>
      </c>
      <c r="C2544" s="52">
        <v>63.705618000000001</v>
      </c>
      <c r="D2544" s="25">
        <v>5.9027777777777783E-2</v>
      </c>
      <c r="E2544" s="53">
        <v>-23.495653999999998</v>
      </c>
      <c r="F2544" s="53">
        <v>-47.403137999999998</v>
      </c>
      <c r="G2544" s="53">
        <v>-23.302188999999998</v>
      </c>
      <c r="H2544" s="53">
        <v>-47.332006</v>
      </c>
      <c r="I2544" s="53">
        <v>-22.996143</v>
      </c>
      <c r="J2544" s="53">
        <v>-47.106456000000001</v>
      </c>
      <c r="L2544" s="61" t="str">
        <f t="shared" si="40"/>
        <v>Cliente45-Cliente1</v>
      </c>
      <c r="M2544">
        <v>63.705618000000001</v>
      </c>
    </row>
    <row r="2545" spans="1:13" x14ac:dyDescent="0.25">
      <c r="A2545" s="15" t="s">
        <v>4315</v>
      </c>
      <c r="B2545" s="15" t="s">
        <v>4272</v>
      </c>
      <c r="C2545" s="54">
        <v>59.086334000000001</v>
      </c>
      <c r="D2545" s="26">
        <v>6.0416666666666667E-2</v>
      </c>
      <c r="E2545" s="55">
        <v>-23.494698</v>
      </c>
      <c r="F2545" s="55">
        <v>-47.448687</v>
      </c>
      <c r="G2545" s="55">
        <v>-23.180049</v>
      </c>
      <c r="H2545" s="55">
        <v>-47.300350999999999</v>
      </c>
      <c r="I2545" s="55">
        <v>-22.933491</v>
      </c>
      <c r="J2545" s="55">
        <v>-47.075471999999998</v>
      </c>
      <c r="L2545" s="61" t="str">
        <f t="shared" si="40"/>
        <v>Cliente45-Cliente2</v>
      </c>
      <c r="M2545">
        <v>59.086334000000001</v>
      </c>
    </row>
    <row r="2546" spans="1:13" x14ac:dyDescent="0.25">
      <c r="A2546" s="15" t="s">
        <v>4315</v>
      </c>
      <c r="B2546" s="15" t="s">
        <v>4273</v>
      </c>
      <c r="C2546" s="52">
        <v>58.604148000000002</v>
      </c>
      <c r="D2546" s="25">
        <v>5.9722222222222225E-2</v>
      </c>
      <c r="E2546" s="53">
        <v>-23.497492000000001</v>
      </c>
      <c r="F2546" s="53">
        <v>-47.451115000000001</v>
      </c>
      <c r="G2546" s="53">
        <v>-23.193912000000001</v>
      </c>
      <c r="H2546" s="53">
        <v>-47.322586999999999</v>
      </c>
      <c r="I2546" s="53">
        <v>-22.955071</v>
      </c>
      <c r="J2546" s="53">
        <v>-47.093642000000003</v>
      </c>
      <c r="L2546" s="61" t="str">
        <f t="shared" si="40"/>
        <v>Cliente45-Cliente3</v>
      </c>
      <c r="M2546">
        <v>58.604148000000002</v>
      </c>
    </row>
    <row r="2547" spans="1:13" x14ac:dyDescent="0.25">
      <c r="A2547" s="15" t="s">
        <v>4315</v>
      </c>
      <c r="B2547" s="15" t="s">
        <v>4274</v>
      </c>
      <c r="C2547" s="54">
        <v>66.815589000000003</v>
      </c>
      <c r="D2547" s="26">
        <v>6.5277777777777782E-2</v>
      </c>
      <c r="E2547" s="55">
        <v>-23.488890999999999</v>
      </c>
      <c r="F2547" s="55">
        <v>-47.439152999999997</v>
      </c>
      <c r="G2547" s="55">
        <v>-23.177610999999999</v>
      </c>
      <c r="H2547" s="55">
        <v>-47.273318000000003</v>
      </c>
      <c r="I2547" s="55">
        <v>-22.921287</v>
      </c>
      <c r="J2547" s="55">
        <v>-47.132606000000003</v>
      </c>
      <c r="L2547" s="61" t="str">
        <f t="shared" si="40"/>
        <v>Cliente45-Cliente4</v>
      </c>
      <c r="M2547">
        <v>66.815589000000003</v>
      </c>
    </row>
    <row r="2548" spans="1:13" x14ac:dyDescent="0.25">
      <c r="A2548" s="15" t="s">
        <v>4315</v>
      </c>
      <c r="B2548" s="15" t="s">
        <v>4275</v>
      </c>
      <c r="C2548" s="52">
        <v>66.908794999999998</v>
      </c>
      <c r="D2548" s="25">
        <v>6.5277777777777782E-2</v>
      </c>
      <c r="E2548" s="53">
        <v>-23.489367999999999</v>
      </c>
      <c r="F2548" s="53">
        <v>-47.439624999999999</v>
      </c>
      <c r="G2548" s="53">
        <v>-23.178989000000001</v>
      </c>
      <c r="H2548" s="53">
        <v>-47.275374999999997</v>
      </c>
      <c r="I2548" s="53">
        <v>-22.924838999999999</v>
      </c>
      <c r="J2548" s="53">
        <v>-47.130057999999998</v>
      </c>
      <c r="L2548" s="61" t="str">
        <f t="shared" si="40"/>
        <v>Cliente45-Cliente5</v>
      </c>
      <c r="M2548">
        <v>66.908794999999998</v>
      </c>
    </row>
    <row r="2549" spans="1:13" x14ac:dyDescent="0.25">
      <c r="A2549" s="15" t="s">
        <v>4315</v>
      </c>
      <c r="B2549" s="15" t="s">
        <v>4276</v>
      </c>
      <c r="C2549" s="54">
        <v>64.396585000000002</v>
      </c>
      <c r="D2549" s="26">
        <v>5.9027777777777783E-2</v>
      </c>
      <c r="E2549" s="55">
        <v>-23.495256999999999</v>
      </c>
      <c r="F2549" s="55">
        <v>-47.402439999999999</v>
      </c>
      <c r="G2549" s="55">
        <v>-23.298362000000001</v>
      </c>
      <c r="H2549" s="55">
        <v>-47.331640999999998</v>
      </c>
      <c r="I2549" s="55">
        <v>-22.997979999999998</v>
      </c>
      <c r="J2549" s="55">
        <v>-47.103254</v>
      </c>
      <c r="L2549" s="61" t="str">
        <f t="shared" si="40"/>
        <v>Cliente45-Cliente6</v>
      </c>
      <c r="M2549">
        <v>64.396585000000002</v>
      </c>
    </row>
    <row r="2550" spans="1:13" x14ac:dyDescent="0.25">
      <c r="A2550" s="15" t="s">
        <v>4315</v>
      </c>
      <c r="B2550" s="15" t="s">
        <v>4277</v>
      </c>
      <c r="C2550" s="52">
        <v>54.409261000000001</v>
      </c>
      <c r="D2550" s="25">
        <v>5.4166666666666669E-2</v>
      </c>
      <c r="E2550" s="53">
        <v>-23.496991000000001</v>
      </c>
      <c r="F2550" s="53">
        <v>-47.455030999999998</v>
      </c>
      <c r="G2550" s="53">
        <v>-23.333597999999999</v>
      </c>
      <c r="H2550" s="53">
        <v>-47.324236999999997</v>
      </c>
      <c r="I2550" s="53">
        <v>-23.112553999999999</v>
      </c>
      <c r="J2550" s="53">
        <v>-47.211221000000002</v>
      </c>
      <c r="L2550" s="61" t="str">
        <f t="shared" si="40"/>
        <v>Cliente45-Cliente7</v>
      </c>
      <c r="M2550">
        <v>54.409261000000001</v>
      </c>
    </row>
    <row r="2551" spans="1:13" x14ac:dyDescent="0.25">
      <c r="A2551" s="15" t="s">
        <v>4315</v>
      </c>
      <c r="B2551" s="15" t="s">
        <v>4278</v>
      </c>
      <c r="C2551" s="54">
        <v>67.676190000000005</v>
      </c>
      <c r="D2551" s="26">
        <v>6.5277777777777782E-2</v>
      </c>
      <c r="E2551" s="55">
        <v>-23.479849999999999</v>
      </c>
      <c r="F2551" s="55">
        <v>-47.441352999999999</v>
      </c>
      <c r="G2551" s="55">
        <v>-23.047685999999999</v>
      </c>
      <c r="H2551" s="55">
        <v>-47.138778000000002</v>
      </c>
      <c r="I2551" s="55">
        <v>-22.937536000000001</v>
      </c>
      <c r="J2551" s="55">
        <v>-47.010505000000002</v>
      </c>
      <c r="L2551" s="61" t="str">
        <f t="shared" si="40"/>
        <v>Cliente45-Cliente8</v>
      </c>
      <c r="M2551">
        <v>67.676190000000005</v>
      </c>
    </row>
    <row r="2552" spans="1:13" x14ac:dyDescent="0.25">
      <c r="A2552" s="15" t="s">
        <v>4315</v>
      </c>
      <c r="B2552" s="15" t="s">
        <v>4279</v>
      </c>
      <c r="C2552" s="52">
        <v>79.563671999999997</v>
      </c>
      <c r="D2552" s="25">
        <v>7.3611111111111113E-2</v>
      </c>
      <c r="E2552" s="53">
        <v>-23.495224</v>
      </c>
      <c r="F2552" s="53">
        <v>-47.394812000000002</v>
      </c>
      <c r="G2552" s="53">
        <v>-23.19502</v>
      </c>
      <c r="H2552" s="53">
        <v>-47.323808</v>
      </c>
      <c r="I2552" s="53">
        <v>-22.92306</v>
      </c>
      <c r="J2552" s="53">
        <v>-47.131138</v>
      </c>
      <c r="L2552" s="61" t="str">
        <f t="shared" si="40"/>
        <v>Cliente45-Cliente9</v>
      </c>
      <c r="M2552">
        <v>79.563671999999997</v>
      </c>
    </row>
    <row r="2553" spans="1:13" x14ac:dyDescent="0.25">
      <c r="A2553" s="15" t="s">
        <v>4315</v>
      </c>
      <c r="B2553" s="15" t="s">
        <v>4280</v>
      </c>
      <c r="C2553" s="54">
        <v>68.813924</v>
      </c>
      <c r="D2553" s="26">
        <v>7.013888888888889E-2</v>
      </c>
      <c r="E2553" s="55">
        <v>-23.492981</v>
      </c>
      <c r="F2553" s="55">
        <v>-47.390430000000002</v>
      </c>
      <c r="G2553" s="55">
        <v>-23.429188</v>
      </c>
      <c r="H2553" s="55">
        <v>-47.131368999999999</v>
      </c>
      <c r="I2553" s="55">
        <v>-23.527152999999998</v>
      </c>
      <c r="J2553" s="55">
        <v>-46.749918999999998</v>
      </c>
      <c r="L2553" s="61" t="str">
        <f t="shared" si="40"/>
        <v>Cliente45-Cliente10</v>
      </c>
      <c r="M2553">
        <v>68.813924</v>
      </c>
    </row>
    <row r="2554" spans="1:13" x14ac:dyDescent="0.25">
      <c r="A2554" s="15" t="s">
        <v>4315</v>
      </c>
      <c r="B2554" s="15" t="s">
        <v>4281</v>
      </c>
      <c r="C2554" s="52">
        <v>70.901115000000004</v>
      </c>
      <c r="D2554" s="25">
        <v>6.458333333333334E-2</v>
      </c>
      <c r="E2554" s="53">
        <v>-23.517358999999999</v>
      </c>
      <c r="F2554" s="53">
        <v>-47.432102999999998</v>
      </c>
      <c r="G2554" s="53">
        <v>-23.416740000000001</v>
      </c>
      <c r="H2554" s="53">
        <v>-47.346693999999999</v>
      </c>
      <c r="I2554" s="53">
        <v>-22.989751999999999</v>
      </c>
      <c r="J2554" s="53">
        <v>-47.464756999999999</v>
      </c>
      <c r="L2554" s="61" t="str">
        <f t="shared" si="40"/>
        <v>Cliente45-Cliente11</v>
      </c>
      <c r="M2554">
        <v>70.901115000000004</v>
      </c>
    </row>
    <row r="2555" spans="1:13" x14ac:dyDescent="0.25">
      <c r="A2555" s="15" t="s">
        <v>4315</v>
      </c>
      <c r="B2555" s="15" t="s">
        <v>4282</v>
      </c>
      <c r="C2555" s="54">
        <v>110.358284</v>
      </c>
      <c r="D2555" s="26">
        <v>0.10486111111111111</v>
      </c>
      <c r="E2555" s="55">
        <v>-23.406517999999998</v>
      </c>
      <c r="F2555" s="55">
        <v>-47.299563999999997</v>
      </c>
      <c r="G2555" s="55">
        <v>-23.511161999999999</v>
      </c>
      <c r="H2555" s="55">
        <v>-46.806846</v>
      </c>
      <c r="I2555" s="55">
        <v>-23.403002000000001</v>
      </c>
      <c r="J2555" s="55">
        <v>-46.327855</v>
      </c>
      <c r="L2555" s="61" t="str">
        <f t="shared" si="40"/>
        <v>Cliente45-Cliente12</v>
      </c>
      <c r="M2555">
        <v>110.358284</v>
      </c>
    </row>
    <row r="2556" spans="1:13" x14ac:dyDescent="0.25">
      <c r="A2556" s="15" t="s">
        <v>4315</v>
      </c>
      <c r="B2556" s="15" t="s">
        <v>4283</v>
      </c>
      <c r="C2556" s="52">
        <v>118.242261</v>
      </c>
      <c r="D2556" s="25">
        <v>0.11041666666666666</v>
      </c>
      <c r="E2556" s="53">
        <v>-23.413636</v>
      </c>
      <c r="F2556" s="53">
        <v>-47.272129999999997</v>
      </c>
      <c r="G2556" s="53">
        <v>-23.527152999999998</v>
      </c>
      <c r="H2556" s="53">
        <v>-46.749918999999998</v>
      </c>
      <c r="I2556" s="53">
        <v>-23.377779</v>
      </c>
      <c r="J2556" s="53">
        <v>-46.254198000000002</v>
      </c>
      <c r="L2556" s="61" t="str">
        <f t="shared" si="40"/>
        <v>Cliente45-Cliente13</v>
      </c>
      <c r="M2556">
        <v>118.242261</v>
      </c>
    </row>
    <row r="2557" spans="1:13" x14ac:dyDescent="0.25">
      <c r="A2557" s="15" t="s">
        <v>4315</v>
      </c>
      <c r="B2557" s="15" t="s">
        <v>4284</v>
      </c>
      <c r="C2557" s="54">
        <v>116.304821</v>
      </c>
      <c r="D2557" s="26">
        <v>0.1076388888888889</v>
      </c>
      <c r="E2557" s="55">
        <v>-23.402505000000001</v>
      </c>
      <c r="F2557" s="55">
        <v>-47.327942</v>
      </c>
      <c r="G2557" s="55">
        <v>-23.506001999999999</v>
      </c>
      <c r="H2557" s="55">
        <v>-46.848970000000001</v>
      </c>
      <c r="I2557" s="55">
        <v>-23.409972</v>
      </c>
      <c r="J2557" s="55">
        <v>-46.344794</v>
      </c>
      <c r="L2557" s="61" t="str">
        <f t="shared" si="40"/>
        <v>Cliente45-Cliente14</v>
      </c>
      <c r="M2557">
        <v>116.304821</v>
      </c>
    </row>
    <row r="2558" spans="1:13" x14ac:dyDescent="0.25">
      <c r="A2558" s="15" t="s">
        <v>4315</v>
      </c>
      <c r="B2558" s="15" t="s">
        <v>4285</v>
      </c>
      <c r="C2558" s="52">
        <v>120.037407</v>
      </c>
      <c r="D2558" s="25">
        <v>0.11527777777777777</v>
      </c>
      <c r="E2558" s="53">
        <v>-23.419951000000001</v>
      </c>
      <c r="F2558" s="53">
        <v>-47.250905000000003</v>
      </c>
      <c r="G2558" s="53">
        <v>-23.518146000000002</v>
      </c>
      <c r="H2558" s="53">
        <v>-46.732149999999997</v>
      </c>
      <c r="I2558" s="53">
        <v>-23.352087999999998</v>
      </c>
      <c r="J2558" s="53">
        <v>-46.199134999999998</v>
      </c>
      <c r="L2558" s="61" t="str">
        <f t="shared" si="40"/>
        <v>Cliente45-Cliente15</v>
      </c>
      <c r="M2558">
        <v>120.037407</v>
      </c>
    </row>
    <row r="2559" spans="1:13" x14ac:dyDescent="0.25">
      <c r="A2559" s="15" t="s">
        <v>4315</v>
      </c>
      <c r="B2559" s="15" t="s">
        <v>4286</v>
      </c>
      <c r="C2559" s="54">
        <v>117.614053</v>
      </c>
      <c r="D2559" s="26">
        <v>0.11180555555555556</v>
      </c>
      <c r="E2559" s="55">
        <v>-23.414217000000001</v>
      </c>
      <c r="F2559" s="55">
        <v>-47.270895000000003</v>
      </c>
      <c r="G2559" s="55">
        <v>-23.526903999999998</v>
      </c>
      <c r="H2559" s="55">
        <v>-46.748562</v>
      </c>
      <c r="I2559" s="55">
        <v>-23.377472000000001</v>
      </c>
      <c r="J2559" s="55">
        <v>-46.253006999999997</v>
      </c>
      <c r="L2559" s="61" t="str">
        <f t="shared" si="40"/>
        <v>Cliente45-Cliente16</v>
      </c>
      <c r="M2559">
        <v>117.614053</v>
      </c>
    </row>
    <row r="2560" spans="1:13" x14ac:dyDescent="0.25">
      <c r="A2560" s="15" t="s">
        <v>4315</v>
      </c>
      <c r="B2560" s="15" t="s">
        <v>4287</v>
      </c>
      <c r="C2560" s="52">
        <v>118.669765</v>
      </c>
      <c r="D2560" s="25">
        <v>0.11041666666666666</v>
      </c>
      <c r="E2560" s="53">
        <v>-23.413636</v>
      </c>
      <c r="F2560" s="53">
        <v>-47.272129999999997</v>
      </c>
      <c r="G2560" s="53">
        <v>-23.527152999999998</v>
      </c>
      <c r="H2560" s="53">
        <v>-46.749918999999998</v>
      </c>
      <c r="I2560" s="53">
        <v>-23.377779</v>
      </c>
      <c r="J2560" s="53">
        <v>-46.254198000000002</v>
      </c>
      <c r="L2560" s="61" t="str">
        <f t="shared" si="40"/>
        <v>Cliente45-Cliente17</v>
      </c>
      <c r="M2560">
        <v>118.669765</v>
      </c>
    </row>
    <row r="2561" spans="1:13" x14ac:dyDescent="0.25">
      <c r="A2561" s="15" t="s">
        <v>4315</v>
      </c>
      <c r="B2561" s="15" t="s">
        <v>4288</v>
      </c>
      <c r="C2561" s="54">
        <v>123.49783100000001</v>
      </c>
      <c r="D2561" s="26">
        <v>0.11527777777777777</v>
      </c>
      <c r="E2561" s="55">
        <v>-23.407632</v>
      </c>
      <c r="F2561" s="55">
        <v>-47.291894999999997</v>
      </c>
      <c r="G2561" s="55">
        <v>-23.513061</v>
      </c>
      <c r="H2561" s="55">
        <v>-46.800015999999999</v>
      </c>
      <c r="I2561" s="55">
        <v>-23.398219000000001</v>
      </c>
      <c r="J2561" s="55">
        <v>-46.297646999999998</v>
      </c>
      <c r="L2561" s="61" t="str">
        <f t="shared" si="40"/>
        <v>Cliente45-Cliente18</v>
      </c>
      <c r="M2561">
        <v>123.49783100000001</v>
      </c>
    </row>
    <row r="2562" spans="1:13" x14ac:dyDescent="0.25">
      <c r="A2562" s="15" t="s">
        <v>4315</v>
      </c>
      <c r="B2562" s="15" t="s">
        <v>4289</v>
      </c>
      <c r="C2562" s="52">
        <v>65.613854000000003</v>
      </c>
      <c r="D2562" s="25">
        <v>6.1111111111111116E-2</v>
      </c>
      <c r="E2562" s="53">
        <v>-23.495041000000001</v>
      </c>
      <c r="F2562" s="53">
        <v>-47.396780999999997</v>
      </c>
      <c r="G2562" s="53">
        <v>-23.422502999999999</v>
      </c>
      <c r="H2562" s="53">
        <v>-47.246068999999999</v>
      </c>
      <c r="I2562" s="53">
        <v>-23.51859</v>
      </c>
      <c r="J2562" s="53">
        <v>-46.940645000000004</v>
      </c>
      <c r="L2562" s="61" t="str">
        <f t="shared" si="40"/>
        <v>Cliente45-Cliente19</v>
      </c>
      <c r="M2562">
        <v>65.613854000000003</v>
      </c>
    </row>
    <row r="2563" spans="1:13" x14ac:dyDescent="0.25">
      <c r="A2563" s="15" t="s">
        <v>4315</v>
      </c>
      <c r="B2563" s="15" t="s">
        <v>4290</v>
      </c>
      <c r="C2563" s="54">
        <v>62.130439000000003</v>
      </c>
      <c r="D2563" s="26">
        <v>5.9722222222222225E-2</v>
      </c>
      <c r="E2563" s="55">
        <v>-23.495256999999999</v>
      </c>
      <c r="F2563" s="55">
        <v>-47.402439999999999</v>
      </c>
      <c r="G2563" s="55">
        <v>-23.414217000000001</v>
      </c>
      <c r="H2563" s="55">
        <v>-47.270895000000003</v>
      </c>
      <c r="I2563" s="55">
        <v>-23.492986999999999</v>
      </c>
      <c r="J2563" s="55">
        <v>-46.986606000000002</v>
      </c>
      <c r="L2563" s="61" t="str">
        <f t="shared" si="40"/>
        <v>Cliente45-Cliente20</v>
      </c>
      <c r="M2563">
        <v>62.130439000000003</v>
      </c>
    </row>
    <row r="2564" spans="1:13" x14ac:dyDescent="0.25">
      <c r="A2564" s="15" t="s">
        <v>4315</v>
      </c>
      <c r="B2564" s="15" t="s">
        <v>4291</v>
      </c>
      <c r="C2564" s="52">
        <v>62.672896999999999</v>
      </c>
      <c r="D2564" s="25">
        <v>5.9722222222222225E-2</v>
      </c>
      <c r="E2564" s="53">
        <v>-23.494679000000001</v>
      </c>
      <c r="F2564" s="53">
        <v>-47.399363000000001</v>
      </c>
      <c r="G2564" s="53">
        <v>-23.415341999999999</v>
      </c>
      <c r="H2564" s="53">
        <v>-47.258564</v>
      </c>
      <c r="I2564" s="53">
        <v>-23.515863</v>
      </c>
      <c r="J2564" s="53">
        <v>-46.962871999999997</v>
      </c>
      <c r="L2564" s="61" t="str">
        <f t="shared" si="40"/>
        <v>Cliente45-Cliente21</v>
      </c>
      <c r="M2564">
        <v>62.672896999999999</v>
      </c>
    </row>
    <row r="2565" spans="1:13" x14ac:dyDescent="0.25">
      <c r="A2565" s="15" t="s">
        <v>4315</v>
      </c>
      <c r="B2565" s="15" t="s">
        <v>4292</v>
      </c>
      <c r="C2565" s="54">
        <v>63.936148000000003</v>
      </c>
      <c r="D2565" s="26">
        <v>6.3194444444444442E-2</v>
      </c>
      <c r="E2565" s="55">
        <v>-23.495636999999999</v>
      </c>
      <c r="F2565" s="55">
        <v>-47.393016000000003</v>
      </c>
      <c r="G2565" s="55">
        <v>-23.419070999999999</v>
      </c>
      <c r="H2565" s="55">
        <v>-47.220311000000002</v>
      </c>
      <c r="I2565" s="55">
        <v>-23.504987</v>
      </c>
      <c r="J2565" s="55">
        <v>-46.871729000000002</v>
      </c>
      <c r="L2565" s="61" t="str">
        <f t="shared" si="40"/>
        <v>Cliente45-Cliente22</v>
      </c>
      <c r="M2565">
        <v>63.936148000000003</v>
      </c>
    </row>
    <row r="2566" spans="1:13" x14ac:dyDescent="0.25">
      <c r="A2566" s="15" t="s">
        <v>4315</v>
      </c>
      <c r="B2566" s="15" t="s">
        <v>4293</v>
      </c>
      <c r="C2566" s="52">
        <v>67.680539999999993</v>
      </c>
      <c r="D2566" s="25">
        <v>6.5277777777777782E-2</v>
      </c>
      <c r="E2566" s="53">
        <v>-23.485437999999998</v>
      </c>
      <c r="F2566" s="53">
        <v>-47.388539000000002</v>
      </c>
      <c r="G2566" s="53">
        <v>-23.438023999999999</v>
      </c>
      <c r="H2566" s="53">
        <v>-47.116017999999997</v>
      </c>
      <c r="I2566" s="53">
        <v>-23.523033000000002</v>
      </c>
      <c r="J2566" s="53">
        <v>-46.816611999999999</v>
      </c>
      <c r="L2566" s="61" t="str">
        <f t="shared" si="40"/>
        <v>Cliente45-Cliente23</v>
      </c>
      <c r="M2566">
        <v>67.680539999999993</v>
      </c>
    </row>
    <row r="2567" spans="1:13" x14ac:dyDescent="0.25">
      <c r="A2567" s="15" t="s">
        <v>4315</v>
      </c>
      <c r="B2567" s="15" t="s">
        <v>4294</v>
      </c>
      <c r="C2567" s="54">
        <v>68.659823000000003</v>
      </c>
      <c r="D2567" s="26">
        <v>6.7361111111111108E-2</v>
      </c>
      <c r="E2567" s="55">
        <v>-23.484508000000002</v>
      </c>
      <c r="F2567" s="55">
        <v>-47.388255999999998</v>
      </c>
      <c r="G2567" s="55">
        <v>-23.439267000000001</v>
      </c>
      <c r="H2567" s="55">
        <v>-47.111949000000003</v>
      </c>
      <c r="I2567" s="55">
        <v>-23.532177999999998</v>
      </c>
      <c r="J2567" s="55">
        <v>-46.818123</v>
      </c>
      <c r="L2567" s="61" t="str">
        <f t="shared" si="40"/>
        <v>Cliente45-Cliente24</v>
      </c>
      <c r="M2567">
        <v>68.659823000000003</v>
      </c>
    </row>
    <row r="2568" spans="1:13" x14ac:dyDescent="0.25">
      <c r="A2568" s="15" t="s">
        <v>4315</v>
      </c>
      <c r="B2568" s="15" t="s">
        <v>4295</v>
      </c>
      <c r="C2568" s="52">
        <v>71.480233999999996</v>
      </c>
      <c r="D2568" s="25">
        <v>7.013888888888889E-2</v>
      </c>
      <c r="E2568" s="53">
        <v>-23.483877</v>
      </c>
      <c r="F2568" s="53">
        <v>-47.387971999999998</v>
      </c>
      <c r="G2568" s="53">
        <v>-23.439533000000001</v>
      </c>
      <c r="H2568" s="53">
        <v>-47.108710000000002</v>
      </c>
      <c r="I2568" s="53">
        <v>-23.539756000000001</v>
      </c>
      <c r="J2568" s="53">
        <v>-46.817956000000002</v>
      </c>
      <c r="L2568" s="61" t="str">
        <f t="shared" si="40"/>
        <v>Cliente45-Cliente25</v>
      </c>
      <c r="M2568">
        <v>71.480233999999996</v>
      </c>
    </row>
    <row r="2569" spans="1:13" x14ac:dyDescent="0.25">
      <c r="A2569" s="15" t="s">
        <v>4315</v>
      </c>
      <c r="B2569" s="15" t="s">
        <v>4296</v>
      </c>
      <c r="C2569" s="54">
        <v>63.142654999999998</v>
      </c>
      <c r="D2569" s="26">
        <v>6.0416666666666667E-2</v>
      </c>
      <c r="E2569" s="55">
        <v>-23.494015000000001</v>
      </c>
      <c r="F2569" s="55">
        <v>-47.390676999999997</v>
      </c>
      <c r="G2569" s="55">
        <v>-23.428858000000002</v>
      </c>
      <c r="H2569" s="55">
        <v>-47.133960000000002</v>
      </c>
      <c r="I2569" s="55">
        <v>-23.511150000000001</v>
      </c>
      <c r="J2569" s="55">
        <v>-46.809669</v>
      </c>
      <c r="L2569" s="61" t="str">
        <f t="shared" si="40"/>
        <v>Cliente45-Cliente26</v>
      </c>
      <c r="M2569">
        <v>63.142654999999998</v>
      </c>
    </row>
    <row r="2570" spans="1:13" x14ac:dyDescent="0.25">
      <c r="A2570" s="15" t="s">
        <v>4315</v>
      </c>
      <c r="B2570" s="15" t="s">
        <v>4297</v>
      </c>
      <c r="C2570" s="52">
        <v>69.459530000000001</v>
      </c>
      <c r="D2570" s="25">
        <v>6.805555555555555E-2</v>
      </c>
      <c r="E2570" s="53">
        <v>-23.483877</v>
      </c>
      <c r="F2570" s="53">
        <v>-47.387971999999998</v>
      </c>
      <c r="G2570" s="53">
        <v>-23.439533000000001</v>
      </c>
      <c r="H2570" s="53">
        <v>-47.108710000000002</v>
      </c>
      <c r="I2570" s="53">
        <v>-23.539756000000001</v>
      </c>
      <c r="J2570" s="53">
        <v>-46.817956000000002</v>
      </c>
      <c r="L2570" s="61" t="str">
        <f t="shared" si="40"/>
        <v>Cliente45-Cliente27</v>
      </c>
      <c r="M2570">
        <v>69.459530000000001</v>
      </c>
    </row>
    <row r="2571" spans="1:13" x14ac:dyDescent="0.25">
      <c r="A2571" s="15" t="s">
        <v>4315</v>
      </c>
      <c r="B2571" s="15" t="s">
        <v>4298</v>
      </c>
      <c r="C2571" s="54">
        <v>73.143028000000001</v>
      </c>
      <c r="D2571" s="26">
        <v>7.5694444444444439E-2</v>
      </c>
      <c r="E2571" s="55">
        <v>-23.485437999999998</v>
      </c>
      <c r="F2571" s="55">
        <v>-47.388539000000002</v>
      </c>
      <c r="G2571" s="55">
        <v>-23.438023999999999</v>
      </c>
      <c r="H2571" s="55">
        <v>-47.116017999999997</v>
      </c>
      <c r="I2571" s="55">
        <v>-23.531281</v>
      </c>
      <c r="J2571" s="55">
        <v>-46.750084999999999</v>
      </c>
      <c r="L2571" s="61" t="str">
        <f t="shared" si="40"/>
        <v>Cliente45-Cliente28</v>
      </c>
      <c r="M2571">
        <v>73.143028000000001</v>
      </c>
    </row>
    <row r="2572" spans="1:13" x14ac:dyDescent="0.25">
      <c r="A2572" s="15" t="s">
        <v>4315</v>
      </c>
      <c r="B2572" s="15" t="s">
        <v>4299</v>
      </c>
      <c r="C2572" s="52">
        <v>78.563261999999995</v>
      </c>
      <c r="D2572" s="25">
        <v>8.2638888888888887E-2</v>
      </c>
      <c r="E2572" s="53">
        <v>-23.473859000000001</v>
      </c>
      <c r="F2572" s="53">
        <v>-47.380653000000002</v>
      </c>
      <c r="G2572" s="53">
        <v>-23.457256000000001</v>
      </c>
      <c r="H2572" s="53">
        <v>-47.049999</v>
      </c>
      <c r="I2572" s="53">
        <v>-23.591752</v>
      </c>
      <c r="J2572" s="53">
        <v>-46.694507000000002</v>
      </c>
      <c r="L2572" s="61" t="str">
        <f t="shared" si="40"/>
        <v>Cliente45-Cliente29</v>
      </c>
      <c r="M2572">
        <v>78.563261999999995</v>
      </c>
    </row>
    <row r="2573" spans="1:13" x14ac:dyDescent="0.25">
      <c r="A2573" s="15" t="s">
        <v>4315</v>
      </c>
      <c r="B2573" s="15" t="s">
        <v>4300</v>
      </c>
      <c r="C2573" s="54">
        <v>84.490536000000006</v>
      </c>
      <c r="D2573" s="26">
        <v>9.375E-2</v>
      </c>
      <c r="E2573" s="55">
        <v>-23.457108000000002</v>
      </c>
      <c r="F2573" s="55">
        <v>-47.380490000000002</v>
      </c>
      <c r="G2573" s="55">
        <v>-23.519393999999998</v>
      </c>
      <c r="H2573" s="55">
        <v>-46.950279999999999</v>
      </c>
      <c r="I2573" s="55">
        <v>-23.560015</v>
      </c>
      <c r="J2573" s="55">
        <v>-46.613612000000003</v>
      </c>
      <c r="L2573" s="61" t="str">
        <f t="shared" si="40"/>
        <v>Cliente45-Cliente30</v>
      </c>
      <c r="M2573">
        <v>84.490536000000006</v>
      </c>
    </row>
    <row r="2574" spans="1:13" x14ac:dyDescent="0.25">
      <c r="A2574" s="15" t="s">
        <v>4315</v>
      </c>
      <c r="B2574" s="15" t="s">
        <v>4301</v>
      </c>
      <c r="C2574" s="52">
        <v>60.041383000000003</v>
      </c>
      <c r="D2574" s="25">
        <v>5.9722222222222225E-2</v>
      </c>
      <c r="E2574" s="53">
        <v>-23.494679000000001</v>
      </c>
      <c r="F2574" s="53">
        <v>-47.399363000000001</v>
      </c>
      <c r="G2574" s="53">
        <v>-23.415341999999999</v>
      </c>
      <c r="H2574" s="53">
        <v>-47.258564</v>
      </c>
      <c r="I2574" s="53">
        <v>-23.515863</v>
      </c>
      <c r="J2574" s="53">
        <v>-46.962871999999997</v>
      </c>
      <c r="L2574" s="61" t="str">
        <f t="shared" si="40"/>
        <v>Cliente45-Cliente31</v>
      </c>
      <c r="M2574">
        <v>60.041383000000003</v>
      </c>
    </row>
    <row r="2575" spans="1:13" x14ac:dyDescent="0.25">
      <c r="A2575" s="15" t="s">
        <v>4315</v>
      </c>
      <c r="B2575" s="15" t="s">
        <v>4302</v>
      </c>
      <c r="C2575" s="54">
        <v>64.497868999999994</v>
      </c>
      <c r="D2575" s="26">
        <v>6.3194444444444442E-2</v>
      </c>
      <c r="E2575" s="55">
        <v>-23.495273000000001</v>
      </c>
      <c r="F2575" s="55">
        <v>-47.391596999999997</v>
      </c>
      <c r="G2575" s="55">
        <v>-23.424537999999998</v>
      </c>
      <c r="H2575" s="55">
        <v>-47.147815000000001</v>
      </c>
      <c r="I2575" s="55">
        <v>-23.510182</v>
      </c>
      <c r="J2575" s="55">
        <v>-46.813160000000003</v>
      </c>
      <c r="L2575" s="61" t="str">
        <f t="shared" si="40"/>
        <v>Cliente45-Cliente32</v>
      </c>
      <c r="M2575">
        <v>64.497868999999994</v>
      </c>
    </row>
    <row r="2576" spans="1:13" x14ac:dyDescent="0.25">
      <c r="A2576" s="15" t="s">
        <v>4315</v>
      </c>
      <c r="B2576" s="15" t="s">
        <v>4303</v>
      </c>
      <c r="C2576" s="52">
        <v>78.509823999999995</v>
      </c>
      <c r="D2576" s="25">
        <v>7.7777777777777779E-2</v>
      </c>
      <c r="E2576" s="53">
        <v>-23.476161999999999</v>
      </c>
      <c r="F2576" s="53">
        <v>-47.380986</v>
      </c>
      <c r="G2576" s="53">
        <v>-23.454015999999999</v>
      </c>
      <c r="H2576" s="53">
        <v>-47.054217999999999</v>
      </c>
      <c r="I2576" s="53">
        <v>-23.508666000000002</v>
      </c>
      <c r="J2576" s="53">
        <v>-46.694088000000001</v>
      </c>
      <c r="L2576" s="61" t="str">
        <f t="shared" si="40"/>
        <v>Cliente45-Cliente33</v>
      </c>
      <c r="M2576">
        <v>78.509823999999995</v>
      </c>
    </row>
    <row r="2577" spans="1:13" x14ac:dyDescent="0.25">
      <c r="A2577" s="15" t="s">
        <v>4315</v>
      </c>
      <c r="B2577" s="15" t="s">
        <v>4304</v>
      </c>
      <c r="C2577" s="54">
        <v>59.295735999999998</v>
      </c>
      <c r="D2577" s="26">
        <v>5.9027777777777783E-2</v>
      </c>
      <c r="E2577" s="55">
        <v>-23.495273000000001</v>
      </c>
      <c r="F2577" s="55">
        <v>-47.391596999999997</v>
      </c>
      <c r="G2577" s="55">
        <v>-23.424537999999998</v>
      </c>
      <c r="H2577" s="55">
        <v>-47.147815000000001</v>
      </c>
      <c r="I2577" s="55">
        <v>-23.507923000000002</v>
      </c>
      <c r="J2577" s="55">
        <v>-46.831919999999997</v>
      </c>
      <c r="L2577" s="61" t="str">
        <f t="shared" si="40"/>
        <v>Cliente45-Cliente34</v>
      </c>
      <c r="M2577">
        <v>59.295735999999998</v>
      </c>
    </row>
    <row r="2578" spans="1:13" x14ac:dyDescent="0.25">
      <c r="A2578" s="15" t="s">
        <v>4315</v>
      </c>
      <c r="B2578" s="15" t="s">
        <v>4305</v>
      </c>
      <c r="C2578" s="52">
        <v>58.019437000000003</v>
      </c>
      <c r="D2578" s="25">
        <v>5.7638888888888885E-2</v>
      </c>
      <c r="E2578" s="53">
        <v>-23.495636999999999</v>
      </c>
      <c r="F2578" s="53">
        <v>-47.393016000000003</v>
      </c>
      <c r="G2578" s="53">
        <v>-23.419070999999999</v>
      </c>
      <c r="H2578" s="53">
        <v>-47.220311000000002</v>
      </c>
      <c r="I2578" s="53">
        <v>-23.504987</v>
      </c>
      <c r="J2578" s="53">
        <v>-46.871729000000002</v>
      </c>
      <c r="L2578" s="61" t="str">
        <f t="shared" ref="L2578:L2641" si="41">_xlfn.CONCAT(A2578,"-",B2578)</f>
        <v>Cliente45-Cliente35</v>
      </c>
      <c r="M2578">
        <v>58.019437000000003</v>
      </c>
    </row>
    <row r="2579" spans="1:13" x14ac:dyDescent="0.25">
      <c r="A2579" s="15" t="s">
        <v>4315</v>
      </c>
      <c r="B2579" s="15" t="s">
        <v>4306</v>
      </c>
      <c r="C2579" s="54">
        <v>128.42718099999999</v>
      </c>
      <c r="D2579" s="26">
        <v>0.11666666666666665</v>
      </c>
      <c r="E2579" s="55">
        <v>-23.413931000000002</v>
      </c>
      <c r="F2579" s="55">
        <v>-47.343491</v>
      </c>
      <c r="G2579" s="55">
        <v>-22.791008999999999</v>
      </c>
      <c r="H2579" s="55">
        <v>-47.582430000000002</v>
      </c>
      <c r="I2579" s="55">
        <v>-22.343990000000002</v>
      </c>
      <c r="J2579" s="55">
        <v>-47.651508</v>
      </c>
      <c r="L2579" s="61" t="str">
        <f t="shared" si="41"/>
        <v>Cliente45-Cliente36</v>
      </c>
      <c r="M2579">
        <v>128.42718099999999</v>
      </c>
    </row>
    <row r="2580" spans="1:13" x14ac:dyDescent="0.25">
      <c r="A2580" s="15" t="s">
        <v>4315</v>
      </c>
      <c r="B2580" s="15" t="s">
        <v>4307</v>
      </c>
      <c r="C2580" s="52">
        <v>127.33045799999999</v>
      </c>
      <c r="D2580" s="25">
        <v>0.11527777777777777</v>
      </c>
      <c r="E2580" s="53">
        <v>-23.409891999999999</v>
      </c>
      <c r="F2580" s="53">
        <v>-47.340181000000001</v>
      </c>
      <c r="G2580" s="53">
        <v>-22.747537999999999</v>
      </c>
      <c r="H2580" s="53">
        <v>-47.599165999999997</v>
      </c>
      <c r="I2580" s="53">
        <v>-22.326243999999999</v>
      </c>
      <c r="J2580" s="53">
        <v>-47.656668000000003</v>
      </c>
      <c r="L2580" s="61" t="str">
        <f t="shared" si="41"/>
        <v>Cliente45-Cliente37</v>
      </c>
      <c r="M2580">
        <v>127.33045799999999</v>
      </c>
    </row>
    <row r="2581" spans="1:13" x14ac:dyDescent="0.25">
      <c r="A2581" s="15" t="s">
        <v>4315</v>
      </c>
      <c r="B2581" s="15" t="s">
        <v>4308</v>
      </c>
      <c r="C2581" s="54">
        <v>125.553954</v>
      </c>
      <c r="D2581" s="26">
        <v>0.1125</v>
      </c>
      <c r="E2581" s="55">
        <v>-23.419201999999999</v>
      </c>
      <c r="F2581" s="55">
        <v>-47.350133999999997</v>
      </c>
      <c r="G2581" s="55">
        <v>-22.810552000000001</v>
      </c>
      <c r="H2581" s="55">
        <v>-47.576448999999997</v>
      </c>
      <c r="I2581" s="55">
        <v>-22.360865</v>
      </c>
      <c r="J2581" s="55">
        <v>-47.634881</v>
      </c>
      <c r="L2581" s="61" t="str">
        <f t="shared" si="41"/>
        <v>Cliente45-Cliente38</v>
      </c>
      <c r="M2581">
        <v>125.553954</v>
      </c>
    </row>
    <row r="2582" spans="1:13" x14ac:dyDescent="0.25">
      <c r="A2582" s="15" t="s">
        <v>4315</v>
      </c>
      <c r="B2582" s="15" t="s">
        <v>4309</v>
      </c>
      <c r="C2582" s="52">
        <v>144.50395800000001</v>
      </c>
      <c r="D2582" s="25">
        <v>0.13472222222222222</v>
      </c>
      <c r="E2582" s="53">
        <v>-23.416263000000001</v>
      </c>
      <c r="F2582" s="53">
        <v>-47.256810999999999</v>
      </c>
      <c r="G2582" s="53">
        <v>-23.518045000000001</v>
      </c>
      <c r="H2582" s="53">
        <v>-46.741480000000003</v>
      </c>
      <c r="I2582" s="53">
        <v>-23.355936</v>
      </c>
      <c r="J2582" s="53">
        <v>-46.205038000000002</v>
      </c>
      <c r="L2582" s="61" t="str">
        <f t="shared" si="41"/>
        <v>Cliente45-Cliente39</v>
      </c>
      <c r="M2582">
        <v>144.50395800000001</v>
      </c>
    </row>
    <row r="2583" spans="1:13" x14ac:dyDescent="0.25">
      <c r="A2583" s="15" t="s">
        <v>4315</v>
      </c>
      <c r="B2583" s="15" t="s">
        <v>4310</v>
      </c>
      <c r="C2583" s="54">
        <v>149.359365</v>
      </c>
      <c r="D2583" s="26">
        <v>0.14305555555555557</v>
      </c>
      <c r="E2583" s="55">
        <v>-23.423088</v>
      </c>
      <c r="F2583" s="55">
        <v>-47.236001000000002</v>
      </c>
      <c r="G2583" s="55">
        <v>-23.511424000000002</v>
      </c>
      <c r="H2583" s="55">
        <v>-46.682501000000002</v>
      </c>
      <c r="I2583" s="55">
        <v>-23.315826999999999</v>
      </c>
      <c r="J2583" s="55">
        <v>-46.077250999999997</v>
      </c>
      <c r="L2583" s="61" t="str">
        <f t="shared" si="41"/>
        <v>Cliente45-Cliente40</v>
      </c>
      <c r="M2583">
        <v>149.359365</v>
      </c>
    </row>
    <row r="2584" spans="1:13" x14ac:dyDescent="0.25">
      <c r="A2584" s="15" t="s">
        <v>4315</v>
      </c>
      <c r="B2584" s="15" t="s">
        <v>4311</v>
      </c>
      <c r="C2584" s="52">
        <v>135.54252099999999</v>
      </c>
      <c r="D2584" s="25">
        <v>0.12916666666666668</v>
      </c>
      <c r="E2584" s="53">
        <v>-23.422502999999999</v>
      </c>
      <c r="F2584" s="53">
        <v>-47.246068999999999</v>
      </c>
      <c r="G2584" s="53">
        <v>-23.512931999999999</v>
      </c>
      <c r="H2584" s="53">
        <v>-46.722610000000003</v>
      </c>
      <c r="I2584" s="53">
        <v>-23.352357999999999</v>
      </c>
      <c r="J2584" s="53">
        <v>-46.181800000000003</v>
      </c>
      <c r="L2584" s="61" t="str">
        <f t="shared" si="41"/>
        <v>Cliente45-Cliente41</v>
      </c>
      <c r="M2584">
        <v>135.54252099999999</v>
      </c>
    </row>
    <row r="2585" spans="1:13" x14ac:dyDescent="0.25">
      <c r="A2585" s="15" t="s">
        <v>4315</v>
      </c>
      <c r="B2585" s="15" t="s">
        <v>4312</v>
      </c>
      <c r="C2585" s="54">
        <v>132.07153199999999</v>
      </c>
      <c r="D2585" s="26">
        <v>0.12152777777777778</v>
      </c>
      <c r="E2585" s="55">
        <v>-23.409616</v>
      </c>
      <c r="F2585" s="55">
        <v>-47.280296</v>
      </c>
      <c r="G2585" s="55">
        <v>-23.519379000000001</v>
      </c>
      <c r="H2585" s="55">
        <v>-46.784190000000002</v>
      </c>
      <c r="I2585" s="55">
        <v>-23.397445000000001</v>
      </c>
      <c r="J2585" s="55">
        <v>-46.293413000000001</v>
      </c>
      <c r="L2585" s="61" t="str">
        <f t="shared" si="41"/>
        <v>Cliente45-Cliente42</v>
      </c>
      <c r="M2585">
        <v>132.07153199999999</v>
      </c>
    </row>
    <row r="2586" spans="1:13" x14ac:dyDescent="0.25">
      <c r="A2586" s="15" t="s">
        <v>4315</v>
      </c>
      <c r="B2586" s="15" t="s">
        <v>4313</v>
      </c>
      <c r="C2586" s="52">
        <v>154.72429700000001</v>
      </c>
      <c r="D2586" s="25">
        <v>0.14166666666666666</v>
      </c>
      <c r="E2586" s="53">
        <v>-23.423573000000001</v>
      </c>
      <c r="F2586" s="53">
        <v>-47.239342000000001</v>
      </c>
      <c r="G2586" s="53">
        <v>-23.508472999999999</v>
      </c>
      <c r="H2586" s="53">
        <v>-46.696153000000002</v>
      </c>
      <c r="I2586" s="53">
        <v>-23.321628</v>
      </c>
      <c r="J2586" s="53">
        <v>-46.097070000000002</v>
      </c>
      <c r="L2586" s="61" t="str">
        <f t="shared" si="41"/>
        <v>Cliente45-Cliente43</v>
      </c>
      <c r="M2586">
        <v>154.72429700000001</v>
      </c>
    </row>
    <row r="2587" spans="1:13" x14ac:dyDescent="0.25">
      <c r="A2587" s="15" t="s">
        <v>4315</v>
      </c>
      <c r="B2587" s="15" t="s">
        <v>4314</v>
      </c>
      <c r="C2587" s="54">
        <v>5.9365949999999996</v>
      </c>
      <c r="D2587" s="26">
        <v>1.3888888888888888E-2</v>
      </c>
      <c r="E2587" s="55">
        <v>-23.490100999999999</v>
      </c>
      <c r="F2587" s="55">
        <v>-47.496727999999997</v>
      </c>
      <c r="G2587" s="55">
        <v>-23.487161</v>
      </c>
      <c r="H2587" s="55">
        <v>-47.481290000000001</v>
      </c>
      <c r="I2587" s="55">
        <v>-23.484119</v>
      </c>
      <c r="J2587" s="55">
        <v>-47.471339999999998</v>
      </c>
      <c r="L2587" s="61" t="str">
        <f t="shared" si="41"/>
        <v>Cliente45-Cliente44</v>
      </c>
      <c r="M2587">
        <v>5.9365949999999996</v>
      </c>
    </row>
    <row r="2588" spans="1:13" x14ac:dyDescent="0.25">
      <c r="A2588" s="15" t="s">
        <v>4315</v>
      </c>
      <c r="B2588" s="15" t="s">
        <v>4315</v>
      </c>
      <c r="C2588" s="52">
        <v>0</v>
      </c>
      <c r="D2588" s="25">
        <v>0</v>
      </c>
      <c r="E2588" s="53">
        <f>'1. Locais'!D49</f>
        <v>-23.495629999999998</v>
      </c>
      <c r="F2588" s="53">
        <f>'1. Locais'!E49</f>
        <v>-47.511209999999998</v>
      </c>
      <c r="G2588" s="53">
        <f>'1. Locais'!D49</f>
        <v>-23.495629999999998</v>
      </c>
      <c r="H2588" s="53">
        <f>'1. Locais'!E49</f>
        <v>-47.511209999999998</v>
      </c>
      <c r="I2588" s="53">
        <f>'1. Locais'!D49</f>
        <v>-23.495629999999998</v>
      </c>
      <c r="J2588" s="53">
        <f>'1. Locais'!E49</f>
        <v>-47.511209999999998</v>
      </c>
      <c r="L2588" s="61" t="str">
        <f t="shared" si="41"/>
        <v>Cliente45-Cliente45</v>
      </c>
      <c r="M2588">
        <v>0</v>
      </c>
    </row>
    <row r="2589" spans="1:13" x14ac:dyDescent="0.25">
      <c r="A2589" s="15" t="s">
        <v>4315</v>
      </c>
      <c r="B2589" s="15" t="s">
        <v>4316</v>
      </c>
      <c r="C2589" s="54">
        <v>3.4958429999999998</v>
      </c>
      <c r="D2589" s="26">
        <v>9.7222222222222224E-3</v>
      </c>
      <c r="E2589" s="55">
        <v>-23.489605000000001</v>
      </c>
      <c r="F2589" s="55">
        <v>-47.500131000000003</v>
      </c>
      <c r="G2589" s="55">
        <v>-23.489467000000001</v>
      </c>
      <c r="H2589" s="55">
        <v>-47.494543999999998</v>
      </c>
      <c r="I2589" s="55">
        <v>-23.488285999999999</v>
      </c>
      <c r="J2589" s="55">
        <v>-47.478301000000002</v>
      </c>
      <c r="L2589" s="61" t="str">
        <f t="shared" si="41"/>
        <v>Cliente45-Cliente46</v>
      </c>
      <c r="M2589">
        <v>3.4958429999999998</v>
      </c>
    </row>
    <row r="2590" spans="1:13" x14ac:dyDescent="0.25">
      <c r="A2590" s="15" t="s">
        <v>4315</v>
      </c>
      <c r="B2590" s="15" t="s">
        <v>4317</v>
      </c>
      <c r="C2590" s="52">
        <v>186.52677499999999</v>
      </c>
      <c r="D2590" s="25">
        <v>0.15902777777777777</v>
      </c>
      <c r="E2590" s="53">
        <v>-23.195008000000001</v>
      </c>
      <c r="F2590" s="53">
        <v>-47.324814000000003</v>
      </c>
      <c r="G2590" s="53">
        <v>-22.679902999999999</v>
      </c>
      <c r="H2590" s="53">
        <v>-47.441422000000003</v>
      </c>
      <c r="I2590" s="53">
        <v>-22.228504999999998</v>
      </c>
      <c r="J2590" s="53">
        <v>-47.391308000000002</v>
      </c>
      <c r="L2590" s="61" t="str">
        <f t="shared" si="41"/>
        <v>Cliente45-Cliente47</v>
      </c>
      <c r="M2590">
        <v>186.52677499999999</v>
      </c>
    </row>
    <row r="2591" spans="1:13" x14ac:dyDescent="0.25">
      <c r="A2591" s="15" t="s">
        <v>4315</v>
      </c>
      <c r="B2591" s="15" t="s">
        <v>4318</v>
      </c>
      <c r="C2591" s="54">
        <v>195.63796300000001</v>
      </c>
      <c r="D2591" s="26">
        <v>0.1673611111111111</v>
      </c>
      <c r="E2591" s="55">
        <v>-23.083693</v>
      </c>
      <c r="F2591" s="55">
        <v>-47.400463000000002</v>
      </c>
      <c r="G2591" s="55">
        <v>-22.577680000000001</v>
      </c>
      <c r="H2591" s="55">
        <v>-47.459415</v>
      </c>
      <c r="I2591" s="55">
        <v>-21.74025</v>
      </c>
      <c r="J2591" s="55">
        <v>-47.580210000000001</v>
      </c>
      <c r="L2591" s="61" t="str">
        <f t="shared" si="41"/>
        <v>Cliente45-Cliente48</v>
      </c>
      <c r="M2591">
        <v>195.63796300000001</v>
      </c>
    </row>
    <row r="2592" spans="1:13" x14ac:dyDescent="0.25">
      <c r="A2592" s="15" t="s">
        <v>4315</v>
      </c>
      <c r="B2592" s="15" t="s">
        <v>4319</v>
      </c>
      <c r="C2592" s="52">
        <v>189.27572799999999</v>
      </c>
      <c r="D2592" s="25">
        <v>0.16250000000000001</v>
      </c>
      <c r="E2592" s="53">
        <v>-23.127994000000001</v>
      </c>
      <c r="F2592" s="53">
        <v>-47.366145000000003</v>
      </c>
      <c r="G2592" s="53">
        <v>-22.609062000000002</v>
      </c>
      <c r="H2592" s="53">
        <v>-47.459924999999998</v>
      </c>
      <c r="I2592" s="53">
        <v>-21.854555000000001</v>
      </c>
      <c r="J2592" s="53">
        <v>-47.494605999999997</v>
      </c>
      <c r="L2592" s="61" t="str">
        <f t="shared" si="41"/>
        <v>Cliente45-Cliente49</v>
      </c>
      <c r="M2592">
        <v>189.27572799999999</v>
      </c>
    </row>
    <row r="2593" spans="1:13" x14ac:dyDescent="0.25">
      <c r="A2593" s="15" t="s">
        <v>4315</v>
      </c>
      <c r="B2593" s="15" t="s">
        <v>4320</v>
      </c>
      <c r="C2593" s="54">
        <v>157.12403800000001</v>
      </c>
      <c r="D2593" s="26">
        <v>0.14097222222222222</v>
      </c>
      <c r="E2593" s="55">
        <v>-23.380123999999999</v>
      </c>
      <c r="F2593" s="55">
        <v>-47.519052000000002</v>
      </c>
      <c r="G2593" s="55">
        <v>-23.194188</v>
      </c>
      <c r="H2593" s="55">
        <v>-48.245471000000002</v>
      </c>
      <c r="I2593" s="55">
        <v>-22.846036000000002</v>
      </c>
      <c r="J2593" s="55">
        <v>-48.507477999999999</v>
      </c>
      <c r="L2593" s="61" t="str">
        <f t="shared" si="41"/>
        <v>Cliente45-Cliente50</v>
      </c>
      <c r="M2593">
        <v>157.12403800000001</v>
      </c>
    </row>
    <row r="2594" spans="1:13" x14ac:dyDescent="0.25">
      <c r="A2594" s="15" t="s">
        <v>4315</v>
      </c>
      <c r="B2594" s="15" t="s">
        <v>4321</v>
      </c>
      <c r="C2594" s="52">
        <v>156.022966</v>
      </c>
      <c r="D2594" s="25">
        <v>0.1388888888888889</v>
      </c>
      <c r="E2594" s="53">
        <v>-23.382978999999999</v>
      </c>
      <c r="F2594" s="53">
        <v>-47.516866</v>
      </c>
      <c r="G2594" s="53">
        <v>-23.193252000000001</v>
      </c>
      <c r="H2594" s="53">
        <v>-48.240932999999998</v>
      </c>
      <c r="I2594" s="53">
        <v>-22.876194000000002</v>
      </c>
      <c r="J2594" s="53">
        <v>-48.479697000000002</v>
      </c>
      <c r="L2594" s="61" t="str">
        <f t="shared" si="41"/>
        <v>Cliente45-Cliente51</v>
      </c>
      <c r="M2594">
        <v>156.022966</v>
      </c>
    </row>
    <row r="2595" spans="1:13" x14ac:dyDescent="0.25">
      <c r="A2595" s="15" t="s">
        <v>4316</v>
      </c>
      <c r="B2595" s="15" t="s">
        <v>4268</v>
      </c>
      <c r="C2595" s="54">
        <v>24.722556999999998</v>
      </c>
      <c r="D2595" s="26">
        <v>2.4999999999999998E-2</v>
      </c>
      <c r="E2595" s="55">
        <v>-23.496991000000001</v>
      </c>
      <c r="F2595" s="55">
        <v>-47.455030999999998</v>
      </c>
      <c r="G2595" s="55">
        <v>-23.479980999999999</v>
      </c>
      <c r="H2595" s="55">
        <v>-47.440835999999997</v>
      </c>
      <c r="I2595" s="55">
        <v>-23.300086</v>
      </c>
      <c r="J2595" s="55">
        <v>-47.331899999999997</v>
      </c>
      <c r="L2595" s="61" t="str">
        <f t="shared" si="41"/>
        <v>Cliente46-depósito A</v>
      </c>
      <c r="M2595">
        <v>24.722556999999998</v>
      </c>
    </row>
    <row r="2596" spans="1:13" x14ac:dyDescent="0.25">
      <c r="A2596" s="15" t="s">
        <v>4316</v>
      </c>
      <c r="B2596" s="15" t="s">
        <v>4269</v>
      </c>
      <c r="C2596" s="52">
        <v>148.338449</v>
      </c>
      <c r="D2596" s="25">
        <v>0.12430555555555556</v>
      </c>
      <c r="E2596" s="53">
        <v>-23.195008000000001</v>
      </c>
      <c r="F2596" s="53">
        <v>-47.324814000000003</v>
      </c>
      <c r="G2596" s="53">
        <v>-22.705390000000001</v>
      </c>
      <c r="H2596" s="53">
        <v>-47.611612999999998</v>
      </c>
      <c r="I2596" s="53">
        <v>-22.312868999999999</v>
      </c>
      <c r="J2596" s="53">
        <v>-47.664707999999997</v>
      </c>
      <c r="L2596" s="61" t="str">
        <f t="shared" si="41"/>
        <v>Cliente46-depósito B</v>
      </c>
      <c r="M2596">
        <v>148.338449</v>
      </c>
    </row>
    <row r="2597" spans="1:13" x14ac:dyDescent="0.25">
      <c r="A2597" s="15" t="s">
        <v>4316</v>
      </c>
      <c r="B2597" s="15" t="s">
        <v>4270</v>
      </c>
      <c r="C2597" s="54">
        <v>108.164216</v>
      </c>
      <c r="D2597" s="26">
        <v>9.7916666666666666E-2</v>
      </c>
      <c r="E2597" s="55">
        <v>-23.427755999999999</v>
      </c>
      <c r="F2597" s="55">
        <v>-47.142021999999997</v>
      </c>
      <c r="G2597" s="55">
        <v>-23.521049999999999</v>
      </c>
      <c r="H2597" s="55">
        <v>-46.746671999999997</v>
      </c>
      <c r="I2597" s="55">
        <v>-23.397765</v>
      </c>
      <c r="J2597" s="55">
        <v>-46.294376</v>
      </c>
      <c r="L2597" s="61" t="str">
        <f t="shared" si="41"/>
        <v>Cliente46-depósito C</v>
      </c>
      <c r="M2597">
        <v>108.164216</v>
      </c>
    </row>
    <row r="2598" spans="1:13" x14ac:dyDescent="0.25">
      <c r="A2598" s="15" t="s">
        <v>4316</v>
      </c>
      <c r="B2598" s="15" t="s">
        <v>4271</v>
      </c>
      <c r="C2598" s="52">
        <v>56.809623999999999</v>
      </c>
      <c r="D2598" s="25">
        <v>5.1388888888888894E-2</v>
      </c>
      <c r="E2598" s="53">
        <v>-23.479261999999999</v>
      </c>
      <c r="F2598" s="53">
        <v>-47.441333999999998</v>
      </c>
      <c r="G2598" s="53">
        <v>-23.176121999999999</v>
      </c>
      <c r="H2598" s="53">
        <v>-47.272086999999999</v>
      </c>
      <c r="I2598" s="53">
        <v>-23.016068000000001</v>
      </c>
      <c r="J2598" s="53">
        <v>-47.084893000000001</v>
      </c>
      <c r="L2598" s="61" t="str">
        <f t="shared" si="41"/>
        <v>Cliente46-Cliente1</v>
      </c>
      <c r="M2598">
        <v>56.809623999999999</v>
      </c>
    </row>
    <row r="2599" spans="1:13" x14ac:dyDescent="0.25">
      <c r="A2599" s="15" t="s">
        <v>4316</v>
      </c>
      <c r="B2599" s="15" t="s">
        <v>4272</v>
      </c>
      <c r="C2599" s="54">
        <v>56.340487000000003</v>
      </c>
      <c r="D2599" s="26">
        <v>5.347222222222222E-2</v>
      </c>
      <c r="E2599" s="55">
        <v>-23.479261999999999</v>
      </c>
      <c r="F2599" s="55">
        <v>-47.441333999999998</v>
      </c>
      <c r="G2599" s="55">
        <v>-23.176445000000001</v>
      </c>
      <c r="H2599" s="55">
        <v>-47.272319000000003</v>
      </c>
      <c r="I2599" s="55">
        <v>-22.931422999999999</v>
      </c>
      <c r="J2599" s="55">
        <v>-47.071187999999999</v>
      </c>
      <c r="L2599" s="61" t="str">
        <f t="shared" si="41"/>
        <v>Cliente46-Cliente2</v>
      </c>
      <c r="M2599">
        <v>56.340487000000003</v>
      </c>
    </row>
    <row r="2600" spans="1:13" x14ac:dyDescent="0.25">
      <c r="A2600" s="15" t="s">
        <v>4316</v>
      </c>
      <c r="B2600" s="15" t="s">
        <v>4273</v>
      </c>
      <c r="C2600" s="52">
        <v>58.556924000000002</v>
      </c>
      <c r="D2600" s="25">
        <v>5.4166666666666669E-2</v>
      </c>
      <c r="E2600" s="53">
        <v>-23.461379000000001</v>
      </c>
      <c r="F2600" s="53">
        <v>-47.410319000000001</v>
      </c>
      <c r="G2600" s="53">
        <v>-23.141978999999999</v>
      </c>
      <c r="H2600" s="53">
        <v>-47.247895999999997</v>
      </c>
      <c r="I2600" s="53">
        <v>-23.005241999999999</v>
      </c>
      <c r="J2600" s="53">
        <v>-47.083097000000002</v>
      </c>
      <c r="L2600" s="61" t="str">
        <f t="shared" si="41"/>
        <v>Cliente46-Cliente3</v>
      </c>
      <c r="M2600">
        <v>58.556924000000002</v>
      </c>
    </row>
    <row r="2601" spans="1:13" x14ac:dyDescent="0.25">
      <c r="A2601" s="15" t="s">
        <v>4316</v>
      </c>
      <c r="B2601" s="15" t="s">
        <v>4274</v>
      </c>
      <c r="C2601" s="54">
        <v>64.069743000000003</v>
      </c>
      <c r="D2601" s="26">
        <v>5.8333333333333327E-2</v>
      </c>
      <c r="E2601" s="55">
        <v>-23.419201999999999</v>
      </c>
      <c r="F2601" s="55">
        <v>-47.350133999999997</v>
      </c>
      <c r="G2601" s="55">
        <v>-23.112553999999999</v>
      </c>
      <c r="H2601" s="55">
        <v>-47.211221000000002</v>
      </c>
      <c r="I2601" s="55">
        <v>-22.900372999999998</v>
      </c>
      <c r="J2601" s="55">
        <v>-47.136681000000003</v>
      </c>
      <c r="L2601" s="61" t="str">
        <f t="shared" si="41"/>
        <v>Cliente46-Cliente4</v>
      </c>
      <c r="M2601">
        <v>64.069743000000003</v>
      </c>
    </row>
    <row r="2602" spans="1:13" x14ac:dyDescent="0.25">
      <c r="A2602" s="15" t="s">
        <v>4316</v>
      </c>
      <c r="B2602" s="15" t="s">
        <v>4275</v>
      </c>
      <c r="C2602" s="52">
        <v>64.162948999999998</v>
      </c>
      <c r="D2602" s="25">
        <v>5.9027777777777783E-2</v>
      </c>
      <c r="E2602" s="53">
        <v>-23.455164</v>
      </c>
      <c r="F2602" s="53">
        <v>-47.401325999999997</v>
      </c>
      <c r="G2602" s="53">
        <v>-23.119616000000001</v>
      </c>
      <c r="H2602" s="53">
        <v>-47.219893999999996</v>
      </c>
      <c r="I2602" s="53">
        <v>-22.912247000000001</v>
      </c>
      <c r="J2602" s="53">
        <v>-47.136132000000003</v>
      </c>
      <c r="L2602" s="61" t="str">
        <f t="shared" si="41"/>
        <v>Cliente46-Cliente5</v>
      </c>
      <c r="M2602">
        <v>64.162948999999998</v>
      </c>
    </row>
    <row r="2603" spans="1:13" x14ac:dyDescent="0.25">
      <c r="A2603" s="15" t="s">
        <v>4316</v>
      </c>
      <c r="B2603" s="15" t="s">
        <v>4276</v>
      </c>
      <c r="C2603" s="54">
        <v>57.500590000000003</v>
      </c>
      <c r="D2603" s="26">
        <v>5.1388888888888894E-2</v>
      </c>
      <c r="E2603" s="55">
        <v>-23.466491999999999</v>
      </c>
      <c r="F2603" s="55">
        <v>-47.418557999999997</v>
      </c>
      <c r="G2603" s="55">
        <v>-23.166637999999999</v>
      </c>
      <c r="H2603" s="55">
        <v>-47.266458999999998</v>
      </c>
      <c r="I2603" s="55">
        <v>-23.01362</v>
      </c>
      <c r="J2603" s="55">
        <v>-47.084327000000002</v>
      </c>
      <c r="L2603" s="61" t="str">
        <f t="shared" si="41"/>
        <v>Cliente46-Cliente6</v>
      </c>
      <c r="M2603">
        <v>57.500590000000003</v>
      </c>
    </row>
    <row r="2604" spans="1:13" x14ac:dyDescent="0.25">
      <c r="A2604" s="15" t="s">
        <v>4316</v>
      </c>
      <c r="B2604" s="15" t="s">
        <v>4277</v>
      </c>
      <c r="C2604" s="52">
        <v>51.663415000000001</v>
      </c>
      <c r="D2604" s="25">
        <v>4.7222222222222221E-2</v>
      </c>
      <c r="E2604" s="53">
        <v>-23.489367999999999</v>
      </c>
      <c r="F2604" s="53">
        <v>-47.439624999999999</v>
      </c>
      <c r="G2604" s="53">
        <v>-23.243389000000001</v>
      </c>
      <c r="H2604" s="53">
        <v>-47.316158999999999</v>
      </c>
      <c r="I2604" s="53">
        <v>-23.061689000000001</v>
      </c>
      <c r="J2604" s="53">
        <v>-47.153171999999998</v>
      </c>
      <c r="L2604" s="61" t="str">
        <f t="shared" si="41"/>
        <v>Cliente46-Cliente7</v>
      </c>
      <c r="M2604">
        <v>51.663415000000001</v>
      </c>
    </row>
    <row r="2605" spans="1:13" x14ac:dyDescent="0.25">
      <c r="A2605" s="15" t="s">
        <v>4316</v>
      </c>
      <c r="B2605" s="15" t="s">
        <v>4278</v>
      </c>
      <c r="C2605" s="54">
        <v>64.930344000000005</v>
      </c>
      <c r="D2605" s="26">
        <v>5.8333333333333327E-2</v>
      </c>
      <c r="E2605" s="55">
        <v>-23.384720000000002</v>
      </c>
      <c r="F2605" s="55">
        <v>-47.328277999999997</v>
      </c>
      <c r="G2605" s="55">
        <v>-23.018224</v>
      </c>
      <c r="H2605" s="55">
        <v>-47.120331999999998</v>
      </c>
      <c r="I2605" s="55">
        <v>-22.933881</v>
      </c>
      <c r="J2605" s="55">
        <v>-47.010176999999999</v>
      </c>
      <c r="L2605" s="61" t="str">
        <f t="shared" si="41"/>
        <v>Cliente46-Cliente8</v>
      </c>
      <c r="M2605">
        <v>64.930344000000005</v>
      </c>
    </row>
    <row r="2606" spans="1:13" x14ac:dyDescent="0.25">
      <c r="A2606" s="15" t="s">
        <v>4316</v>
      </c>
      <c r="B2606" s="15" t="s">
        <v>4279</v>
      </c>
      <c r="C2606" s="52">
        <v>72.667676999999998</v>
      </c>
      <c r="D2606" s="25">
        <v>6.6666666666666666E-2</v>
      </c>
      <c r="E2606" s="53">
        <v>-23.413931000000002</v>
      </c>
      <c r="F2606" s="53">
        <v>-47.343491</v>
      </c>
      <c r="G2606" s="53">
        <v>-23.063279999999999</v>
      </c>
      <c r="H2606" s="53">
        <v>-47.154595999999998</v>
      </c>
      <c r="I2606" s="53">
        <v>-22.870587</v>
      </c>
      <c r="J2606" s="53">
        <v>-47.131515</v>
      </c>
      <c r="L2606" s="61" t="str">
        <f t="shared" si="41"/>
        <v>Cliente46-Cliente9</v>
      </c>
      <c r="M2606">
        <v>72.667676999999998</v>
      </c>
    </row>
    <row r="2607" spans="1:13" x14ac:dyDescent="0.25">
      <c r="A2607" s="15" t="s">
        <v>4316</v>
      </c>
      <c r="B2607" s="15" t="s">
        <v>4280</v>
      </c>
      <c r="C2607" s="54">
        <v>61.917929000000001</v>
      </c>
      <c r="D2607" s="26">
        <v>6.3194444444444442E-2</v>
      </c>
      <c r="E2607" s="55">
        <v>-23.405757000000001</v>
      </c>
      <c r="F2607" s="55">
        <v>-47.305109999999999</v>
      </c>
      <c r="G2607" s="55">
        <v>-23.468008999999999</v>
      </c>
      <c r="H2607" s="55">
        <v>-47.022302000000003</v>
      </c>
      <c r="I2607" s="55">
        <v>-23.518305999999999</v>
      </c>
      <c r="J2607" s="55">
        <v>-46.733446000000001</v>
      </c>
      <c r="L2607" s="61" t="str">
        <f t="shared" si="41"/>
        <v>Cliente46-Cliente10</v>
      </c>
      <c r="M2607">
        <v>61.917929000000001</v>
      </c>
    </row>
    <row r="2608" spans="1:13" x14ac:dyDescent="0.25">
      <c r="A2608" s="15" t="s">
        <v>4316</v>
      </c>
      <c r="B2608" s="15" t="s">
        <v>4281</v>
      </c>
      <c r="C2608" s="52">
        <v>64.005120000000005</v>
      </c>
      <c r="D2608" s="25">
        <v>5.7638888888888885E-2</v>
      </c>
      <c r="E2608" s="53">
        <v>-23.486554000000002</v>
      </c>
      <c r="F2608" s="53">
        <v>-47.43826</v>
      </c>
      <c r="G2608" s="53">
        <v>-23.196601999999999</v>
      </c>
      <c r="H2608" s="53">
        <v>-47.324081</v>
      </c>
      <c r="I2608" s="53">
        <v>-22.880531999999999</v>
      </c>
      <c r="J2608" s="53">
        <v>-47.525047000000001</v>
      </c>
      <c r="L2608" s="61" t="str">
        <f t="shared" si="41"/>
        <v>Cliente46-Cliente11</v>
      </c>
      <c r="M2608">
        <v>64.005120000000005</v>
      </c>
    </row>
    <row r="2609" spans="1:13" x14ac:dyDescent="0.25">
      <c r="A2609" s="15" t="s">
        <v>4316</v>
      </c>
      <c r="B2609" s="15" t="s">
        <v>4282</v>
      </c>
      <c r="C2609" s="54">
        <v>107.205438</v>
      </c>
      <c r="D2609" s="26">
        <v>9.7916666666666666E-2</v>
      </c>
      <c r="E2609" s="55">
        <v>-23.428270000000001</v>
      </c>
      <c r="F2609" s="55">
        <v>-47.140895999999998</v>
      </c>
      <c r="G2609" s="55">
        <v>-23.52008</v>
      </c>
      <c r="H2609" s="55">
        <v>-46.746032</v>
      </c>
      <c r="I2609" s="55">
        <v>-23.394511999999999</v>
      </c>
      <c r="J2609" s="55">
        <v>-46.288277999999998</v>
      </c>
      <c r="L2609" s="61" t="str">
        <f t="shared" si="41"/>
        <v>Cliente46-Cliente12</v>
      </c>
      <c r="M2609">
        <v>107.205438</v>
      </c>
    </row>
    <row r="2610" spans="1:13" x14ac:dyDescent="0.25">
      <c r="A2610" s="15" t="s">
        <v>4316</v>
      </c>
      <c r="B2610" s="15" t="s">
        <v>4283</v>
      </c>
      <c r="C2610" s="52">
        <v>115.089416</v>
      </c>
      <c r="D2610" s="25">
        <v>0.10347222222222223</v>
      </c>
      <c r="E2610" s="53">
        <v>-23.428932</v>
      </c>
      <c r="F2610" s="53">
        <v>-47.132683</v>
      </c>
      <c r="G2610" s="53">
        <v>-23.513279000000001</v>
      </c>
      <c r="H2610" s="53">
        <v>-46.723036999999998</v>
      </c>
      <c r="I2610" s="53">
        <v>-23.369465000000002</v>
      </c>
      <c r="J2610" s="53">
        <v>-46.239342999999998</v>
      </c>
      <c r="L2610" s="61" t="str">
        <f t="shared" si="41"/>
        <v>Cliente46-Cliente13</v>
      </c>
      <c r="M2610">
        <v>115.089416</v>
      </c>
    </row>
    <row r="2611" spans="1:13" x14ac:dyDescent="0.25">
      <c r="A2611" s="15" t="s">
        <v>4316</v>
      </c>
      <c r="B2611" s="15" t="s">
        <v>4284</v>
      </c>
      <c r="C2611" s="54">
        <v>113.15197499999999</v>
      </c>
      <c r="D2611" s="26">
        <v>9.9999999999999992E-2</v>
      </c>
      <c r="E2611" s="55">
        <v>-23.424537999999998</v>
      </c>
      <c r="F2611" s="55">
        <v>-47.147815000000001</v>
      </c>
      <c r="G2611" s="55">
        <v>-23.522822999999999</v>
      </c>
      <c r="H2611" s="55">
        <v>-46.747301</v>
      </c>
      <c r="I2611" s="55">
        <v>-23.399701</v>
      </c>
      <c r="J2611" s="55">
        <v>-46.301403999999998</v>
      </c>
      <c r="L2611" s="61" t="str">
        <f t="shared" si="41"/>
        <v>Cliente46-Cliente14</v>
      </c>
      <c r="M2611">
        <v>113.15197499999999</v>
      </c>
    </row>
    <row r="2612" spans="1:13" x14ac:dyDescent="0.25">
      <c r="A2612" s="15" t="s">
        <v>4316</v>
      </c>
      <c r="B2612" s="15" t="s">
        <v>4285</v>
      </c>
      <c r="C2612" s="52">
        <v>116.88456100000001</v>
      </c>
      <c r="D2612" s="25">
        <v>0.10833333333333334</v>
      </c>
      <c r="E2612" s="53">
        <v>-23.439426000000001</v>
      </c>
      <c r="F2612" s="53">
        <v>-47.110985999999997</v>
      </c>
      <c r="G2612" s="53">
        <v>-23.516403</v>
      </c>
      <c r="H2612" s="53">
        <v>-46.661253000000002</v>
      </c>
      <c r="I2612" s="53">
        <v>-23.339870999999999</v>
      </c>
      <c r="J2612" s="53">
        <v>-46.151940000000003</v>
      </c>
      <c r="L2612" s="61" t="str">
        <f t="shared" si="41"/>
        <v>Cliente46-Cliente15</v>
      </c>
      <c r="M2612">
        <v>116.88456100000001</v>
      </c>
    </row>
    <row r="2613" spans="1:13" x14ac:dyDescent="0.25">
      <c r="A2613" s="15" t="s">
        <v>4316</v>
      </c>
      <c r="B2613" s="15" t="s">
        <v>4286</v>
      </c>
      <c r="C2613" s="54">
        <v>114.461208</v>
      </c>
      <c r="D2613" s="26">
        <v>0.10486111111111111</v>
      </c>
      <c r="E2613" s="55">
        <v>-23.429188</v>
      </c>
      <c r="F2613" s="55">
        <v>-47.131368999999999</v>
      </c>
      <c r="G2613" s="55">
        <v>-23.512308000000001</v>
      </c>
      <c r="H2613" s="55">
        <v>-46.722051</v>
      </c>
      <c r="I2613" s="55">
        <v>-23.369211</v>
      </c>
      <c r="J2613" s="55">
        <v>-46.236528</v>
      </c>
      <c r="L2613" s="61" t="str">
        <f t="shared" si="41"/>
        <v>Cliente46-Cliente16</v>
      </c>
      <c r="M2613">
        <v>114.461208</v>
      </c>
    </row>
    <row r="2614" spans="1:13" x14ac:dyDescent="0.25">
      <c r="A2614" s="15" t="s">
        <v>4316</v>
      </c>
      <c r="B2614" s="15" t="s">
        <v>4287</v>
      </c>
      <c r="C2614" s="52">
        <v>115.51692</v>
      </c>
      <c r="D2614" s="25">
        <v>0.10277777777777779</v>
      </c>
      <c r="E2614" s="53">
        <v>-23.428932</v>
      </c>
      <c r="F2614" s="53">
        <v>-47.132683</v>
      </c>
      <c r="G2614" s="53">
        <v>-23.513279000000001</v>
      </c>
      <c r="H2614" s="53">
        <v>-46.723036999999998</v>
      </c>
      <c r="I2614" s="53">
        <v>-23.369465000000002</v>
      </c>
      <c r="J2614" s="53">
        <v>-46.239342999999998</v>
      </c>
      <c r="L2614" s="61" t="str">
        <f t="shared" si="41"/>
        <v>Cliente46-Cliente17</v>
      </c>
      <c r="M2614">
        <v>115.51692</v>
      </c>
    </row>
    <row r="2615" spans="1:13" x14ac:dyDescent="0.25">
      <c r="A2615" s="15" t="s">
        <v>4316</v>
      </c>
      <c r="B2615" s="15" t="s">
        <v>4288</v>
      </c>
      <c r="C2615" s="54">
        <v>120.34498600000001</v>
      </c>
      <c r="D2615" s="26">
        <v>0.1076388888888889</v>
      </c>
      <c r="E2615" s="55">
        <v>-23.428629000000001</v>
      </c>
      <c r="F2615" s="55">
        <v>-47.139819000000003</v>
      </c>
      <c r="G2615" s="55">
        <v>-23.518709000000001</v>
      </c>
      <c r="H2615" s="55">
        <v>-46.744439</v>
      </c>
      <c r="I2615" s="55">
        <v>-23.378776999999999</v>
      </c>
      <c r="J2615" s="55">
        <v>-46.256095000000002</v>
      </c>
      <c r="L2615" s="61" t="str">
        <f t="shared" si="41"/>
        <v>Cliente46-Cliente18</v>
      </c>
      <c r="M2615">
        <v>120.34498600000001</v>
      </c>
    </row>
    <row r="2616" spans="1:13" x14ac:dyDescent="0.25">
      <c r="A2616" s="15" t="s">
        <v>4316</v>
      </c>
      <c r="B2616" s="15" t="s">
        <v>4289</v>
      </c>
      <c r="C2616" s="52">
        <v>58.717858999999997</v>
      </c>
      <c r="D2616" s="25">
        <v>5.4166666666666669E-2</v>
      </c>
      <c r="E2616" s="53">
        <v>-23.415597000000002</v>
      </c>
      <c r="F2616" s="53">
        <v>-47.345281</v>
      </c>
      <c r="G2616" s="53">
        <v>-23.439140999999999</v>
      </c>
      <c r="H2616" s="53">
        <v>-47.105175000000003</v>
      </c>
      <c r="I2616" s="53">
        <v>-23.506001999999999</v>
      </c>
      <c r="J2616" s="53">
        <v>-46.848970000000001</v>
      </c>
      <c r="L2616" s="61" t="str">
        <f t="shared" si="41"/>
        <v>Cliente46-Cliente19</v>
      </c>
      <c r="M2616">
        <v>58.717858999999997</v>
      </c>
    </row>
    <row r="2617" spans="1:13" x14ac:dyDescent="0.25">
      <c r="A2617" s="15" t="s">
        <v>4316</v>
      </c>
      <c r="B2617" s="15" t="s">
        <v>4290</v>
      </c>
      <c r="C2617" s="54">
        <v>55.234444000000003</v>
      </c>
      <c r="D2617" s="26">
        <v>5.2083333333333336E-2</v>
      </c>
      <c r="E2617" s="55">
        <v>-23.466491999999999</v>
      </c>
      <c r="F2617" s="55">
        <v>-47.418557999999997</v>
      </c>
      <c r="G2617" s="55">
        <v>-23.430693999999999</v>
      </c>
      <c r="H2617" s="55">
        <v>-47.127971000000002</v>
      </c>
      <c r="I2617" s="55">
        <v>-23.517484</v>
      </c>
      <c r="J2617" s="55">
        <v>-46.933306999999999</v>
      </c>
      <c r="L2617" s="61" t="str">
        <f t="shared" si="41"/>
        <v>Cliente46-Cliente20</v>
      </c>
      <c r="M2617">
        <v>55.234444000000003</v>
      </c>
    </row>
    <row r="2618" spans="1:13" x14ac:dyDescent="0.25">
      <c r="A2618" s="15" t="s">
        <v>4316</v>
      </c>
      <c r="B2618" s="15" t="s">
        <v>4291</v>
      </c>
      <c r="C2618" s="52">
        <v>55.776902</v>
      </c>
      <c r="D2618" s="25">
        <v>5.2777777777777778E-2</v>
      </c>
      <c r="E2618" s="53">
        <v>-23.448955000000002</v>
      </c>
      <c r="F2618" s="53">
        <v>-47.392477999999997</v>
      </c>
      <c r="G2618" s="53">
        <v>-23.439267000000001</v>
      </c>
      <c r="H2618" s="53">
        <v>-47.111949000000003</v>
      </c>
      <c r="I2618" s="53">
        <v>-23.505002000000001</v>
      </c>
      <c r="J2618" s="53">
        <v>-46.876255999999998</v>
      </c>
      <c r="L2618" s="61" t="str">
        <f t="shared" si="41"/>
        <v>Cliente46-Cliente21</v>
      </c>
      <c r="M2618">
        <v>55.776902</v>
      </c>
    </row>
    <row r="2619" spans="1:13" x14ac:dyDescent="0.25">
      <c r="A2619" s="15" t="s">
        <v>4316</v>
      </c>
      <c r="B2619" s="15" t="s">
        <v>4292</v>
      </c>
      <c r="C2619" s="54">
        <v>57.040152999999997</v>
      </c>
      <c r="D2619" s="26">
        <v>5.5555555555555552E-2</v>
      </c>
      <c r="E2619" s="55">
        <v>-23.409393000000001</v>
      </c>
      <c r="F2619" s="55">
        <v>-47.339807999999998</v>
      </c>
      <c r="G2619" s="55">
        <v>-23.439499999999999</v>
      </c>
      <c r="H2619" s="55">
        <v>-47.065437000000003</v>
      </c>
      <c r="I2619" s="55">
        <v>-23.521647000000002</v>
      </c>
      <c r="J2619" s="55">
        <v>-46.767797000000002</v>
      </c>
      <c r="L2619" s="61" t="str">
        <f t="shared" si="41"/>
        <v>Cliente46-Cliente22</v>
      </c>
      <c r="M2619">
        <v>57.040152999999997</v>
      </c>
    </row>
    <row r="2620" spans="1:13" x14ac:dyDescent="0.25">
      <c r="A2620" s="15" t="s">
        <v>4316</v>
      </c>
      <c r="B2620" s="15" t="s">
        <v>4293</v>
      </c>
      <c r="C2620" s="52">
        <v>60.784545000000001</v>
      </c>
      <c r="D2620" s="25">
        <v>5.8333333333333327E-2</v>
      </c>
      <c r="E2620" s="53">
        <v>-23.407632</v>
      </c>
      <c r="F2620" s="53">
        <v>-47.291894999999997</v>
      </c>
      <c r="G2620" s="53">
        <v>-23.478258</v>
      </c>
      <c r="H2620" s="53">
        <v>-46.998520999999997</v>
      </c>
      <c r="I2620" s="53">
        <v>-23.565211000000001</v>
      </c>
      <c r="J2620" s="53">
        <v>-46.819788000000003</v>
      </c>
      <c r="L2620" s="61" t="str">
        <f t="shared" si="41"/>
        <v>Cliente46-Cliente23</v>
      </c>
      <c r="M2620">
        <v>60.784545000000001</v>
      </c>
    </row>
    <row r="2621" spans="1:13" x14ac:dyDescent="0.25">
      <c r="A2621" s="15" t="s">
        <v>4316</v>
      </c>
      <c r="B2621" s="15" t="s">
        <v>4294</v>
      </c>
      <c r="C2621" s="54">
        <v>61.763829000000001</v>
      </c>
      <c r="D2621" s="26">
        <v>6.0416666666666667E-2</v>
      </c>
      <c r="E2621" s="55">
        <v>-23.409616</v>
      </c>
      <c r="F2621" s="55">
        <v>-47.280296</v>
      </c>
      <c r="G2621" s="55">
        <v>-23.479952000000001</v>
      </c>
      <c r="H2621" s="55">
        <v>-46.996733999999996</v>
      </c>
      <c r="I2621" s="55">
        <v>-23.567374000000001</v>
      </c>
      <c r="J2621" s="55">
        <v>-46.817726</v>
      </c>
      <c r="L2621" s="61" t="str">
        <f t="shared" si="41"/>
        <v>Cliente46-Cliente24</v>
      </c>
      <c r="M2621">
        <v>61.763829000000001</v>
      </c>
    </row>
    <row r="2622" spans="1:13" x14ac:dyDescent="0.25">
      <c r="A2622" s="15" t="s">
        <v>4316</v>
      </c>
      <c r="B2622" s="15" t="s">
        <v>4295</v>
      </c>
      <c r="C2622" s="52">
        <v>64.584239999999994</v>
      </c>
      <c r="D2622" s="25">
        <v>6.25E-2</v>
      </c>
      <c r="E2622" s="53">
        <v>-23.410079</v>
      </c>
      <c r="F2622" s="53">
        <v>-47.278742000000001</v>
      </c>
      <c r="G2622" s="53">
        <v>-23.495066999999999</v>
      </c>
      <c r="H2622" s="53">
        <v>-46.985314000000002</v>
      </c>
      <c r="I2622" s="53">
        <v>-23.569472999999999</v>
      </c>
      <c r="J2622" s="53">
        <v>-46.813755999999998</v>
      </c>
      <c r="L2622" s="61" t="str">
        <f t="shared" si="41"/>
        <v>Cliente46-Cliente25</v>
      </c>
      <c r="M2622">
        <v>64.584239999999994</v>
      </c>
    </row>
    <row r="2623" spans="1:13" x14ac:dyDescent="0.25">
      <c r="A2623" s="15" t="s">
        <v>4316</v>
      </c>
      <c r="B2623" s="15" t="s">
        <v>4296</v>
      </c>
      <c r="C2623" s="54">
        <v>56.246659999999999</v>
      </c>
      <c r="D2623" s="26">
        <v>5.347222222222222E-2</v>
      </c>
      <c r="E2623" s="55">
        <v>-23.402505000000001</v>
      </c>
      <c r="F2623" s="55">
        <v>-47.327942</v>
      </c>
      <c r="G2623" s="55">
        <v>-23.464455000000001</v>
      </c>
      <c r="H2623" s="55">
        <v>-47.029142</v>
      </c>
      <c r="I2623" s="55">
        <v>-23.537672000000001</v>
      </c>
      <c r="J2623" s="55">
        <v>-46.817822999999997</v>
      </c>
      <c r="L2623" s="61" t="str">
        <f t="shared" si="41"/>
        <v>Cliente46-Cliente26</v>
      </c>
      <c r="M2623">
        <v>56.246659999999999</v>
      </c>
    </row>
    <row r="2624" spans="1:13" x14ac:dyDescent="0.25">
      <c r="A2624" s="15" t="s">
        <v>4316</v>
      </c>
      <c r="B2624" s="15" t="s">
        <v>4297</v>
      </c>
      <c r="C2624" s="52">
        <v>62.563535000000002</v>
      </c>
      <c r="D2624" s="25">
        <v>6.1111111111111116E-2</v>
      </c>
      <c r="E2624" s="53">
        <v>-23.410079</v>
      </c>
      <c r="F2624" s="53">
        <v>-47.278742000000001</v>
      </c>
      <c r="G2624" s="53">
        <v>-23.495066999999999</v>
      </c>
      <c r="H2624" s="53">
        <v>-46.985314000000002</v>
      </c>
      <c r="I2624" s="53">
        <v>-23.569472999999999</v>
      </c>
      <c r="J2624" s="53">
        <v>-46.813755999999998</v>
      </c>
      <c r="L2624" s="61" t="str">
        <f t="shared" si="41"/>
        <v>Cliente46-Cliente27</v>
      </c>
      <c r="M2624">
        <v>62.563535000000002</v>
      </c>
    </row>
    <row r="2625" spans="1:13" x14ac:dyDescent="0.25">
      <c r="A2625" s="15" t="s">
        <v>4316</v>
      </c>
      <c r="B2625" s="15" t="s">
        <v>4298</v>
      </c>
      <c r="C2625" s="54">
        <v>66.247033000000002</v>
      </c>
      <c r="D2625" s="26">
        <v>6.805555555555555E-2</v>
      </c>
      <c r="E2625" s="55">
        <v>-23.407632</v>
      </c>
      <c r="F2625" s="55">
        <v>-47.291894999999997</v>
      </c>
      <c r="G2625" s="55">
        <v>-23.478258</v>
      </c>
      <c r="H2625" s="55">
        <v>-46.998520999999997</v>
      </c>
      <c r="I2625" s="55">
        <v>-23.569668</v>
      </c>
      <c r="J2625" s="55">
        <v>-46.703364999999998</v>
      </c>
      <c r="L2625" s="61" t="str">
        <f t="shared" si="41"/>
        <v>Cliente46-Cliente28</v>
      </c>
      <c r="M2625">
        <v>66.247033000000002</v>
      </c>
    </row>
    <row r="2626" spans="1:13" x14ac:dyDescent="0.25">
      <c r="A2626" s="15" t="s">
        <v>4316</v>
      </c>
      <c r="B2626" s="15" t="s">
        <v>4299</v>
      </c>
      <c r="C2626" s="52">
        <v>71.667266999999995</v>
      </c>
      <c r="D2626" s="25">
        <v>7.4999999999999997E-2</v>
      </c>
      <c r="E2626" s="53">
        <v>-23.414881000000001</v>
      </c>
      <c r="F2626" s="53">
        <v>-47.260171999999997</v>
      </c>
      <c r="G2626" s="53">
        <v>-23.517484</v>
      </c>
      <c r="H2626" s="53">
        <v>-46.933306999999999</v>
      </c>
      <c r="I2626" s="53">
        <v>-23.613534000000001</v>
      </c>
      <c r="J2626" s="53">
        <v>-46.670023999999998</v>
      </c>
      <c r="L2626" s="61" t="str">
        <f t="shared" si="41"/>
        <v>Cliente46-Cliente29</v>
      </c>
      <c r="M2626">
        <v>71.667266999999995</v>
      </c>
    </row>
    <row r="2627" spans="1:13" x14ac:dyDescent="0.25">
      <c r="A2627" s="15" t="s">
        <v>4316</v>
      </c>
      <c r="B2627" s="15" t="s">
        <v>4300</v>
      </c>
      <c r="C2627" s="54">
        <v>77.594542000000004</v>
      </c>
      <c r="D2627" s="26">
        <v>8.6111111111111124E-2</v>
      </c>
      <c r="E2627" s="55">
        <v>-23.418626</v>
      </c>
      <c r="F2627" s="55">
        <v>-47.216392999999997</v>
      </c>
      <c r="G2627" s="55">
        <v>-23.525808999999999</v>
      </c>
      <c r="H2627" s="55">
        <v>-46.754475999999997</v>
      </c>
      <c r="I2627" s="55">
        <v>-23.579896000000002</v>
      </c>
      <c r="J2627" s="55">
        <v>-46.599780000000003</v>
      </c>
      <c r="L2627" s="61" t="str">
        <f t="shared" si="41"/>
        <v>Cliente46-Cliente30</v>
      </c>
      <c r="M2627">
        <v>77.594542000000004</v>
      </c>
    </row>
    <row r="2628" spans="1:13" x14ac:dyDescent="0.25">
      <c r="A2628" s="15" t="s">
        <v>4316</v>
      </c>
      <c r="B2628" s="15" t="s">
        <v>4301</v>
      </c>
      <c r="C2628" s="52">
        <v>53.145389000000002</v>
      </c>
      <c r="D2628" s="25">
        <v>5.2083333333333336E-2</v>
      </c>
      <c r="E2628" s="53">
        <v>-23.448955000000002</v>
      </c>
      <c r="F2628" s="53">
        <v>-47.392477999999997</v>
      </c>
      <c r="G2628" s="53">
        <v>-23.439267000000001</v>
      </c>
      <c r="H2628" s="53">
        <v>-47.111949000000003</v>
      </c>
      <c r="I2628" s="53">
        <v>-23.505101</v>
      </c>
      <c r="J2628" s="53">
        <v>-46.880629999999996</v>
      </c>
      <c r="L2628" s="61" t="str">
        <f t="shared" si="41"/>
        <v>Cliente46-Cliente31</v>
      </c>
      <c r="M2628">
        <v>53.145389000000002</v>
      </c>
    </row>
    <row r="2629" spans="1:13" x14ac:dyDescent="0.25">
      <c r="A2629" s="15" t="s">
        <v>4316</v>
      </c>
      <c r="B2629" s="15" t="s">
        <v>4302</v>
      </c>
      <c r="C2629" s="54">
        <v>57.601874000000002</v>
      </c>
      <c r="D2629" s="26">
        <v>5.5555555555555552E-2</v>
      </c>
      <c r="E2629" s="55">
        <v>-23.401971</v>
      </c>
      <c r="F2629" s="55">
        <v>-47.333663000000001</v>
      </c>
      <c r="G2629" s="55">
        <v>-23.457256000000001</v>
      </c>
      <c r="H2629" s="55">
        <v>-47.049999</v>
      </c>
      <c r="I2629" s="55">
        <v>-23.525493000000001</v>
      </c>
      <c r="J2629" s="55">
        <v>-46.747509999999998</v>
      </c>
      <c r="L2629" s="61" t="str">
        <f t="shared" si="41"/>
        <v>Cliente46-Cliente32</v>
      </c>
      <c r="M2629">
        <v>57.601874000000002</v>
      </c>
    </row>
    <row r="2630" spans="1:13" x14ac:dyDescent="0.25">
      <c r="A2630" s="15" t="s">
        <v>4316</v>
      </c>
      <c r="B2630" s="15" t="s">
        <v>4303</v>
      </c>
      <c r="C2630" s="52">
        <v>71.613828999999996</v>
      </c>
      <c r="D2630" s="25">
        <v>7.013888888888889E-2</v>
      </c>
      <c r="E2630" s="53">
        <v>-23.414894</v>
      </c>
      <c r="F2630" s="53">
        <v>-47.267505999999997</v>
      </c>
      <c r="G2630" s="53">
        <v>-23.519393999999998</v>
      </c>
      <c r="H2630" s="53">
        <v>-46.950279999999999</v>
      </c>
      <c r="I2630" s="53">
        <v>-23.519262999999999</v>
      </c>
      <c r="J2630" s="53">
        <v>-46.620029000000002</v>
      </c>
      <c r="L2630" s="61" t="str">
        <f t="shared" si="41"/>
        <v>Cliente46-Cliente33</v>
      </c>
      <c r="M2630">
        <v>71.613828999999996</v>
      </c>
    </row>
    <row r="2631" spans="1:13" x14ac:dyDescent="0.25">
      <c r="A2631" s="15" t="s">
        <v>4316</v>
      </c>
      <c r="B2631" s="15" t="s">
        <v>4304</v>
      </c>
      <c r="C2631" s="54">
        <v>52.399742000000003</v>
      </c>
      <c r="D2631" s="26">
        <v>5.2083333333333336E-2</v>
      </c>
      <c r="E2631" s="55">
        <v>-23.401971</v>
      </c>
      <c r="F2631" s="55">
        <v>-47.333663000000001</v>
      </c>
      <c r="G2631" s="55">
        <v>-23.457256000000001</v>
      </c>
      <c r="H2631" s="55">
        <v>-47.049999</v>
      </c>
      <c r="I2631" s="55">
        <v>-23.495560000000001</v>
      </c>
      <c r="J2631" s="55">
        <v>-46.829532999999998</v>
      </c>
      <c r="L2631" s="61" t="str">
        <f t="shared" si="41"/>
        <v>Cliente46-Cliente34</v>
      </c>
      <c r="M2631">
        <v>52.399742000000003</v>
      </c>
    </row>
    <row r="2632" spans="1:13" x14ac:dyDescent="0.25">
      <c r="A2632" s="15" t="s">
        <v>4316</v>
      </c>
      <c r="B2632" s="15" t="s">
        <v>4305</v>
      </c>
      <c r="C2632" s="52">
        <v>51.123441999999997</v>
      </c>
      <c r="D2632" s="25">
        <v>4.9999999999999996E-2</v>
      </c>
      <c r="E2632" s="53">
        <v>-23.409393000000001</v>
      </c>
      <c r="F2632" s="53">
        <v>-47.339807999999998</v>
      </c>
      <c r="G2632" s="53">
        <v>-23.439499999999999</v>
      </c>
      <c r="H2632" s="53">
        <v>-47.065437000000003</v>
      </c>
      <c r="I2632" s="53">
        <v>-23.506962000000001</v>
      </c>
      <c r="J2632" s="53">
        <v>-46.846020000000003</v>
      </c>
      <c r="L2632" s="61" t="str">
        <f t="shared" si="41"/>
        <v>Cliente46-Cliente35</v>
      </c>
      <c r="M2632">
        <v>51.123441999999997</v>
      </c>
    </row>
    <row r="2633" spans="1:13" x14ac:dyDescent="0.25">
      <c r="A2633" s="15" t="s">
        <v>4316</v>
      </c>
      <c r="B2633" s="15" t="s">
        <v>4306</v>
      </c>
      <c r="C2633" s="54">
        <v>125.27433600000001</v>
      </c>
      <c r="D2633" s="26">
        <v>0.10902777777777778</v>
      </c>
      <c r="E2633" s="55">
        <v>-23.195684</v>
      </c>
      <c r="F2633" s="55">
        <v>-47.324502000000003</v>
      </c>
      <c r="G2633" s="55">
        <v>-22.710376</v>
      </c>
      <c r="H2633" s="55">
        <v>-47.610630999999998</v>
      </c>
      <c r="I2633" s="55">
        <v>-22.322657</v>
      </c>
      <c r="J2633" s="55">
        <v>-47.656306999999998</v>
      </c>
      <c r="L2633" s="61" t="str">
        <f t="shared" si="41"/>
        <v>Cliente46-Cliente36</v>
      </c>
      <c r="M2633">
        <v>125.27433600000001</v>
      </c>
    </row>
    <row r="2634" spans="1:13" x14ac:dyDescent="0.25">
      <c r="A2634" s="15" t="s">
        <v>4316</v>
      </c>
      <c r="B2634" s="15" t="s">
        <v>4307</v>
      </c>
      <c r="C2634" s="52">
        <v>124.17761299999999</v>
      </c>
      <c r="D2634" s="25">
        <v>0.1076388888888889</v>
      </c>
      <c r="E2634" s="53">
        <v>-23.195008000000001</v>
      </c>
      <c r="F2634" s="53">
        <v>-47.324814000000003</v>
      </c>
      <c r="G2634" s="53">
        <v>-22.705390000000001</v>
      </c>
      <c r="H2634" s="53">
        <v>-47.611612999999998</v>
      </c>
      <c r="I2634" s="53">
        <v>-22.312868999999999</v>
      </c>
      <c r="J2634" s="53">
        <v>-47.664707999999997</v>
      </c>
      <c r="L2634" s="61" t="str">
        <f t="shared" si="41"/>
        <v>Cliente46-Cliente37</v>
      </c>
      <c r="M2634">
        <v>124.17761299999999</v>
      </c>
    </row>
    <row r="2635" spans="1:13" x14ac:dyDescent="0.25">
      <c r="A2635" s="15" t="s">
        <v>4316</v>
      </c>
      <c r="B2635" s="15" t="s">
        <v>4308</v>
      </c>
      <c r="C2635" s="54">
        <v>122.40110900000001</v>
      </c>
      <c r="D2635" s="26">
        <v>0.10555555555555556</v>
      </c>
      <c r="E2635" s="55">
        <v>-23.198048</v>
      </c>
      <c r="F2635" s="55">
        <v>-47.324060000000003</v>
      </c>
      <c r="G2635" s="55">
        <v>-22.717568</v>
      </c>
      <c r="H2635" s="55">
        <v>-47.606006000000001</v>
      </c>
      <c r="I2635" s="55">
        <v>-22.339144000000001</v>
      </c>
      <c r="J2635" s="55">
        <v>-47.650959999999998</v>
      </c>
      <c r="L2635" s="61" t="str">
        <f t="shared" si="41"/>
        <v>Cliente46-Cliente38</v>
      </c>
      <c r="M2635">
        <v>122.40110900000001</v>
      </c>
    </row>
    <row r="2636" spans="1:13" x14ac:dyDescent="0.25">
      <c r="A2636" s="15" t="s">
        <v>4316</v>
      </c>
      <c r="B2636" s="15" t="s">
        <v>4309</v>
      </c>
      <c r="C2636" s="52">
        <v>141.351113</v>
      </c>
      <c r="D2636" s="25">
        <v>0.12708333333333333</v>
      </c>
      <c r="E2636" s="53">
        <v>-23.438727</v>
      </c>
      <c r="F2636" s="53">
        <v>-47.114165999999997</v>
      </c>
      <c r="G2636" s="53">
        <v>-23.513106000000001</v>
      </c>
      <c r="H2636" s="53">
        <v>-46.680301999999998</v>
      </c>
      <c r="I2636" s="53">
        <v>-23.352187000000001</v>
      </c>
      <c r="J2636" s="53">
        <v>-46.180871000000003</v>
      </c>
      <c r="L2636" s="61" t="str">
        <f t="shared" si="41"/>
        <v>Cliente46-Cliente39</v>
      </c>
      <c r="M2636">
        <v>141.351113</v>
      </c>
    </row>
    <row r="2637" spans="1:13" x14ac:dyDescent="0.25">
      <c r="A2637" s="15" t="s">
        <v>4316</v>
      </c>
      <c r="B2637" s="15" t="s">
        <v>4310</v>
      </c>
      <c r="C2637" s="54">
        <v>146.20651899999999</v>
      </c>
      <c r="D2637" s="26">
        <v>0.13541666666666666</v>
      </c>
      <c r="E2637" s="55">
        <v>-23.436699000000001</v>
      </c>
      <c r="F2637" s="55">
        <v>-47.074416999999997</v>
      </c>
      <c r="G2637" s="55">
        <v>-23.523378999999998</v>
      </c>
      <c r="H2637" s="55">
        <v>-46.611517999999997</v>
      </c>
      <c r="I2637" s="55">
        <v>-23.307883</v>
      </c>
      <c r="J2637" s="55">
        <v>-46.054720000000003</v>
      </c>
      <c r="L2637" s="61" t="str">
        <f t="shared" si="41"/>
        <v>Cliente46-Cliente40</v>
      </c>
      <c r="M2637">
        <v>146.20651899999999</v>
      </c>
    </row>
    <row r="2638" spans="1:13" x14ac:dyDescent="0.25">
      <c r="A2638" s="15" t="s">
        <v>4316</v>
      </c>
      <c r="B2638" s="15" t="s">
        <v>4311</v>
      </c>
      <c r="C2638" s="52">
        <v>132.38967500000001</v>
      </c>
      <c r="D2638" s="25">
        <v>0.12222222222222223</v>
      </c>
      <c r="E2638" s="53">
        <v>-23.439371999999999</v>
      </c>
      <c r="F2638" s="53">
        <v>-47.106530999999997</v>
      </c>
      <c r="G2638" s="53">
        <v>-23.518433999999999</v>
      </c>
      <c r="H2638" s="53">
        <v>-46.645426999999998</v>
      </c>
      <c r="I2638" s="53">
        <v>-23.322071000000001</v>
      </c>
      <c r="J2638" s="53">
        <v>-46.115288</v>
      </c>
      <c r="L2638" s="61" t="str">
        <f t="shared" si="41"/>
        <v>Cliente46-Cliente41</v>
      </c>
      <c r="M2638">
        <v>132.38967500000001</v>
      </c>
    </row>
    <row r="2639" spans="1:13" x14ac:dyDescent="0.25">
      <c r="A2639" s="15" t="s">
        <v>4316</v>
      </c>
      <c r="B2639" s="15" t="s">
        <v>4312</v>
      </c>
      <c r="C2639" s="54">
        <v>128.91868700000001</v>
      </c>
      <c r="D2639" s="26">
        <v>0.11388888888888889</v>
      </c>
      <c r="E2639" s="55">
        <v>-23.428979000000002</v>
      </c>
      <c r="F2639" s="55">
        <v>-47.137681999999998</v>
      </c>
      <c r="G2639" s="55">
        <v>-23.518122000000002</v>
      </c>
      <c r="H2639" s="55">
        <v>-46.742942999999997</v>
      </c>
      <c r="I2639" s="55">
        <v>-23.377472000000001</v>
      </c>
      <c r="J2639" s="55">
        <v>-46.253006999999997</v>
      </c>
      <c r="L2639" s="61" t="str">
        <f t="shared" si="41"/>
        <v>Cliente46-Cliente42</v>
      </c>
      <c r="M2639">
        <v>128.91868700000001</v>
      </c>
    </row>
    <row r="2640" spans="1:13" x14ac:dyDescent="0.25">
      <c r="A2640" s="15" t="s">
        <v>4316</v>
      </c>
      <c r="B2640" s="15" t="s">
        <v>4313</v>
      </c>
      <c r="C2640" s="52">
        <v>151.57145199999999</v>
      </c>
      <c r="D2640" s="25">
        <v>0.13472222222222222</v>
      </c>
      <c r="E2640" s="53">
        <v>-23.436302999999999</v>
      </c>
      <c r="F2640" s="53">
        <v>-47.092908999999999</v>
      </c>
      <c r="G2640" s="53">
        <v>-23.519772</v>
      </c>
      <c r="H2640" s="53">
        <v>-46.616872000000001</v>
      </c>
      <c r="I2640" s="53">
        <v>-23.313413000000001</v>
      </c>
      <c r="J2640" s="53">
        <v>-46.065551999999997</v>
      </c>
      <c r="L2640" s="61" t="str">
        <f t="shared" si="41"/>
        <v>Cliente46-Cliente43</v>
      </c>
      <c r="M2640">
        <v>151.57145199999999</v>
      </c>
    </row>
    <row r="2641" spans="1:13" x14ac:dyDescent="0.25">
      <c r="A2641" s="15" t="s">
        <v>4316</v>
      </c>
      <c r="B2641" s="15" t="s">
        <v>4314</v>
      </c>
      <c r="C2641" s="54">
        <v>2.7837499999999999</v>
      </c>
      <c r="D2641" s="26">
        <v>6.9444444444444441E-3</v>
      </c>
      <c r="E2641" s="55">
        <v>-23.4864</v>
      </c>
      <c r="F2641" s="55">
        <v>-47.472608000000001</v>
      </c>
      <c r="G2641" s="55">
        <v>-23.479610999999998</v>
      </c>
      <c r="H2641" s="55">
        <v>-47.482748000000001</v>
      </c>
      <c r="I2641" s="55">
        <v>-23.463577999999998</v>
      </c>
      <c r="J2641" s="55">
        <v>-47.497371999999999</v>
      </c>
      <c r="L2641" s="61" t="str">
        <f t="shared" si="41"/>
        <v>Cliente46-Cliente44</v>
      </c>
      <c r="M2641">
        <v>2.7837499999999999</v>
      </c>
    </row>
    <row r="2642" spans="1:13" x14ac:dyDescent="0.25">
      <c r="A2642" s="15" t="s">
        <v>4316</v>
      </c>
      <c r="B2642" s="15" t="s">
        <v>4315</v>
      </c>
      <c r="C2642" s="52">
        <v>3.2808480000000002</v>
      </c>
      <c r="D2642" s="25">
        <v>9.0277777777777787E-3</v>
      </c>
      <c r="E2642" s="53">
        <v>-23.487072999999999</v>
      </c>
      <c r="F2642" s="53">
        <v>-47.475881999999999</v>
      </c>
      <c r="G2642" s="53">
        <v>-23.486152000000001</v>
      </c>
      <c r="H2642" s="53">
        <v>-47.482236</v>
      </c>
      <c r="I2642" s="53">
        <v>-23.489377000000001</v>
      </c>
      <c r="J2642" s="53">
        <v>-47.497867999999997</v>
      </c>
      <c r="L2642" s="61" t="str">
        <f t="shared" ref="L2642:L2705" si="42">_xlfn.CONCAT(A2642,"-",B2642)</f>
        <v>Cliente46-Cliente45</v>
      </c>
      <c r="M2642">
        <v>3.2808480000000002</v>
      </c>
    </row>
    <row r="2643" spans="1:13" x14ac:dyDescent="0.25">
      <c r="A2643" s="15" t="s">
        <v>4316</v>
      </c>
      <c r="B2643" s="15" t="s">
        <v>4316</v>
      </c>
      <c r="C2643" s="54">
        <v>0</v>
      </c>
      <c r="D2643" s="26">
        <v>0</v>
      </c>
      <c r="E2643" s="55">
        <f>'1. Locais'!D50</f>
        <v>-23.48649</v>
      </c>
      <c r="F2643" s="55">
        <f>'1. Locais'!E50</f>
        <v>-47.471170000000001</v>
      </c>
      <c r="G2643" s="55">
        <f>'1. Locais'!D50</f>
        <v>-23.48649</v>
      </c>
      <c r="H2643" s="55">
        <f>'1. Locais'!E50</f>
        <v>-47.471170000000001</v>
      </c>
      <c r="I2643" s="55">
        <f>'1. Locais'!D50</f>
        <v>-23.48649</v>
      </c>
      <c r="J2643" s="55">
        <f>'1. Locais'!E50</f>
        <v>-47.471170000000001</v>
      </c>
      <c r="L2643" s="61" t="str">
        <f t="shared" si="42"/>
        <v>Cliente46-Cliente46</v>
      </c>
      <c r="M2643">
        <v>0</v>
      </c>
    </row>
    <row r="2644" spans="1:13" x14ac:dyDescent="0.25">
      <c r="A2644" s="15" t="s">
        <v>4316</v>
      </c>
      <c r="B2644" s="15" t="s">
        <v>4317</v>
      </c>
      <c r="C2644" s="52">
        <v>183.37393</v>
      </c>
      <c r="D2644" s="25">
        <v>0.15138888888888888</v>
      </c>
      <c r="E2644" s="53">
        <v>-22.967397999999999</v>
      </c>
      <c r="F2644" s="53">
        <v>-47.473736000000002</v>
      </c>
      <c r="G2644" s="53">
        <v>-22.596862999999999</v>
      </c>
      <c r="H2644" s="53">
        <v>-47.454667000000001</v>
      </c>
      <c r="I2644" s="53">
        <v>-22.149125000000002</v>
      </c>
      <c r="J2644" s="53">
        <v>-47.401997999999999</v>
      </c>
      <c r="L2644" s="61" t="str">
        <f t="shared" si="42"/>
        <v>Cliente46-Cliente47</v>
      </c>
      <c r="M2644">
        <v>183.37393</v>
      </c>
    </row>
    <row r="2645" spans="1:13" x14ac:dyDescent="0.25">
      <c r="A2645" s="15" t="s">
        <v>4316</v>
      </c>
      <c r="B2645" s="15" t="s">
        <v>4318</v>
      </c>
      <c r="C2645" s="54">
        <v>192.485118</v>
      </c>
      <c r="D2645" s="26">
        <v>0.15972222222222224</v>
      </c>
      <c r="E2645" s="55">
        <v>-22.903585</v>
      </c>
      <c r="F2645" s="55">
        <v>-47.509594</v>
      </c>
      <c r="G2645" s="55">
        <v>-22.535222999999998</v>
      </c>
      <c r="H2645" s="55">
        <v>-47.449002</v>
      </c>
      <c r="I2645" s="55">
        <v>-21.552517999999999</v>
      </c>
      <c r="J2645" s="55">
        <v>-47.637588000000001</v>
      </c>
      <c r="L2645" s="61" t="str">
        <f t="shared" si="42"/>
        <v>Cliente46-Cliente48</v>
      </c>
      <c r="M2645">
        <v>192.485118</v>
      </c>
    </row>
    <row r="2646" spans="1:13" x14ac:dyDescent="0.25">
      <c r="A2646" s="15" t="s">
        <v>4316</v>
      </c>
      <c r="B2646" s="15" t="s">
        <v>4319</v>
      </c>
      <c r="C2646" s="52">
        <v>186.122883</v>
      </c>
      <c r="D2646" s="25">
        <v>0.15555555555555556</v>
      </c>
      <c r="E2646" s="53">
        <v>-22.925194999999999</v>
      </c>
      <c r="F2646" s="53">
        <v>-47.498888999999998</v>
      </c>
      <c r="G2646" s="53">
        <v>-22.549482000000001</v>
      </c>
      <c r="H2646" s="53">
        <v>-47.462029999999999</v>
      </c>
      <c r="I2646" s="53">
        <v>-21.810300000000002</v>
      </c>
      <c r="J2646" s="53">
        <v>-47.499709000000003</v>
      </c>
      <c r="L2646" s="61" t="str">
        <f t="shared" si="42"/>
        <v>Cliente46-Cliente49</v>
      </c>
      <c r="M2646">
        <v>186.122883</v>
      </c>
    </row>
    <row r="2647" spans="1:13" x14ac:dyDescent="0.25">
      <c r="A2647" s="15" t="s">
        <v>4316</v>
      </c>
      <c r="B2647" s="15" t="s">
        <v>4320</v>
      </c>
      <c r="C2647" s="54">
        <v>153.971193</v>
      </c>
      <c r="D2647" s="26">
        <v>0.13402777777777777</v>
      </c>
      <c r="E2647" s="55">
        <v>-23.317496999999999</v>
      </c>
      <c r="F2647" s="55">
        <v>-47.634075000000003</v>
      </c>
      <c r="G2647" s="55">
        <v>-23.156362999999999</v>
      </c>
      <c r="H2647" s="55">
        <v>-48.376674000000001</v>
      </c>
      <c r="I2647" s="55">
        <v>-22.810236</v>
      </c>
      <c r="J2647" s="55">
        <v>-48.532471999999999</v>
      </c>
      <c r="L2647" s="61" t="str">
        <f t="shared" si="42"/>
        <v>Cliente46-Cliente50</v>
      </c>
      <c r="M2647">
        <v>153.971193</v>
      </c>
    </row>
    <row r="2648" spans="1:13" x14ac:dyDescent="0.25">
      <c r="A2648" s="15" t="s">
        <v>4316</v>
      </c>
      <c r="B2648" s="15" t="s">
        <v>4321</v>
      </c>
      <c r="C2648" s="52">
        <v>152.87012100000001</v>
      </c>
      <c r="D2648" s="25">
        <v>0.13194444444444445</v>
      </c>
      <c r="E2648" s="53">
        <v>-23.320260999999999</v>
      </c>
      <c r="F2648" s="53">
        <v>-47.581060000000001</v>
      </c>
      <c r="G2648" s="53">
        <v>-23.162348999999999</v>
      </c>
      <c r="H2648" s="53">
        <v>-48.348298</v>
      </c>
      <c r="I2648" s="53">
        <v>-22.826549</v>
      </c>
      <c r="J2648" s="53">
        <v>-48.528447999999997</v>
      </c>
      <c r="L2648" s="61" t="str">
        <f t="shared" si="42"/>
        <v>Cliente46-Cliente51</v>
      </c>
      <c r="M2648">
        <v>152.87012100000001</v>
      </c>
    </row>
    <row r="2649" spans="1:13" x14ac:dyDescent="0.25">
      <c r="A2649" s="15" t="s">
        <v>4317</v>
      </c>
      <c r="B2649" s="15" t="s">
        <v>4268</v>
      </c>
      <c r="C2649" s="54">
        <v>165.96120099999999</v>
      </c>
      <c r="D2649" s="26">
        <v>0.1361111111111111</v>
      </c>
      <c r="E2649" s="55">
        <v>-21.658488999999999</v>
      </c>
      <c r="F2649" s="55">
        <v>-47.609315000000002</v>
      </c>
      <c r="G2649" s="55">
        <v>-22.510155000000001</v>
      </c>
      <c r="H2649" s="55">
        <v>-47.397657000000002</v>
      </c>
      <c r="I2649" s="55">
        <v>-22.887784</v>
      </c>
      <c r="J2649" s="55">
        <v>-47.132292</v>
      </c>
      <c r="L2649" s="61" t="str">
        <f t="shared" si="42"/>
        <v>Cliente47-depósito A</v>
      </c>
      <c r="M2649">
        <v>165.96120099999999</v>
      </c>
    </row>
    <row r="2650" spans="1:13" x14ac:dyDescent="0.25">
      <c r="A2650" s="15" t="s">
        <v>4317</v>
      </c>
      <c r="B2650" s="15" t="s">
        <v>4269</v>
      </c>
      <c r="C2650" s="52">
        <v>55.6402</v>
      </c>
      <c r="D2650" s="25">
        <v>5.486111111111111E-2</v>
      </c>
      <c r="E2650" s="53">
        <v>-21.1934</v>
      </c>
      <c r="F2650" s="53">
        <v>-47.759982999999998</v>
      </c>
      <c r="G2650" s="53">
        <v>-21.559629999999999</v>
      </c>
      <c r="H2650" s="53">
        <v>-47.943980000000003</v>
      </c>
      <c r="I2650" s="53">
        <v>-21.806751999999999</v>
      </c>
      <c r="J2650" s="53">
        <v>-48.151530999999999</v>
      </c>
      <c r="L2650" s="61" t="str">
        <f t="shared" si="42"/>
        <v>Cliente47-depósito B</v>
      </c>
      <c r="M2650">
        <v>55.6402</v>
      </c>
    </row>
    <row r="2651" spans="1:13" x14ac:dyDescent="0.25">
      <c r="A2651" s="15" t="s">
        <v>4317</v>
      </c>
      <c r="B2651" s="15" t="s">
        <v>4270</v>
      </c>
      <c r="C2651" s="54">
        <v>223.25736000000001</v>
      </c>
      <c r="D2651" s="26">
        <v>0.18263888888888891</v>
      </c>
      <c r="E2651" s="55">
        <v>-22.285178999999999</v>
      </c>
      <c r="F2651" s="55">
        <v>-47.393678000000001</v>
      </c>
      <c r="G2651" s="55">
        <v>-22.901962000000001</v>
      </c>
      <c r="H2651" s="55">
        <v>-46.983561000000002</v>
      </c>
      <c r="I2651" s="55">
        <v>-23.188707999999998</v>
      </c>
      <c r="J2651" s="55">
        <v>-46.358916999999998</v>
      </c>
      <c r="L2651" s="61" t="str">
        <f t="shared" si="42"/>
        <v>Cliente47-depósito C</v>
      </c>
      <c r="M2651">
        <v>223.25736000000001</v>
      </c>
    </row>
    <row r="2652" spans="1:13" x14ac:dyDescent="0.25">
      <c r="A2652" s="15" t="s">
        <v>4317</v>
      </c>
      <c r="B2652" s="15" t="s">
        <v>4271</v>
      </c>
      <c r="C2652" s="52">
        <v>144.430015</v>
      </c>
      <c r="D2652" s="25">
        <v>0.12152777777777778</v>
      </c>
      <c r="E2652" s="53">
        <v>-21.444648999999998</v>
      </c>
      <c r="F2652" s="53">
        <v>-47.648713999999998</v>
      </c>
      <c r="G2652" s="53">
        <v>-22.390560000000001</v>
      </c>
      <c r="H2652" s="53">
        <v>-47.393515000000001</v>
      </c>
      <c r="I2652" s="53">
        <v>-22.770879999999998</v>
      </c>
      <c r="J2652" s="53">
        <v>-47.239131999999998</v>
      </c>
      <c r="L2652" s="61" t="str">
        <f t="shared" si="42"/>
        <v>Cliente47-Cliente1</v>
      </c>
      <c r="M2652">
        <v>144.430015</v>
      </c>
    </row>
    <row r="2653" spans="1:13" x14ac:dyDescent="0.25">
      <c r="A2653" s="15" t="s">
        <v>4317</v>
      </c>
      <c r="B2653" s="15" t="s">
        <v>4272</v>
      </c>
      <c r="C2653" s="54">
        <v>137.985758</v>
      </c>
      <c r="D2653" s="26">
        <v>0.11666666666666665</v>
      </c>
      <c r="E2653" s="55">
        <v>-21.414352000000001</v>
      </c>
      <c r="F2653" s="55">
        <v>-47.664710999999997</v>
      </c>
      <c r="G2653" s="55">
        <v>-22.334752999999999</v>
      </c>
      <c r="H2653" s="55">
        <v>-47.389622000000003</v>
      </c>
      <c r="I2653" s="55">
        <v>-22.728325999999999</v>
      </c>
      <c r="J2653" s="55">
        <v>-47.292093999999999</v>
      </c>
      <c r="L2653" s="61" t="str">
        <f t="shared" si="42"/>
        <v>Cliente47-Cliente2</v>
      </c>
      <c r="M2653">
        <v>137.985758</v>
      </c>
    </row>
    <row r="2654" spans="1:13" x14ac:dyDescent="0.25">
      <c r="A2654" s="15" t="s">
        <v>4317</v>
      </c>
      <c r="B2654" s="15" t="s">
        <v>4273</v>
      </c>
      <c r="C2654" s="52">
        <v>139.34221500000001</v>
      </c>
      <c r="D2654" s="25">
        <v>0.12083333333333333</v>
      </c>
      <c r="E2654" s="53">
        <v>-21.523796000000001</v>
      </c>
      <c r="F2654" s="53">
        <v>-47.643284999999999</v>
      </c>
      <c r="G2654" s="53">
        <v>-22.473109000000001</v>
      </c>
      <c r="H2654" s="53">
        <v>-47.399191999999999</v>
      </c>
      <c r="I2654" s="53">
        <v>-22.830970000000001</v>
      </c>
      <c r="J2654" s="53">
        <v>-47.179108999999997</v>
      </c>
      <c r="L2654" s="61" t="str">
        <f t="shared" si="42"/>
        <v>Cliente47-Cliente3</v>
      </c>
      <c r="M2654">
        <v>139.34221500000001</v>
      </c>
    </row>
    <row r="2655" spans="1:13" x14ac:dyDescent="0.25">
      <c r="A2655" s="15" t="s">
        <v>4317</v>
      </c>
      <c r="B2655" s="15" t="s">
        <v>4274</v>
      </c>
      <c r="C2655" s="54">
        <v>136.32234299999999</v>
      </c>
      <c r="D2655" s="26">
        <v>0.11388888888888889</v>
      </c>
      <c r="E2655" s="55">
        <v>-21.404637999999998</v>
      </c>
      <c r="F2655" s="55">
        <v>-47.671925000000002</v>
      </c>
      <c r="G2655" s="55">
        <v>-22.286422999999999</v>
      </c>
      <c r="H2655" s="55">
        <v>-47.393664999999999</v>
      </c>
      <c r="I2655" s="55">
        <v>-22.697147000000001</v>
      </c>
      <c r="J2655" s="55">
        <v>-47.309322999999999</v>
      </c>
      <c r="L2655" s="61" t="str">
        <f t="shared" si="42"/>
        <v>Cliente47-Cliente4</v>
      </c>
      <c r="M2655">
        <v>136.32234299999999</v>
      </c>
    </row>
    <row r="2656" spans="1:13" x14ac:dyDescent="0.25">
      <c r="A2656" s="15" t="s">
        <v>4317</v>
      </c>
      <c r="B2656" s="15" t="s">
        <v>4275</v>
      </c>
      <c r="C2656" s="52">
        <v>136.415549</v>
      </c>
      <c r="D2656" s="25">
        <v>0.11458333333333333</v>
      </c>
      <c r="E2656" s="53">
        <v>-21.402415999999999</v>
      </c>
      <c r="F2656" s="53">
        <v>-47.673926999999999</v>
      </c>
      <c r="G2656" s="53">
        <v>-22.284037000000001</v>
      </c>
      <c r="H2656" s="53">
        <v>-47.393585000000002</v>
      </c>
      <c r="I2656" s="53">
        <v>-22.693612000000002</v>
      </c>
      <c r="J2656" s="53">
        <v>-47.311025999999998</v>
      </c>
      <c r="L2656" s="61" t="str">
        <f t="shared" si="42"/>
        <v>Cliente47-Cliente5</v>
      </c>
      <c r="M2656">
        <v>136.415549</v>
      </c>
    </row>
    <row r="2657" spans="1:13" x14ac:dyDescent="0.25">
      <c r="A2657" s="15" t="s">
        <v>4317</v>
      </c>
      <c r="B2657" s="15" t="s">
        <v>4276</v>
      </c>
      <c r="C2657" s="54">
        <v>145.120981</v>
      </c>
      <c r="D2657" s="26">
        <v>0.12152777777777778</v>
      </c>
      <c r="E2657" s="55">
        <v>-21.450113000000002</v>
      </c>
      <c r="F2657" s="55">
        <v>-47.647112999999997</v>
      </c>
      <c r="G2657" s="55">
        <v>-22.397670000000002</v>
      </c>
      <c r="H2657" s="55">
        <v>-47.39029</v>
      </c>
      <c r="I2657" s="55">
        <v>-22.774785000000001</v>
      </c>
      <c r="J2657" s="55">
        <v>-47.235174999999998</v>
      </c>
      <c r="L2657" s="61" t="str">
        <f t="shared" si="42"/>
        <v>Cliente47-Cliente6</v>
      </c>
      <c r="M2657">
        <v>145.120981</v>
      </c>
    </row>
    <row r="2658" spans="1:13" x14ac:dyDescent="0.25">
      <c r="A2658" s="15" t="s">
        <v>4317</v>
      </c>
      <c r="B2658" s="15" t="s">
        <v>4277</v>
      </c>
      <c r="C2658" s="52">
        <v>138.595325</v>
      </c>
      <c r="D2658" s="25">
        <v>0.11597222222222221</v>
      </c>
      <c r="E2658" s="53">
        <v>-21.422985000000001</v>
      </c>
      <c r="F2658" s="53">
        <v>-47.657746000000003</v>
      </c>
      <c r="G2658" s="53">
        <v>-22.349354999999999</v>
      </c>
      <c r="H2658" s="53">
        <v>-47.394666000000001</v>
      </c>
      <c r="I2658" s="53">
        <v>-22.739968000000001</v>
      </c>
      <c r="J2658" s="53">
        <v>-47.273623000000001</v>
      </c>
      <c r="L2658" s="61" t="str">
        <f t="shared" si="42"/>
        <v>Cliente47-Cliente7</v>
      </c>
      <c r="M2658">
        <v>138.595325</v>
      </c>
    </row>
    <row r="2659" spans="1:13" x14ac:dyDescent="0.25">
      <c r="A2659" s="15" t="s">
        <v>4317</v>
      </c>
      <c r="B2659" s="15" t="s">
        <v>4278</v>
      </c>
      <c r="C2659" s="54">
        <v>146.15929499999999</v>
      </c>
      <c r="D2659" s="26">
        <v>0.12291666666666667</v>
      </c>
      <c r="E2659" s="55">
        <v>-21.444648999999998</v>
      </c>
      <c r="F2659" s="55">
        <v>-47.648713999999998</v>
      </c>
      <c r="G2659" s="55">
        <v>-22.390560000000001</v>
      </c>
      <c r="H2659" s="55">
        <v>-47.393515000000001</v>
      </c>
      <c r="I2659" s="55">
        <v>-22.770879999999998</v>
      </c>
      <c r="J2659" s="55">
        <v>-47.239131999999998</v>
      </c>
      <c r="L2659" s="61" t="str">
        <f t="shared" si="42"/>
        <v>Cliente47-Cliente8</v>
      </c>
      <c r="M2659">
        <v>146.15929499999999</v>
      </c>
    </row>
    <row r="2660" spans="1:13" x14ac:dyDescent="0.25">
      <c r="A2660" s="15" t="s">
        <v>4317</v>
      </c>
      <c r="B2660" s="15" t="s">
        <v>4279</v>
      </c>
      <c r="C2660" s="52">
        <v>117.969478</v>
      </c>
      <c r="D2660" s="25">
        <v>9.8611111111111108E-2</v>
      </c>
      <c r="E2660" s="53">
        <v>-21.353268</v>
      </c>
      <c r="F2660" s="53">
        <v>-47.724308000000001</v>
      </c>
      <c r="G2660" s="53">
        <v>-22.041187999999998</v>
      </c>
      <c r="H2660" s="53">
        <v>-47.431596999999996</v>
      </c>
      <c r="I2660" s="53">
        <v>-22.506806999999998</v>
      </c>
      <c r="J2660" s="53">
        <v>-47.398646999999997</v>
      </c>
      <c r="L2660" s="61" t="str">
        <f t="shared" si="42"/>
        <v>Cliente47-Cliente9</v>
      </c>
      <c r="M2660">
        <v>117.969478</v>
      </c>
    </row>
    <row r="2661" spans="1:13" x14ac:dyDescent="0.25">
      <c r="A2661" s="15" t="s">
        <v>4317</v>
      </c>
      <c r="B2661" s="15" t="s">
        <v>4280</v>
      </c>
      <c r="C2661" s="54">
        <v>192.01535999999999</v>
      </c>
      <c r="D2661" s="26">
        <v>0.16180555555555556</v>
      </c>
      <c r="E2661" s="55">
        <v>-22.106760000000001</v>
      </c>
      <c r="F2661" s="55">
        <v>-47.413145999999998</v>
      </c>
      <c r="G2661" s="55">
        <v>-22.801167</v>
      </c>
      <c r="H2661" s="55">
        <v>-47.221750999999998</v>
      </c>
      <c r="I2661" s="55">
        <v>-23.275825000000001</v>
      </c>
      <c r="J2661" s="55">
        <v>-46.850839000000001</v>
      </c>
      <c r="L2661" s="61" t="str">
        <f t="shared" si="42"/>
        <v>Cliente47-Cliente10</v>
      </c>
      <c r="M2661">
        <v>192.01535999999999</v>
      </c>
    </row>
    <row r="2662" spans="1:13" x14ac:dyDescent="0.25">
      <c r="A2662" s="15" t="s">
        <v>4317</v>
      </c>
      <c r="B2662" s="15" t="s">
        <v>4281</v>
      </c>
      <c r="C2662" s="52">
        <v>124.09621300000001</v>
      </c>
      <c r="D2662" s="25">
        <v>0.1013888888888889</v>
      </c>
      <c r="E2662" s="53">
        <v>-21.404637999999998</v>
      </c>
      <c r="F2662" s="53">
        <v>-47.671925000000002</v>
      </c>
      <c r="G2662" s="53">
        <v>-22.286422999999999</v>
      </c>
      <c r="H2662" s="53">
        <v>-47.393664999999999</v>
      </c>
      <c r="I2662" s="53">
        <v>-22.598140000000001</v>
      </c>
      <c r="J2662" s="53">
        <v>-47.470846999999999</v>
      </c>
      <c r="L2662" s="61" t="str">
        <f t="shared" si="42"/>
        <v>Cliente47-Cliente11</v>
      </c>
      <c r="M2662">
        <v>124.09621300000001</v>
      </c>
    </row>
    <row r="2663" spans="1:13" x14ac:dyDescent="0.25">
      <c r="A2663" s="15" t="s">
        <v>4317</v>
      </c>
      <c r="B2663" s="15" t="s">
        <v>4282</v>
      </c>
      <c r="C2663" s="54">
        <v>222.29858200000001</v>
      </c>
      <c r="D2663" s="26">
        <v>0.18263888888888891</v>
      </c>
      <c r="E2663" s="55">
        <v>-22.330570000000002</v>
      </c>
      <c r="F2663" s="55">
        <v>-47.389251999999999</v>
      </c>
      <c r="G2663" s="55">
        <v>-22.913080999999998</v>
      </c>
      <c r="H2663" s="55">
        <v>-46.964627999999998</v>
      </c>
      <c r="I2663" s="55">
        <v>-23.194044999999999</v>
      </c>
      <c r="J2663" s="55">
        <v>-46.346727000000001</v>
      </c>
      <c r="L2663" s="61" t="str">
        <f t="shared" si="42"/>
        <v>Cliente47-Cliente12</v>
      </c>
      <c r="M2663">
        <v>222.29858200000001</v>
      </c>
    </row>
    <row r="2664" spans="1:13" x14ac:dyDescent="0.25">
      <c r="A2664" s="15" t="s">
        <v>4317</v>
      </c>
      <c r="B2664" s="15" t="s">
        <v>4283</v>
      </c>
      <c r="C2664" s="52">
        <v>230.182559</v>
      </c>
      <c r="D2664" s="25">
        <v>0.18819444444444444</v>
      </c>
      <c r="E2664" s="53">
        <v>-22.344374999999999</v>
      </c>
      <c r="F2664" s="53">
        <v>-47.393483000000003</v>
      </c>
      <c r="G2664" s="53">
        <v>-22.915461000000001</v>
      </c>
      <c r="H2664" s="53">
        <v>-46.948677000000004</v>
      </c>
      <c r="I2664" s="53">
        <v>-23.178508000000001</v>
      </c>
      <c r="J2664" s="53">
        <v>-46.316702999999997</v>
      </c>
      <c r="L2664" s="61" t="str">
        <f t="shared" si="42"/>
        <v>Cliente47-Cliente13</v>
      </c>
      <c r="M2664">
        <v>230.182559</v>
      </c>
    </row>
    <row r="2665" spans="1:13" x14ac:dyDescent="0.25">
      <c r="A2665" s="15" t="s">
        <v>4317</v>
      </c>
      <c r="B2665" s="15" t="s">
        <v>4284</v>
      </c>
      <c r="C2665" s="54">
        <v>228.24511899999999</v>
      </c>
      <c r="D2665" s="26">
        <v>0.18472222222222223</v>
      </c>
      <c r="E2665" s="55">
        <v>-22.284037000000001</v>
      </c>
      <c r="F2665" s="55">
        <v>-47.393585000000002</v>
      </c>
      <c r="G2665" s="55">
        <v>-22.901069</v>
      </c>
      <c r="H2665" s="55">
        <v>-46.986946000000003</v>
      </c>
      <c r="I2665" s="55">
        <v>-23.185866000000001</v>
      </c>
      <c r="J2665" s="55">
        <v>-46.361266999999998</v>
      </c>
      <c r="L2665" s="61" t="str">
        <f t="shared" si="42"/>
        <v>Cliente47-Cliente14</v>
      </c>
      <c r="M2665">
        <v>228.24511899999999</v>
      </c>
    </row>
    <row r="2666" spans="1:13" x14ac:dyDescent="0.25">
      <c r="A2666" s="15" t="s">
        <v>4317</v>
      </c>
      <c r="B2666" s="15" t="s">
        <v>4285</v>
      </c>
      <c r="C2666" s="52">
        <v>231.97770499999999</v>
      </c>
      <c r="D2666" s="25">
        <v>0.19305555555555554</v>
      </c>
      <c r="E2666" s="53">
        <v>-22.387136999999999</v>
      </c>
      <c r="F2666" s="53">
        <v>-47.394387000000002</v>
      </c>
      <c r="G2666" s="53">
        <v>-22.928431</v>
      </c>
      <c r="H2666" s="53">
        <v>-46.912469999999999</v>
      </c>
      <c r="I2666" s="53">
        <v>-23.175083999999998</v>
      </c>
      <c r="J2666" s="53">
        <v>-46.251904000000003</v>
      </c>
      <c r="L2666" s="61" t="str">
        <f t="shared" si="42"/>
        <v>Cliente47-Cliente15</v>
      </c>
      <c r="M2666">
        <v>231.97770499999999</v>
      </c>
    </row>
    <row r="2667" spans="1:13" x14ac:dyDescent="0.25">
      <c r="A2667" s="15" t="s">
        <v>4317</v>
      </c>
      <c r="B2667" s="15" t="s">
        <v>4286</v>
      </c>
      <c r="C2667" s="54">
        <v>229.554351</v>
      </c>
      <c r="D2667" s="26">
        <v>0.18958333333333333</v>
      </c>
      <c r="E2667" s="55">
        <v>-22.344374999999999</v>
      </c>
      <c r="F2667" s="55">
        <v>-47.393483000000003</v>
      </c>
      <c r="G2667" s="55">
        <v>-22.915461000000001</v>
      </c>
      <c r="H2667" s="55">
        <v>-46.948677000000004</v>
      </c>
      <c r="I2667" s="55">
        <v>-23.178508000000001</v>
      </c>
      <c r="J2667" s="55">
        <v>-46.316702999999997</v>
      </c>
      <c r="L2667" s="61" t="str">
        <f t="shared" si="42"/>
        <v>Cliente47-Cliente16</v>
      </c>
      <c r="M2667">
        <v>229.554351</v>
      </c>
    </row>
    <row r="2668" spans="1:13" x14ac:dyDescent="0.25">
      <c r="A2668" s="15" t="s">
        <v>4317</v>
      </c>
      <c r="B2668" s="15" t="s">
        <v>4287</v>
      </c>
      <c r="C2668" s="52">
        <v>230.61006399999999</v>
      </c>
      <c r="D2668" s="25">
        <v>0.1875</v>
      </c>
      <c r="E2668" s="53">
        <v>-22.344374999999999</v>
      </c>
      <c r="F2668" s="53">
        <v>-47.393483000000003</v>
      </c>
      <c r="G2668" s="53">
        <v>-22.915461000000001</v>
      </c>
      <c r="H2668" s="53">
        <v>-46.948677000000004</v>
      </c>
      <c r="I2668" s="53">
        <v>-23.178508000000001</v>
      </c>
      <c r="J2668" s="53">
        <v>-46.316702999999997</v>
      </c>
      <c r="L2668" s="61" t="str">
        <f t="shared" si="42"/>
        <v>Cliente47-Cliente17</v>
      </c>
      <c r="M2668">
        <v>230.61006399999999</v>
      </c>
    </row>
    <row r="2669" spans="1:13" x14ac:dyDescent="0.25">
      <c r="A2669" s="15" t="s">
        <v>4317</v>
      </c>
      <c r="B2669" s="15" t="s">
        <v>4288</v>
      </c>
      <c r="C2669" s="54">
        <v>235.43813</v>
      </c>
      <c r="D2669" s="26">
        <v>0.19236111111111112</v>
      </c>
      <c r="E2669" s="55">
        <v>-22.333369000000001</v>
      </c>
      <c r="F2669" s="55">
        <v>-47.389285999999998</v>
      </c>
      <c r="G2669" s="55">
        <v>-22.911926000000001</v>
      </c>
      <c r="H2669" s="55">
        <v>-46.953550999999997</v>
      </c>
      <c r="I2669" s="55">
        <v>-23.187355</v>
      </c>
      <c r="J2669" s="55">
        <v>-46.332127</v>
      </c>
      <c r="L2669" s="61" t="str">
        <f t="shared" si="42"/>
        <v>Cliente47-Cliente18</v>
      </c>
      <c r="M2669">
        <v>235.43813</v>
      </c>
    </row>
    <row r="2670" spans="1:13" x14ac:dyDescent="0.25">
      <c r="A2670" s="15" t="s">
        <v>4317</v>
      </c>
      <c r="B2670" s="15" t="s">
        <v>4289</v>
      </c>
      <c r="C2670" s="52">
        <v>188.79540700000001</v>
      </c>
      <c r="D2670" s="25">
        <v>0.15347222222222223</v>
      </c>
      <c r="E2670" s="53">
        <v>-21.982310999999999</v>
      </c>
      <c r="F2670" s="53">
        <v>-47.451276</v>
      </c>
      <c r="G2670" s="53">
        <v>-22.752683000000001</v>
      </c>
      <c r="H2670" s="53">
        <v>-47.259129000000001</v>
      </c>
      <c r="I2670" s="53">
        <v>-23.208615999999999</v>
      </c>
      <c r="J2670" s="53">
        <v>-46.924672999999999</v>
      </c>
      <c r="L2670" s="61" t="str">
        <f t="shared" si="42"/>
        <v>Cliente47-Cliente19</v>
      </c>
      <c r="M2670">
        <v>188.79540700000001</v>
      </c>
    </row>
    <row r="2671" spans="1:13" x14ac:dyDescent="0.25">
      <c r="A2671" s="15" t="s">
        <v>4317</v>
      </c>
      <c r="B2671" s="15" t="s">
        <v>4290</v>
      </c>
      <c r="C2671" s="54">
        <v>190.36748</v>
      </c>
      <c r="D2671" s="26">
        <v>0.15694444444444444</v>
      </c>
      <c r="E2671" s="55">
        <v>-22.041187999999998</v>
      </c>
      <c r="F2671" s="55">
        <v>-47.431596999999996</v>
      </c>
      <c r="G2671" s="55">
        <v>-22.772565</v>
      </c>
      <c r="H2671" s="55">
        <v>-47.237068000000001</v>
      </c>
      <c r="I2671" s="55">
        <v>-23.255313000000001</v>
      </c>
      <c r="J2671" s="55">
        <v>-46.870173000000001</v>
      </c>
      <c r="L2671" s="61" t="str">
        <f t="shared" si="42"/>
        <v>Cliente47-Cliente20</v>
      </c>
      <c r="M2671">
        <v>190.36748</v>
      </c>
    </row>
    <row r="2672" spans="1:13" x14ac:dyDescent="0.25">
      <c r="A2672" s="15" t="s">
        <v>4317</v>
      </c>
      <c r="B2672" s="15" t="s">
        <v>4291</v>
      </c>
      <c r="C2672" s="52">
        <v>189.96917999999999</v>
      </c>
      <c r="D2672" s="25">
        <v>0.15694444444444444</v>
      </c>
      <c r="E2672" s="53">
        <v>-22.108053999999999</v>
      </c>
      <c r="F2672" s="53">
        <v>-47.412773999999999</v>
      </c>
      <c r="G2672" s="53">
        <v>-22.803452</v>
      </c>
      <c r="H2672" s="53">
        <v>-47.220028999999997</v>
      </c>
      <c r="I2672" s="53">
        <v>-23.279109999999999</v>
      </c>
      <c r="J2672" s="53">
        <v>-46.848669000000001</v>
      </c>
      <c r="L2672" s="61" t="str">
        <f t="shared" si="42"/>
        <v>Cliente47-Cliente21</v>
      </c>
      <c r="M2672">
        <v>189.96917999999999</v>
      </c>
    </row>
    <row r="2673" spans="1:13" x14ac:dyDescent="0.25">
      <c r="A2673" s="15" t="s">
        <v>4317</v>
      </c>
      <c r="B2673" s="15" t="s">
        <v>4292</v>
      </c>
      <c r="C2673" s="54">
        <v>189.092423</v>
      </c>
      <c r="D2673" s="26">
        <v>0.15625</v>
      </c>
      <c r="E2673" s="55">
        <v>-22.076841999999999</v>
      </c>
      <c r="F2673" s="55">
        <v>-47.422711</v>
      </c>
      <c r="G2673" s="55">
        <v>-22.776527999999999</v>
      </c>
      <c r="H2673" s="55">
        <v>-47.234319999999997</v>
      </c>
      <c r="I2673" s="55">
        <v>-23.266528999999998</v>
      </c>
      <c r="J2673" s="55">
        <v>-46.860360999999997</v>
      </c>
      <c r="L2673" s="61" t="str">
        <f t="shared" si="42"/>
        <v>Cliente47-Cliente22</v>
      </c>
      <c r="M2673">
        <v>189.092423</v>
      </c>
    </row>
    <row r="2674" spans="1:13" x14ac:dyDescent="0.25">
      <c r="A2674" s="15" t="s">
        <v>4317</v>
      </c>
      <c r="B2674" s="15" t="s">
        <v>4293</v>
      </c>
      <c r="C2674" s="52">
        <v>198.24275800000001</v>
      </c>
      <c r="D2674" s="25">
        <v>0.16319444444444445</v>
      </c>
      <c r="E2674" s="53">
        <v>-22.189591</v>
      </c>
      <c r="F2674" s="53">
        <v>-47.398167999999998</v>
      </c>
      <c r="G2674" s="53">
        <v>-22.848186999999999</v>
      </c>
      <c r="H2674" s="53">
        <v>-47.162376999999999</v>
      </c>
      <c r="I2674" s="53">
        <v>-23.338241</v>
      </c>
      <c r="J2674" s="53">
        <v>-46.821655</v>
      </c>
      <c r="L2674" s="61" t="str">
        <f t="shared" si="42"/>
        <v>Cliente47-Cliente23</v>
      </c>
      <c r="M2674">
        <v>198.24275800000001</v>
      </c>
    </row>
    <row r="2675" spans="1:13" x14ac:dyDescent="0.25">
      <c r="A2675" s="15" t="s">
        <v>4317</v>
      </c>
      <c r="B2675" s="15" t="s">
        <v>4294</v>
      </c>
      <c r="C2675" s="54">
        <v>199.22204099999999</v>
      </c>
      <c r="D2675" s="26">
        <v>0.16597222222222222</v>
      </c>
      <c r="E2675" s="55">
        <v>-22.190974000000001</v>
      </c>
      <c r="F2675" s="55">
        <v>-47.397970000000001</v>
      </c>
      <c r="G2675" s="55">
        <v>-22.855844000000001</v>
      </c>
      <c r="H2675" s="55">
        <v>-47.150579</v>
      </c>
      <c r="I2675" s="55">
        <v>-23.345116000000001</v>
      </c>
      <c r="J2675" s="55">
        <v>-46.815179000000001</v>
      </c>
      <c r="L2675" s="61" t="str">
        <f t="shared" si="42"/>
        <v>Cliente47-Cliente24</v>
      </c>
      <c r="M2675">
        <v>199.22204099999999</v>
      </c>
    </row>
    <row r="2676" spans="1:13" x14ac:dyDescent="0.25">
      <c r="A2676" s="15" t="s">
        <v>4317</v>
      </c>
      <c r="B2676" s="15" t="s">
        <v>4295</v>
      </c>
      <c r="C2676" s="52">
        <v>202.042452</v>
      </c>
      <c r="D2676" s="25">
        <v>0.16805555555555554</v>
      </c>
      <c r="E2676" s="53">
        <v>-22.206014</v>
      </c>
      <c r="F2676" s="53">
        <v>-47.395122000000001</v>
      </c>
      <c r="G2676" s="53">
        <v>-22.865729999999999</v>
      </c>
      <c r="H2676" s="53">
        <v>-47.134158999999997</v>
      </c>
      <c r="I2676" s="53">
        <v>-23.350788999999999</v>
      </c>
      <c r="J2676" s="53">
        <v>-46.806215999999999</v>
      </c>
      <c r="L2676" s="61" t="str">
        <f t="shared" si="42"/>
        <v>Cliente47-Cliente25</v>
      </c>
      <c r="M2676">
        <v>202.042452</v>
      </c>
    </row>
    <row r="2677" spans="1:13" x14ac:dyDescent="0.25">
      <c r="A2677" s="15" t="s">
        <v>4317</v>
      </c>
      <c r="B2677" s="15" t="s">
        <v>4296</v>
      </c>
      <c r="C2677" s="54">
        <v>193.70487299999999</v>
      </c>
      <c r="D2677" s="26">
        <v>0.15833333333333333</v>
      </c>
      <c r="E2677" s="55">
        <v>-22.151095999999999</v>
      </c>
      <c r="F2677" s="55">
        <v>-47.401240999999999</v>
      </c>
      <c r="G2677" s="55">
        <v>-22.835114000000001</v>
      </c>
      <c r="H2677" s="55">
        <v>-47.175074000000002</v>
      </c>
      <c r="I2677" s="55">
        <v>-23.312118999999999</v>
      </c>
      <c r="J2677" s="55">
        <v>-46.827396999999998</v>
      </c>
      <c r="L2677" s="61" t="str">
        <f t="shared" si="42"/>
        <v>Cliente47-Cliente26</v>
      </c>
      <c r="M2677">
        <v>193.70487299999999</v>
      </c>
    </row>
    <row r="2678" spans="1:13" x14ac:dyDescent="0.25">
      <c r="A2678" s="15" t="s">
        <v>4317</v>
      </c>
      <c r="B2678" s="15" t="s">
        <v>4297</v>
      </c>
      <c r="C2678" s="52">
        <v>200.021748</v>
      </c>
      <c r="D2678" s="25">
        <v>0.16666666666666666</v>
      </c>
      <c r="E2678" s="53">
        <v>-22.205031999999999</v>
      </c>
      <c r="F2678" s="53">
        <v>-47.395248000000002</v>
      </c>
      <c r="G2678" s="53">
        <v>-22.864695000000001</v>
      </c>
      <c r="H2678" s="53">
        <v>-47.13552</v>
      </c>
      <c r="I2678" s="53">
        <v>-23.349461000000002</v>
      </c>
      <c r="J2678" s="53">
        <v>-46.810260999999997</v>
      </c>
      <c r="L2678" s="61" t="str">
        <f t="shared" si="42"/>
        <v>Cliente47-Cliente27</v>
      </c>
      <c r="M2678">
        <v>200.021748</v>
      </c>
    </row>
    <row r="2679" spans="1:13" x14ac:dyDescent="0.25">
      <c r="A2679" s="15" t="s">
        <v>4317</v>
      </c>
      <c r="B2679" s="15" t="s">
        <v>4298</v>
      </c>
      <c r="C2679" s="54">
        <v>201.35335000000001</v>
      </c>
      <c r="D2679" s="26">
        <v>0.17291666666666669</v>
      </c>
      <c r="E2679" s="55">
        <v>-22.205031999999999</v>
      </c>
      <c r="F2679" s="55">
        <v>-47.395248000000002</v>
      </c>
      <c r="G2679" s="55">
        <v>-22.864695000000001</v>
      </c>
      <c r="H2679" s="55">
        <v>-47.13552</v>
      </c>
      <c r="I2679" s="55">
        <v>-23.349461000000002</v>
      </c>
      <c r="J2679" s="55">
        <v>-46.810260999999997</v>
      </c>
      <c r="L2679" s="61" t="str">
        <f t="shared" si="42"/>
        <v>Cliente47-Cliente28</v>
      </c>
      <c r="M2679">
        <v>201.35335000000001</v>
      </c>
    </row>
    <row r="2680" spans="1:13" x14ac:dyDescent="0.25">
      <c r="A2680" s="15" t="s">
        <v>4317</v>
      </c>
      <c r="B2680" s="15" t="s">
        <v>4299</v>
      </c>
      <c r="C2680" s="52">
        <v>203.615768</v>
      </c>
      <c r="D2680" s="25">
        <v>0.1763888888888889</v>
      </c>
      <c r="E2680" s="53">
        <v>-22.222254</v>
      </c>
      <c r="F2680" s="53">
        <v>-47.391983000000003</v>
      </c>
      <c r="G2680" s="53">
        <v>-22.880136</v>
      </c>
      <c r="H2680" s="53">
        <v>-47.130839000000002</v>
      </c>
      <c r="I2680" s="53">
        <v>-23.357218</v>
      </c>
      <c r="J2680" s="53">
        <v>-46.787655999999998</v>
      </c>
      <c r="L2680" s="61" t="str">
        <f t="shared" si="42"/>
        <v>Cliente47-Cliente29</v>
      </c>
      <c r="M2680">
        <v>203.615768</v>
      </c>
    </row>
    <row r="2681" spans="1:13" x14ac:dyDescent="0.25">
      <c r="A2681" s="15" t="s">
        <v>4317</v>
      </c>
      <c r="B2681" s="15" t="s">
        <v>4300</v>
      </c>
      <c r="C2681" s="54">
        <v>207.675196</v>
      </c>
      <c r="D2681" s="26">
        <v>0.18541666666666667</v>
      </c>
      <c r="E2681" s="55">
        <v>-22.271694</v>
      </c>
      <c r="F2681" s="55">
        <v>-47.391973999999998</v>
      </c>
      <c r="G2681" s="55">
        <v>-22.941599</v>
      </c>
      <c r="H2681" s="55">
        <v>-47.126221999999999</v>
      </c>
      <c r="I2681" s="55">
        <v>-23.461957999999999</v>
      </c>
      <c r="J2681" s="55">
        <v>-46.752459000000002</v>
      </c>
      <c r="L2681" s="61" t="str">
        <f t="shared" si="42"/>
        <v>Cliente47-Cliente30</v>
      </c>
      <c r="M2681">
        <v>207.675196</v>
      </c>
    </row>
    <row r="2682" spans="1:13" x14ac:dyDescent="0.25">
      <c r="A2682" s="15" t="s">
        <v>4317</v>
      </c>
      <c r="B2682" s="15" t="s">
        <v>4301</v>
      </c>
      <c r="C2682" s="52">
        <v>198.97970599999999</v>
      </c>
      <c r="D2682" s="25">
        <v>0.17361111111111113</v>
      </c>
      <c r="E2682" s="53">
        <v>-22.246585</v>
      </c>
      <c r="F2682" s="53">
        <v>-47.390438000000003</v>
      </c>
      <c r="G2682" s="53">
        <v>-22.917887</v>
      </c>
      <c r="H2682" s="53">
        <v>-47.134811999999997</v>
      </c>
      <c r="I2682" s="53">
        <v>-23.399985000000001</v>
      </c>
      <c r="J2682" s="53">
        <v>-46.768025000000002</v>
      </c>
      <c r="L2682" s="61" t="str">
        <f t="shared" si="42"/>
        <v>Cliente47-Cliente31</v>
      </c>
      <c r="M2682">
        <v>198.97970599999999</v>
      </c>
    </row>
    <row r="2683" spans="1:13" x14ac:dyDescent="0.25">
      <c r="A2683" s="15" t="s">
        <v>4317</v>
      </c>
      <c r="B2683" s="15" t="s">
        <v>4302</v>
      </c>
      <c r="C2683" s="54">
        <v>188.54126500000001</v>
      </c>
      <c r="D2683" s="26">
        <v>0.15763888888888888</v>
      </c>
      <c r="E2683" s="55">
        <v>-22.137243000000002</v>
      </c>
      <c r="F2683" s="55">
        <v>-47.408132999999999</v>
      </c>
      <c r="G2683" s="55">
        <v>-22.830970000000001</v>
      </c>
      <c r="H2683" s="55">
        <v>-47.179108999999997</v>
      </c>
      <c r="I2683" s="55">
        <v>-23.308924000000001</v>
      </c>
      <c r="J2683" s="55">
        <v>-46.834640999999998</v>
      </c>
      <c r="L2683" s="61" t="str">
        <f t="shared" si="42"/>
        <v>Cliente47-Cliente32</v>
      </c>
      <c r="M2683">
        <v>188.54126500000001</v>
      </c>
    </row>
    <row r="2684" spans="1:13" x14ac:dyDescent="0.25">
      <c r="A2684" s="15" t="s">
        <v>4317</v>
      </c>
      <c r="B2684" s="15" t="s">
        <v>4303</v>
      </c>
      <c r="C2684" s="52">
        <v>201.69883300000001</v>
      </c>
      <c r="D2684" s="25">
        <v>0.16944444444444443</v>
      </c>
      <c r="E2684" s="53">
        <v>-22.205031999999999</v>
      </c>
      <c r="F2684" s="53">
        <v>-47.395248000000002</v>
      </c>
      <c r="G2684" s="53">
        <v>-22.864695000000001</v>
      </c>
      <c r="H2684" s="53">
        <v>-47.13552</v>
      </c>
      <c r="I2684" s="53">
        <v>-23.349461000000002</v>
      </c>
      <c r="J2684" s="53">
        <v>-46.810260999999997</v>
      </c>
      <c r="L2684" s="61" t="str">
        <f t="shared" si="42"/>
        <v>Cliente47-Cliente33</v>
      </c>
      <c r="M2684">
        <v>201.69883300000001</v>
      </c>
    </row>
    <row r="2685" spans="1:13" x14ac:dyDescent="0.25">
      <c r="A2685" s="15" t="s">
        <v>4317</v>
      </c>
      <c r="B2685" s="15" t="s">
        <v>4304</v>
      </c>
      <c r="C2685" s="54">
        <v>189.20302699999999</v>
      </c>
      <c r="D2685" s="26">
        <v>0.17083333333333331</v>
      </c>
      <c r="E2685" s="55">
        <v>-22.353055000000001</v>
      </c>
      <c r="F2685" s="55">
        <v>-47.395043999999999</v>
      </c>
      <c r="G2685" s="55">
        <v>-23.036733000000002</v>
      </c>
      <c r="H2685" s="55">
        <v>-47.070115999999999</v>
      </c>
      <c r="I2685" s="55">
        <v>-23.405677000000001</v>
      </c>
      <c r="J2685" s="55">
        <v>-46.865414000000001</v>
      </c>
      <c r="L2685" s="61" t="str">
        <f t="shared" si="42"/>
        <v>Cliente47-Cliente34</v>
      </c>
      <c r="M2685">
        <v>189.20302699999999</v>
      </c>
    </row>
    <row r="2686" spans="1:13" x14ac:dyDescent="0.25">
      <c r="A2686" s="15" t="s">
        <v>4317</v>
      </c>
      <c r="B2686" s="15" t="s">
        <v>4305</v>
      </c>
      <c r="C2686" s="52">
        <v>186.16886400000001</v>
      </c>
      <c r="D2686" s="25">
        <v>0.16527777777777777</v>
      </c>
      <c r="E2686" s="53">
        <v>-22.284037000000001</v>
      </c>
      <c r="F2686" s="53">
        <v>-47.393585000000002</v>
      </c>
      <c r="G2686" s="53">
        <v>-22.960871999999998</v>
      </c>
      <c r="H2686" s="53">
        <v>-47.124448000000001</v>
      </c>
      <c r="I2686" s="53">
        <v>-23.372191000000001</v>
      </c>
      <c r="J2686" s="53">
        <v>-46.850501000000001</v>
      </c>
      <c r="L2686" s="61" t="str">
        <f t="shared" si="42"/>
        <v>Cliente47-Cliente35</v>
      </c>
      <c r="M2686">
        <v>186.16886400000001</v>
      </c>
    </row>
    <row r="2687" spans="1:13" x14ac:dyDescent="0.25">
      <c r="A2687" s="15" t="s">
        <v>4317</v>
      </c>
      <c r="B2687" s="15" t="s">
        <v>4306</v>
      </c>
      <c r="C2687" s="54">
        <v>68.198764999999995</v>
      </c>
      <c r="D2687" s="26">
        <v>6.5277777777777782E-2</v>
      </c>
      <c r="E2687" s="55">
        <v>-21.200672999999998</v>
      </c>
      <c r="F2687" s="55">
        <v>-47.758169000000002</v>
      </c>
      <c r="G2687" s="55">
        <v>-21.608128000000001</v>
      </c>
      <c r="H2687" s="55">
        <v>-47.953910999999998</v>
      </c>
      <c r="I2687" s="55">
        <v>-21.990145999999999</v>
      </c>
      <c r="J2687" s="55">
        <v>-47.889068999999999</v>
      </c>
      <c r="L2687" s="61" t="str">
        <f t="shared" si="42"/>
        <v>Cliente47-Cliente36</v>
      </c>
      <c r="M2687">
        <v>68.198764999999995</v>
      </c>
    </row>
    <row r="2688" spans="1:13" x14ac:dyDescent="0.25">
      <c r="A2688" s="15" t="s">
        <v>4317</v>
      </c>
      <c r="B2688" s="15" t="s">
        <v>4307</v>
      </c>
      <c r="C2688" s="52">
        <v>67.143051999999997</v>
      </c>
      <c r="D2688" s="25">
        <v>6.25E-2</v>
      </c>
      <c r="E2688" s="53">
        <v>-21.197247999999998</v>
      </c>
      <c r="F2688" s="53">
        <v>-47.757953000000001</v>
      </c>
      <c r="G2688" s="53">
        <v>-21.603995999999999</v>
      </c>
      <c r="H2688" s="53">
        <v>-47.957560000000001</v>
      </c>
      <c r="I2688" s="53">
        <v>-21.984157</v>
      </c>
      <c r="J2688" s="53">
        <v>-47.887157999999999</v>
      </c>
      <c r="L2688" s="61" t="str">
        <f t="shared" si="42"/>
        <v>Cliente47-Cliente37</v>
      </c>
      <c r="M2688">
        <v>67.143051999999997</v>
      </c>
    </row>
    <row r="2689" spans="1:13" x14ac:dyDescent="0.25">
      <c r="A2689" s="15" t="s">
        <v>4317</v>
      </c>
      <c r="B2689" s="15" t="s">
        <v>4308</v>
      </c>
      <c r="C2689" s="54">
        <v>65.793430999999998</v>
      </c>
      <c r="D2689" s="26">
        <v>6.1111111111111116E-2</v>
      </c>
      <c r="E2689" s="55">
        <v>-21.199186000000001</v>
      </c>
      <c r="F2689" s="55">
        <v>-47.758045000000003</v>
      </c>
      <c r="G2689" s="55">
        <v>-21.604762999999998</v>
      </c>
      <c r="H2689" s="55">
        <v>-47.957644000000002</v>
      </c>
      <c r="I2689" s="55">
        <v>-21.990736999999999</v>
      </c>
      <c r="J2689" s="55">
        <v>-47.888871999999999</v>
      </c>
      <c r="L2689" s="61" t="str">
        <f t="shared" si="42"/>
        <v>Cliente47-Cliente38</v>
      </c>
      <c r="M2689">
        <v>65.793430999999998</v>
      </c>
    </row>
    <row r="2690" spans="1:13" x14ac:dyDescent="0.25">
      <c r="A2690" s="15" t="s">
        <v>4317</v>
      </c>
      <c r="B2690" s="15" t="s">
        <v>4309</v>
      </c>
      <c r="C2690" s="52">
        <v>256.44425699999999</v>
      </c>
      <c r="D2690" s="25">
        <v>0.21180555555555555</v>
      </c>
      <c r="E2690" s="53">
        <v>-22.369617999999999</v>
      </c>
      <c r="F2690" s="53">
        <v>-47.394798000000002</v>
      </c>
      <c r="G2690" s="53">
        <v>-22.931961000000001</v>
      </c>
      <c r="H2690" s="53">
        <v>-46.922178000000002</v>
      </c>
      <c r="I2690" s="53">
        <v>-23.172899999999998</v>
      </c>
      <c r="J2690" s="53">
        <v>-46.261420000000001</v>
      </c>
      <c r="L2690" s="61" t="str">
        <f t="shared" si="42"/>
        <v>Cliente47-Cliente39</v>
      </c>
      <c r="M2690">
        <v>256.44425699999999</v>
      </c>
    </row>
    <row r="2691" spans="1:13" x14ac:dyDescent="0.25">
      <c r="A2691" s="15" t="s">
        <v>4317</v>
      </c>
      <c r="B2691" s="15" t="s">
        <v>4310</v>
      </c>
      <c r="C2691" s="54">
        <v>258.00576599999999</v>
      </c>
      <c r="D2691" s="26">
        <v>0.21527777777777779</v>
      </c>
      <c r="E2691" s="55">
        <v>-22.388598999999999</v>
      </c>
      <c r="F2691" s="55">
        <v>-47.394137000000001</v>
      </c>
      <c r="G2691" s="55">
        <v>-22.928616000000002</v>
      </c>
      <c r="H2691" s="55">
        <v>-46.909415000000003</v>
      </c>
      <c r="I2691" s="55">
        <v>-23.172725</v>
      </c>
      <c r="J2691" s="55">
        <v>-46.248871999999999</v>
      </c>
      <c r="L2691" s="61" t="str">
        <f t="shared" si="42"/>
        <v>Cliente47-Cliente40</v>
      </c>
      <c r="M2691">
        <v>258.00576599999999</v>
      </c>
    </row>
    <row r="2692" spans="1:13" x14ac:dyDescent="0.25">
      <c r="A2692" s="15" t="s">
        <v>4317</v>
      </c>
      <c r="B2692" s="15" t="s">
        <v>4311</v>
      </c>
      <c r="C2692" s="52">
        <v>262.098749</v>
      </c>
      <c r="D2692" s="25">
        <v>0.22013888888888888</v>
      </c>
      <c r="E2692" s="53">
        <v>-22.034148999999999</v>
      </c>
      <c r="F2692" s="53">
        <v>-47.084057000000001</v>
      </c>
      <c r="G2692" s="53">
        <v>-22.932883</v>
      </c>
      <c r="H2692" s="53">
        <v>-46.932217000000001</v>
      </c>
      <c r="I2692" s="53">
        <v>-23.173088</v>
      </c>
      <c r="J2692" s="53">
        <v>-46.260817000000003</v>
      </c>
      <c r="L2692" s="61" t="str">
        <f t="shared" si="42"/>
        <v>Cliente47-Cliente41</v>
      </c>
      <c r="M2692">
        <v>262.098749</v>
      </c>
    </row>
    <row r="2693" spans="1:13" x14ac:dyDescent="0.25">
      <c r="A2693" s="15" t="s">
        <v>4317</v>
      </c>
      <c r="B2693" s="15" t="s">
        <v>4312</v>
      </c>
      <c r="C2693" s="54">
        <v>244.011831</v>
      </c>
      <c r="D2693" s="26">
        <v>0.1986111111111111</v>
      </c>
      <c r="E2693" s="55">
        <v>-22.333369000000001</v>
      </c>
      <c r="F2693" s="55">
        <v>-47.389285999999998</v>
      </c>
      <c r="G2693" s="55">
        <v>-22.911926000000001</v>
      </c>
      <c r="H2693" s="55">
        <v>-46.953550999999997</v>
      </c>
      <c r="I2693" s="55">
        <v>-23.187355</v>
      </c>
      <c r="J2693" s="55">
        <v>-46.332127</v>
      </c>
      <c r="L2693" s="61" t="str">
        <f t="shared" si="42"/>
        <v>Cliente47-Cliente42</v>
      </c>
      <c r="M2693">
        <v>244.011831</v>
      </c>
    </row>
    <row r="2694" spans="1:13" x14ac:dyDescent="0.25">
      <c r="A2694" s="15" t="s">
        <v>4317</v>
      </c>
      <c r="B2694" s="15" t="s">
        <v>4313</v>
      </c>
      <c r="C2694" s="52">
        <v>262.685946</v>
      </c>
      <c r="D2694" s="25">
        <v>0.21805555555555556</v>
      </c>
      <c r="E2694" s="53">
        <v>-22.413594</v>
      </c>
      <c r="F2694" s="53">
        <v>-47.390076000000001</v>
      </c>
      <c r="G2694" s="53">
        <v>-22.945516000000001</v>
      </c>
      <c r="H2694" s="53">
        <v>-46.872473999999997</v>
      </c>
      <c r="I2694" s="53">
        <v>-23.182245999999999</v>
      </c>
      <c r="J2694" s="53">
        <v>-46.205109</v>
      </c>
      <c r="L2694" s="61" t="str">
        <f t="shared" si="42"/>
        <v>Cliente47-Cliente43</v>
      </c>
      <c r="M2694">
        <v>262.685946</v>
      </c>
    </row>
    <row r="2695" spans="1:13" x14ac:dyDescent="0.25">
      <c r="A2695" s="15" t="s">
        <v>4317</v>
      </c>
      <c r="B2695" s="15" t="s">
        <v>4314</v>
      </c>
      <c r="C2695" s="54">
        <v>197.637541</v>
      </c>
      <c r="D2695" s="26">
        <v>0.16388888888888889</v>
      </c>
      <c r="E2695" s="55">
        <v>-21.850660000000001</v>
      </c>
      <c r="F2695" s="55">
        <v>-47.495224999999998</v>
      </c>
      <c r="G2695" s="55">
        <v>-22.692126999999999</v>
      </c>
      <c r="H2695" s="55">
        <v>-47.311219000000001</v>
      </c>
      <c r="I2695" s="55">
        <v>-23.166727000000002</v>
      </c>
      <c r="J2695" s="55">
        <v>-47.266658999999997</v>
      </c>
      <c r="L2695" s="61" t="str">
        <f t="shared" si="42"/>
        <v>Cliente47-Cliente44</v>
      </c>
      <c r="M2695">
        <v>197.637541</v>
      </c>
    </row>
    <row r="2696" spans="1:13" x14ac:dyDescent="0.25">
      <c r="A2696" s="15" t="s">
        <v>4317</v>
      </c>
      <c r="B2696" s="15" t="s">
        <v>4315</v>
      </c>
      <c r="C2696" s="52">
        <v>201.93060500000001</v>
      </c>
      <c r="D2696" s="25">
        <v>0.17291666666666669</v>
      </c>
      <c r="E2696" s="53">
        <v>-21.977838999999999</v>
      </c>
      <c r="F2696" s="53">
        <v>-47.452793</v>
      </c>
      <c r="G2696" s="53">
        <v>-22.743454</v>
      </c>
      <c r="H2696" s="53">
        <v>-47.268704</v>
      </c>
      <c r="I2696" s="53">
        <v>-23.236021000000001</v>
      </c>
      <c r="J2696" s="53">
        <v>-47.316141999999999</v>
      </c>
      <c r="L2696" s="61" t="str">
        <f t="shared" si="42"/>
        <v>Cliente47-Cliente45</v>
      </c>
      <c r="M2696">
        <v>201.93060500000001</v>
      </c>
    </row>
    <row r="2697" spans="1:13" x14ac:dyDescent="0.25">
      <c r="A2697" s="15" t="s">
        <v>4317</v>
      </c>
      <c r="B2697" s="15" t="s">
        <v>4316</v>
      </c>
      <c r="C2697" s="54">
        <v>200.037904</v>
      </c>
      <c r="D2697" s="26">
        <v>0.16944444444444443</v>
      </c>
      <c r="E2697" s="55">
        <v>-21.954416999999999</v>
      </c>
      <c r="F2697" s="55">
        <v>-47.460811</v>
      </c>
      <c r="G2697" s="55">
        <v>-22.710054</v>
      </c>
      <c r="H2697" s="55">
        <v>-47.298625999999999</v>
      </c>
      <c r="I2697" s="55">
        <v>-23.179673000000001</v>
      </c>
      <c r="J2697" s="55">
        <v>-47.279541000000002</v>
      </c>
      <c r="L2697" s="61" t="str">
        <f t="shared" si="42"/>
        <v>Cliente47-Cliente46</v>
      </c>
      <c r="M2697">
        <v>200.037904</v>
      </c>
    </row>
    <row r="2698" spans="1:13" x14ac:dyDescent="0.25">
      <c r="A2698" s="15" t="s">
        <v>4317</v>
      </c>
      <c r="B2698" s="15" t="s">
        <v>4317</v>
      </c>
      <c r="C2698" s="52">
        <v>0</v>
      </c>
      <c r="D2698" s="25">
        <v>0</v>
      </c>
      <c r="E2698" s="53">
        <f>'1. Locais'!D51</f>
        <v>-21.194980000000001</v>
      </c>
      <c r="F2698" s="53">
        <f>'1. Locais'!E51</f>
        <v>-47.755890000000001</v>
      </c>
      <c r="G2698" s="53">
        <f>'1. Locais'!D51</f>
        <v>-21.194980000000001</v>
      </c>
      <c r="H2698" s="53">
        <f>'1. Locais'!E51</f>
        <v>-47.755890000000001</v>
      </c>
      <c r="I2698" s="53">
        <f>'1. Locais'!D51</f>
        <v>-21.194980000000001</v>
      </c>
      <c r="J2698" s="53">
        <f>'1. Locais'!E51</f>
        <v>-47.755890000000001</v>
      </c>
      <c r="L2698" s="61" t="str">
        <f t="shared" si="42"/>
        <v>Cliente47-Cliente47</v>
      </c>
      <c r="M2698">
        <v>0</v>
      </c>
    </row>
    <row r="2699" spans="1:13" x14ac:dyDescent="0.25">
      <c r="A2699" s="15" t="s">
        <v>4317</v>
      </c>
      <c r="B2699" s="15" t="s">
        <v>4318</v>
      </c>
      <c r="C2699" s="54">
        <v>7.6981869999999999</v>
      </c>
      <c r="D2699" s="26">
        <v>1.3888888888888888E-2</v>
      </c>
      <c r="E2699" s="55">
        <v>-21.190794</v>
      </c>
      <c r="F2699" s="55">
        <v>-47.750638000000002</v>
      </c>
      <c r="G2699" s="55">
        <v>-21.150444</v>
      </c>
      <c r="H2699" s="55">
        <v>-47.757263999999999</v>
      </c>
      <c r="I2699" s="55">
        <v>-21.139600000000002</v>
      </c>
      <c r="J2699" s="55">
        <v>-47.788300999999997</v>
      </c>
      <c r="L2699" s="61" t="str">
        <f t="shared" si="42"/>
        <v>Cliente47-Cliente48</v>
      </c>
      <c r="M2699">
        <v>7.6981869999999999</v>
      </c>
    </row>
    <row r="2700" spans="1:13" x14ac:dyDescent="0.25">
      <c r="A2700" s="15" t="s">
        <v>4317</v>
      </c>
      <c r="B2700" s="15" t="s">
        <v>4319</v>
      </c>
      <c r="C2700" s="52">
        <v>5.0237990000000003</v>
      </c>
      <c r="D2700" s="25">
        <v>9.7222222222222224E-3</v>
      </c>
      <c r="E2700" s="53">
        <v>-21.193594999999998</v>
      </c>
      <c r="F2700" s="53">
        <v>-47.748961999999999</v>
      </c>
      <c r="G2700" s="53">
        <v>-21.199715999999999</v>
      </c>
      <c r="H2700" s="53">
        <v>-47.766500999999998</v>
      </c>
      <c r="I2700" s="53">
        <v>-21.183163</v>
      </c>
      <c r="J2700" s="53">
        <v>-47.785913000000001</v>
      </c>
      <c r="L2700" s="61" t="str">
        <f t="shared" si="42"/>
        <v>Cliente47-Cliente49</v>
      </c>
      <c r="M2700">
        <v>5.0237990000000003</v>
      </c>
    </row>
    <row r="2701" spans="1:13" x14ac:dyDescent="0.25">
      <c r="A2701" s="15" t="s">
        <v>4317</v>
      </c>
      <c r="B2701" s="15" t="s">
        <v>4320</v>
      </c>
      <c r="C2701" s="54">
        <v>131.47252900000001</v>
      </c>
      <c r="D2701" s="26">
        <v>0.12430555555555556</v>
      </c>
      <c r="E2701" s="55">
        <v>-21.305284</v>
      </c>
      <c r="F2701" s="55">
        <v>-47.819311999999996</v>
      </c>
      <c r="G2701" s="55">
        <v>-21.861052999999998</v>
      </c>
      <c r="H2701" s="55">
        <v>-48.270651000000001</v>
      </c>
      <c r="I2701" s="55">
        <v>-22.302225</v>
      </c>
      <c r="J2701" s="55">
        <v>-48.576323000000002</v>
      </c>
      <c r="L2701" s="61" t="str">
        <f t="shared" si="42"/>
        <v>Cliente47-Cliente50</v>
      </c>
      <c r="M2701">
        <v>131.47252900000001</v>
      </c>
    </row>
    <row r="2702" spans="1:13" x14ac:dyDescent="0.25">
      <c r="A2702" s="15" t="s">
        <v>4317</v>
      </c>
      <c r="B2702" s="15" t="s">
        <v>4321</v>
      </c>
      <c r="C2702" s="52">
        <v>131.29170999999999</v>
      </c>
      <c r="D2702" s="25">
        <v>0.12361111111111112</v>
      </c>
      <c r="E2702" s="53">
        <v>-21.281848</v>
      </c>
      <c r="F2702" s="53">
        <v>-47.807087000000003</v>
      </c>
      <c r="G2702" s="53">
        <v>-21.818742</v>
      </c>
      <c r="H2702" s="53">
        <v>-48.209722999999997</v>
      </c>
      <c r="I2702" s="53">
        <v>-22.287265000000001</v>
      </c>
      <c r="J2702" s="53">
        <v>-48.577924000000003</v>
      </c>
      <c r="L2702" s="61" t="str">
        <f t="shared" si="42"/>
        <v>Cliente47-Cliente51</v>
      </c>
      <c r="M2702">
        <v>131.29170999999999</v>
      </c>
    </row>
    <row r="2703" spans="1:13" x14ac:dyDescent="0.25">
      <c r="A2703" s="15" t="s">
        <v>4318</v>
      </c>
      <c r="B2703" s="15" t="s">
        <v>4268</v>
      </c>
      <c r="C2703" s="54">
        <v>173.64571799999999</v>
      </c>
      <c r="D2703" s="26">
        <v>0.14166666666666666</v>
      </c>
      <c r="E2703" s="55">
        <v>-21.411591000000001</v>
      </c>
      <c r="F2703" s="55">
        <v>-47.666581000000001</v>
      </c>
      <c r="G2703" s="55">
        <v>-22.480595000000001</v>
      </c>
      <c r="H2703" s="55">
        <v>-47.400140999999998</v>
      </c>
      <c r="I2703" s="55">
        <v>-22.868919000000002</v>
      </c>
      <c r="J2703" s="55">
        <v>-47.132246000000002</v>
      </c>
      <c r="L2703" s="61" t="str">
        <f t="shared" si="42"/>
        <v>Cliente48-depósito A</v>
      </c>
      <c r="M2703">
        <v>173.64571799999999</v>
      </c>
    </row>
    <row r="2704" spans="1:13" x14ac:dyDescent="0.25">
      <c r="A2704" s="15" t="s">
        <v>4318</v>
      </c>
      <c r="B2704" s="15" t="s">
        <v>4269</v>
      </c>
      <c r="C2704" s="52">
        <v>58.693004999999999</v>
      </c>
      <c r="D2704" s="25">
        <v>5.9722222222222225E-2</v>
      </c>
      <c r="E2704" s="53">
        <v>-21.169343000000001</v>
      </c>
      <c r="F2704" s="53">
        <v>-47.811039000000001</v>
      </c>
      <c r="G2704" s="53">
        <v>-21.305284</v>
      </c>
      <c r="H2704" s="53">
        <v>-47.819311999999996</v>
      </c>
      <c r="I2704" s="53">
        <v>-21.802219999999998</v>
      </c>
      <c r="J2704" s="53">
        <v>-48.146725000000004</v>
      </c>
      <c r="L2704" s="61" t="str">
        <f t="shared" si="42"/>
        <v>Cliente48-depósito B</v>
      </c>
      <c r="M2704">
        <v>58.693004999999999</v>
      </c>
    </row>
    <row r="2705" spans="1:13" x14ac:dyDescent="0.25">
      <c r="A2705" s="15" t="s">
        <v>4318</v>
      </c>
      <c r="B2705" s="15" t="s">
        <v>4270</v>
      </c>
      <c r="C2705" s="54">
        <v>230.94187700000001</v>
      </c>
      <c r="D2705" s="26">
        <v>0.18888888888888888</v>
      </c>
      <c r="E2705" s="55">
        <v>-22.154558999999999</v>
      </c>
      <c r="F2705" s="55">
        <v>-47.400270999999996</v>
      </c>
      <c r="G2705" s="55">
        <v>-22.853055000000001</v>
      </c>
      <c r="H2705" s="55">
        <v>-47.025778000000003</v>
      </c>
      <c r="I2705" s="55">
        <v>-23.185711999999999</v>
      </c>
      <c r="J2705" s="55">
        <v>-46.368957000000002</v>
      </c>
      <c r="L2705" s="61" t="str">
        <f t="shared" si="42"/>
        <v>Cliente48-depósito C</v>
      </c>
      <c r="M2705">
        <v>230.94187700000001</v>
      </c>
    </row>
    <row r="2706" spans="1:13" x14ac:dyDescent="0.25">
      <c r="A2706" s="15" t="s">
        <v>4318</v>
      </c>
      <c r="B2706" s="15" t="s">
        <v>4271</v>
      </c>
      <c r="C2706" s="52">
        <v>152.114531</v>
      </c>
      <c r="D2706" s="25">
        <v>0.12708333333333333</v>
      </c>
      <c r="E2706" s="53">
        <v>-21.359161</v>
      </c>
      <c r="F2706" s="53">
        <v>-47.722248999999998</v>
      </c>
      <c r="G2706" s="53">
        <v>-22.332239999999999</v>
      </c>
      <c r="H2706" s="53">
        <v>-47.389189000000002</v>
      </c>
      <c r="I2706" s="53">
        <v>-22.752943999999999</v>
      </c>
      <c r="J2706" s="53">
        <v>-47.258844000000003</v>
      </c>
      <c r="L2706" s="61" t="str">
        <f t="shared" ref="L2706:L2769" si="43">_xlfn.CONCAT(A2706,"-",B2706)</f>
        <v>Cliente48-Cliente1</v>
      </c>
      <c r="M2706">
        <v>152.114531</v>
      </c>
    </row>
    <row r="2707" spans="1:13" x14ac:dyDescent="0.25">
      <c r="A2707" s="15" t="s">
        <v>4318</v>
      </c>
      <c r="B2707" s="15" t="s">
        <v>4272</v>
      </c>
      <c r="C2707" s="54">
        <v>145.47143500000001</v>
      </c>
      <c r="D2707" s="26">
        <v>0.12291666666666667</v>
      </c>
      <c r="E2707" s="55">
        <v>-21.359161</v>
      </c>
      <c r="F2707" s="55">
        <v>-47.722248999999998</v>
      </c>
      <c r="G2707" s="55">
        <v>-22.332239999999999</v>
      </c>
      <c r="H2707" s="55">
        <v>-47.389189000000002</v>
      </c>
      <c r="I2707" s="55">
        <v>-22.752943999999999</v>
      </c>
      <c r="J2707" s="55">
        <v>-47.258844000000003</v>
      </c>
      <c r="L2707" s="61" t="str">
        <f t="shared" si="43"/>
        <v>Cliente48-Cliente2</v>
      </c>
      <c r="M2707">
        <v>145.47143500000001</v>
      </c>
    </row>
    <row r="2708" spans="1:13" x14ac:dyDescent="0.25">
      <c r="A2708" s="15" t="s">
        <v>4318</v>
      </c>
      <c r="B2708" s="15" t="s">
        <v>4273</v>
      </c>
      <c r="C2708" s="52">
        <v>147.02673100000001</v>
      </c>
      <c r="D2708" s="25">
        <v>0.12638888888888888</v>
      </c>
      <c r="E2708" s="53">
        <v>-21.392992</v>
      </c>
      <c r="F2708" s="53">
        <v>-47.693688999999999</v>
      </c>
      <c r="G2708" s="53">
        <v>-22.387136999999999</v>
      </c>
      <c r="H2708" s="53">
        <v>-47.394387000000002</v>
      </c>
      <c r="I2708" s="53">
        <v>-22.811485999999999</v>
      </c>
      <c r="J2708" s="53">
        <v>-47.212139999999998</v>
      </c>
      <c r="L2708" s="61" t="str">
        <f t="shared" si="43"/>
        <v>Cliente48-Cliente3</v>
      </c>
      <c r="M2708">
        <v>147.02673100000001</v>
      </c>
    </row>
    <row r="2709" spans="1:13" x14ac:dyDescent="0.25">
      <c r="A2709" s="15" t="s">
        <v>4318</v>
      </c>
      <c r="B2709" s="15" t="s">
        <v>4274</v>
      </c>
      <c r="C2709" s="54">
        <v>144.00685999999999</v>
      </c>
      <c r="D2709" s="26">
        <v>0.12013888888888889</v>
      </c>
      <c r="E2709" s="55">
        <v>-21.336012</v>
      </c>
      <c r="F2709" s="55">
        <v>-47.725734000000003</v>
      </c>
      <c r="G2709" s="55">
        <v>-22.225524</v>
      </c>
      <c r="H2709" s="55">
        <v>-47.391761000000002</v>
      </c>
      <c r="I2709" s="55">
        <v>-22.673998999999998</v>
      </c>
      <c r="J2709" s="55">
        <v>-47.311560999999998</v>
      </c>
      <c r="L2709" s="61" t="str">
        <f t="shared" si="43"/>
        <v>Cliente48-Cliente4</v>
      </c>
      <c r="M2709">
        <v>144.00685999999999</v>
      </c>
    </row>
    <row r="2710" spans="1:13" x14ac:dyDescent="0.25">
      <c r="A2710" s="15" t="s">
        <v>4318</v>
      </c>
      <c r="B2710" s="15" t="s">
        <v>4275</v>
      </c>
      <c r="C2710" s="52">
        <v>144.100066</v>
      </c>
      <c r="D2710" s="25">
        <v>0.12013888888888889</v>
      </c>
      <c r="E2710" s="53">
        <v>-21.335616000000002</v>
      </c>
      <c r="F2710" s="53">
        <v>-47.725918</v>
      </c>
      <c r="G2710" s="53">
        <v>-22.221129999999999</v>
      </c>
      <c r="H2710" s="53">
        <v>-47.392149000000003</v>
      </c>
      <c r="I2710" s="53">
        <v>-22.668136000000001</v>
      </c>
      <c r="J2710" s="53">
        <v>-47.315334999999997</v>
      </c>
      <c r="L2710" s="61" t="str">
        <f t="shared" si="43"/>
        <v>Cliente48-Cliente5</v>
      </c>
      <c r="M2710">
        <v>144.100066</v>
      </c>
    </row>
    <row r="2711" spans="1:13" x14ac:dyDescent="0.25">
      <c r="A2711" s="15" t="s">
        <v>4318</v>
      </c>
      <c r="B2711" s="15" t="s">
        <v>4276</v>
      </c>
      <c r="C2711" s="54">
        <v>152.805498</v>
      </c>
      <c r="D2711" s="26">
        <v>0.12708333333333333</v>
      </c>
      <c r="E2711" s="55">
        <v>-21.360317999999999</v>
      </c>
      <c r="F2711" s="55">
        <v>-47.721435</v>
      </c>
      <c r="G2711" s="55">
        <v>-22.334752999999999</v>
      </c>
      <c r="H2711" s="55">
        <v>-47.389622000000003</v>
      </c>
      <c r="I2711" s="55">
        <v>-22.758433</v>
      </c>
      <c r="J2711" s="55">
        <v>-47.253076999999998</v>
      </c>
      <c r="L2711" s="61" t="str">
        <f t="shared" si="43"/>
        <v>Cliente48-Cliente6</v>
      </c>
      <c r="M2711">
        <v>152.805498</v>
      </c>
    </row>
    <row r="2712" spans="1:13" x14ac:dyDescent="0.25">
      <c r="A2712" s="15" t="s">
        <v>4318</v>
      </c>
      <c r="B2712" s="15" t="s">
        <v>4277</v>
      </c>
      <c r="C2712" s="52">
        <v>146.279841</v>
      </c>
      <c r="D2712" s="25">
        <v>0.12222222222222223</v>
      </c>
      <c r="E2712" s="53">
        <v>-21.351133999999998</v>
      </c>
      <c r="F2712" s="53">
        <v>-47.724338000000003</v>
      </c>
      <c r="G2712" s="53">
        <v>-22.255051999999999</v>
      </c>
      <c r="H2712" s="53">
        <v>-47.389929000000002</v>
      </c>
      <c r="I2712" s="53">
        <v>-22.712747</v>
      </c>
      <c r="J2712" s="53">
        <v>-47.297058999999997</v>
      </c>
      <c r="L2712" s="61" t="str">
        <f t="shared" si="43"/>
        <v>Cliente48-Cliente7</v>
      </c>
      <c r="M2712">
        <v>146.279841</v>
      </c>
    </row>
    <row r="2713" spans="1:13" x14ac:dyDescent="0.25">
      <c r="A2713" s="15" t="s">
        <v>4318</v>
      </c>
      <c r="B2713" s="15" t="s">
        <v>4278</v>
      </c>
      <c r="C2713" s="54">
        <v>153.84381200000001</v>
      </c>
      <c r="D2713" s="26">
        <v>0.12847222222222224</v>
      </c>
      <c r="E2713" s="55">
        <v>-21.359161</v>
      </c>
      <c r="F2713" s="55">
        <v>-47.722248999999998</v>
      </c>
      <c r="G2713" s="55">
        <v>-22.332239999999999</v>
      </c>
      <c r="H2713" s="55">
        <v>-47.389189000000002</v>
      </c>
      <c r="I2713" s="55">
        <v>-22.752943999999999</v>
      </c>
      <c r="J2713" s="55">
        <v>-47.258844000000003</v>
      </c>
      <c r="L2713" s="61" t="str">
        <f t="shared" si="43"/>
        <v>Cliente48-Cliente8</v>
      </c>
      <c r="M2713">
        <v>153.84381200000001</v>
      </c>
    </row>
    <row r="2714" spans="1:13" x14ac:dyDescent="0.25">
      <c r="A2714" s="15" t="s">
        <v>4318</v>
      </c>
      <c r="B2714" s="15" t="s">
        <v>4279</v>
      </c>
      <c r="C2714" s="52">
        <v>123.26481699999999</v>
      </c>
      <c r="D2714" s="25">
        <v>0.10347222222222223</v>
      </c>
      <c r="E2714" s="53">
        <v>-21.260776</v>
      </c>
      <c r="F2714" s="53">
        <v>-47.754531999999998</v>
      </c>
      <c r="G2714" s="53">
        <v>-21.960885000000001</v>
      </c>
      <c r="H2714" s="53">
        <v>-47.458606000000003</v>
      </c>
      <c r="I2714" s="53">
        <v>-22.493455000000001</v>
      </c>
      <c r="J2714" s="53">
        <v>-47.399442999999998</v>
      </c>
      <c r="L2714" s="61" t="str">
        <f t="shared" si="43"/>
        <v>Cliente48-Cliente9</v>
      </c>
      <c r="M2714">
        <v>123.26481699999999</v>
      </c>
    </row>
    <row r="2715" spans="1:13" x14ac:dyDescent="0.25">
      <c r="A2715" s="15" t="s">
        <v>4318</v>
      </c>
      <c r="B2715" s="15" t="s">
        <v>4280</v>
      </c>
      <c r="C2715" s="54">
        <v>199.69987699999999</v>
      </c>
      <c r="D2715" s="26">
        <v>0.16805555555555554</v>
      </c>
      <c r="E2715" s="55">
        <v>-21.820174000000002</v>
      </c>
      <c r="F2715" s="55">
        <v>-47.496170999999997</v>
      </c>
      <c r="G2715" s="55">
        <v>-22.753466</v>
      </c>
      <c r="H2715" s="55">
        <v>-47.258302999999998</v>
      </c>
      <c r="I2715" s="55">
        <v>-23.262308000000001</v>
      </c>
      <c r="J2715" s="55">
        <v>-46.866601000000003</v>
      </c>
      <c r="L2715" s="61" t="str">
        <f t="shared" si="43"/>
        <v>Cliente48-Cliente10</v>
      </c>
      <c r="M2715">
        <v>199.69987699999999</v>
      </c>
    </row>
    <row r="2716" spans="1:13" x14ac:dyDescent="0.25">
      <c r="A2716" s="15" t="s">
        <v>4318</v>
      </c>
      <c r="B2716" s="15" t="s">
        <v>4281</v>
      </c>
      <c r="C2716" s="52">
        <v>131.78073000000001</v>
      </c>
      <c r="D2716" s="25">
        <v>0.1076388888888889</v>
      </c>
      <c r="E2716" s="53">
        <v>-21.336012</v>
      </c>
      <c r="F2716" s="53">
        <v>-47.725734000000003</v>
      </c>
      <c r="G2716" s="53">
        <v>-22.225524</v>
      </c>
      <c r="H2716" s="53">
        <v>-47.391761000000002</v>
      </c>
      <c r="I2716" s="53">
        <v>-22.583856999999998</v>
      </c>
      <c r="J2716" s="53">
        <v>-47.459285000000001</v>
      </c>
      <c r="L2716" s="61" t="str">
        <f t="shared" si="43"/>
        <v>Cliente48-Cliente11</v>
      </c>
      <c r="M2716">
        <v>131.78073000000001</v>
      </c>
    </row>
    <row r="2717" spans="1:13" x14ac:dyDescent="0.25">
      <c r="A2717" s="15" t="s">
        <v>4318</v>
      </c>
      <c r="B2717" s="15" t="s">
        <v>4282</v>
      </c>
      <c r="C2717" s="54">
        <v>229.98309900000001</v>
      </c>
      <c r="D2717" s="26">
        <v>0.18819444444444444</v>
      </c>
      <c r="E2717" s="55">
        <v>-22.189591</v>
      </c>
      <c r="F2717" s="55">
        <v>-47.398167999999998</v>
      </c>
      <c r="G2717" s="55">
        <v>-22.891165000000001</v>
      </c>
      <c r="H2717" s="55">
        <v>-47.010303</v>
      </c>
      <c r="I2717" s="55">
        <v>-23.186458999999999</v>
      </c>
      <c r="J2717" s="55">
        <v>-46.360492000000001</v>
      </c>
      <c r="L2717" s="61" t="str">
        <f t="shared" si="43"/>
        <v>Cliente48-Cliente12</v>
      </c>
      <c r="M2717">
        <v>229.98309900000001</v>
      </c>
    </row>
    <row r="2718" spans="1:13" x14ac:dyDescent="0.25">
      <c r="A2718" s="15" t="s">
        <v>4318</v>
      </c>
      <c r="B2718" s="15" t="s">
        <v>4283</v>
      </c>
      <c r="C2718" s="52">
        <v>237.867076</v>
      </c>
      <c r="D2718" s="25">
        <v>0.19375000000000001</v>
      </c>
      <c r="E2718" s="53">
        <v>-22.221129999999999</v>
      </c>
      <c r="F2718" s="53">
        <v>-47.392149000000003</v>
      </c>
      <c r="G2718" s="53">
        <v>-22.901069</v>
      </c>
      <c r="H2718" s="53">
        <v>-46.986946000000003</v>
      </c>
      <c r="I2718" s="53">
        <v>-23.186575000000001</v>
      </c>
      <c r="J2718" s="53">
        <v>-46.329782999999999</v>
      </c>
      <c r="L2718" s="61" t="str">
        <f t="shared" si="43"/>
        <v>Cliente48-Cliente13</v>
      </c>
      <c r="M2718">
        <v>237.867076</v>
      </c>
    </row>
    <row r="2719" spans="1:13" x14ac:dyDescent="0.25">
      <c r="A2719" s="15" t="s">
        <v>4318</v>
      </c>
      <c r="B2719" s="15" t="s">
        <v>4284</v>
      </c>
      <c r="C2719" s="54">
        <v>235.92963599999999</v>
      </c>
      <c r="D2719" s="26">
        <v>0.19097222222222221</v>
      </c>
      <c r="E2719" s="55">
        <v>-22.153348999999999</v>
      </c>
      <c r="F2719" s="55">
        <v>-47.400449999999999</v>
      </c>
      <c r="G2719" s="55">
        <v>-22.851322</v>
      </c>
      <c r="H2719" s="55">
        <v>-47.027202000000003</v>
      </c>
      <c r="I2719" s="55">
        <v>-23.184774999999998</v>
      </c>
      <c r="J2719" s="55">
        <v>-46.371668999999997</v>
      </c>
      <c r="L2719" s="61" t="str">
        <f t="shared" si="43"/>
        <v>Cliente48-Cliente14</v>
      </c>
      <c r="M2719">
        <v>235.92963599999999</v>
      </c>
    </row>
    <row r="2720" spans="1:13" x14ac:dyDescent="0.25">
      <c r="A2720" s="15" t="s">
        <v>4318</v>
      </c>
      <c r="B2720" s="15" t="s">
        <v>4285</v>
      </c>
      <c r="C2720" s="52">
        <v>239.66222200000001</v>
      </c>
      <c r="D2720" s="25">
        <v>0.19930555555555554</v>
      </c>
      <c r="E2720" s="53">
        <v>-22.255051999999999</v>
      </c>
      <c r="F2720" s="53">
        <v>-47.389929000000002</v>
      </c>
      <c r="G2720" s="53">
        <v>-22.920686</v>
      </c>
      <c r="H2720" s="53">
        <v>-46.943182999999998</v>
      </c>
      <c r="I2720" s="53">
        <v>-23.172602999999999</v>
      </c>
      <c r="J2720" s="53">
        <v>-46.271932</v>
      </c>
      <c r="L2720" s="61" t="str">
        <f t="shared" si="43"/>
        <v>Cliente48-Cliente15</v>
      </c>
      <c r="M2720">
        <v>239.66222200000001</v>
      </c>
    </row>
    <row r="2721" spans="1:13" x14ac:dyDescent="0.25">
      <c r="A2721" s="15" t="s">
        <v>4318</v>
      </c>
      <c r="B2721" s="15" t="s">
        <v>4286</v>
      </c>
      <c r="C2721" s="54">
        <v>237.238868</v>
      </c>
      <c r="D2721" s="26">
        <v>0.19513888888888889</v>
      </c>
      <c r="E2721" s="55">
        <v>-22.221129999999999</v>
      </c>
      <c r="F2721" s="55">
        <v>-47.392149000000003</v>
      </c>
      <c r="G2721" s="55">
        <v>-22.901069</v>
      </c>
      <c r="H2721" s="55">
        <v>-46.986946000000003</v>
      </c>
      <c r="I2721" s="55">
        <v>-23.186575000000001</v>
      </c>
      <c r="J2721" s="55">
        <v>-46.329782999999999</v>
      </c>
      <c r="L2721" s="61" t="str">
        <f t="shared" si="43"/>
        <v>Cliente48-Cliente16</v>
      </c>
      <c r="M2721">
        <v>237.238868</v>
      </c>
    </row>
    <row r="2722" spans="1:13" x14ac:dyDescent="0.25">
      <c r="A2722" s="15" t="s">
        <v>4318</v>
      </c>
      <c r="B2722" s="15" t="s">
        <v>4287</v>
      </c>
      <c r="C2722" s="52">
        <v>238.29458</v>
      </c>
      <c r="D2722" s="25">
        <v>0.19375000000000001</v>
      </c>
      <c r="E2722" s="53">
        <v>-22.221129999999999</v>
      </c>
      <c r="F2722" s="53">
        <v>-47.392149000000003</v>
      </c>
      <c r="G2722" s="53">
        <v>-22.901069</v>
      </c>
      <c r="H2722" s="53">
        <v>-46.986946000000003</v>
      </c>
      <c r="I2722" s="53">
        <v>-23.186575000000001</v>
      </c>
      <c r="J2722" s="53">
        <v>-46.329782999999999</v>
      </c>
      <c r="L2722" s="61" t="str">
        <f t="shared" si="43"/>
        <v>Cliente48-Cliente17</v>
      </c>
      <c r="M2722">
        <v>238.29458</v>
      </c>
    </row>
    <row r="2723" spans="1:13" x14ac:dyDescent="0.25">
      <c r="A2723" s="15" t="s">
        <v>4318</v>
      </c>
      <c r="B2723" s="15" t="s">
        <v>4288</v>
      </c>
      <c r="C2723" s="54">
        <v>243.122647</v>
      </c>
      <c r="D2723" s="26">
        <v>0.1986111111111111</v>
      </c>
      <c r="E2723" s="55">
        <v>-22.205031999999999</v>
      </c>
      <c r="F2723" s="55">
        <v>-47.395248000000002</v>
      </c>
      <c r="G2723" s="55">
        <v>-22.897860000000001</v>
      </c>
      <c r="H2723" s="55">
        <v>-47.005284000000003</v>
      </c>
      <c r="I2723" s="55">
        <v>-23.191032</v>
      </c>
      <c r="J2723" s="55">
        <v>-46.355513999999999</v>
      </c>
      <c r="L2723" s="61" t="str">
        <f t="shared" si="43"/>
        <v>Cliente48-Cliente18</v>
      </c>
      <c r="M2723">
        <v>243.122647</v>
      </c>
    </row>
    <row r="2724" spans="1:13" x14ac:dyDescent="0.25">
      <c r="A2724" s="15" t="s">
        <v>4318</v>
      </c>
      <c r="B2724" s="15" t="s">
        <v>4289</v>
      </c>
      <c r="C2724" s="52">
        <v>196.47992300000001</v>
      </c>
      <c r="D2724" s="25">
        <v>0.15972222222222224</v>
      </c>
      <c r="E2724" s="53">
        <v>-21.799316000000001</v>
      </c>
      <c r="F2724" s="53">
        <v>-47.508654999999997</v>
      </c>
      <c r="G2724" s="53">
        <v>-22.710054</v>
      </c>
      <c r="H2724" s="53">
        <v>-47.298625999999999</v>
      </c>
      <c r="I2724" s="53">
        <v>-23.168873000000001</v>
      </c>
      <c r="J2724" s="53">
        <v>-46.941285000000001</v>
      </c>
      <c r="L2724" s="61" t="str">
        <f t="shared" si="43"/>
        <v>Cliente48-Cliente19</v>
      </c>
      <c r="M2724">
        <v>196.47992300000001</v>
      </c>
    </row>
    <row r="2725" spans="1:13" x14ac:dyDescent="0.25">
      <c r="A2725" s="15" t="s">
        <v>4318</v>
      </c>
      <c r="B2725" s="15" t="s">
        <v>4290</v>
      </c>
      <c r="C2725" s="54">
        <v>198.051996</v>
      </c>
      <c r="D2725" s="26">
        <v>0.16250000000000001</v>
      </c>
      <c r="E2725" s="55">
        <v>-21.808225</v>
      </c>
      <c r="F2725" s="55">
        <v>-47.501075999999998</v>
      </c>
      <c r="G2725" s="55">
        <v>-22.739968000000001</v>
      </c>
      <c r="H2725" s="55">
        <v>-47.273623000000001</v>
      </c>
      <c r="I2725" s="55">
        <v>-23.238886000000001</v>
      </c>
      <c r="J2725" s="55">
        <v>-46.887528000000003</v>
      </c>
      <c r="L2725" s="61" t="str">
        <f t="shared" si="43"/>
        <v>Cliente48-Cliente20</v>
      </c>
      <c r="M2725">
        <v>198.051996</v>
      </c>
    </row>
    <row r="2726" spans="1:13" x14ac:dyDescent="0.25">
      <c r="A2726" s="15" t="s">
        <v>4318</v>
      </c>
      <c r="B2726" s="15" t="s">
        <v>4291</v>
      </c>
      <c r="C2726" s="52">
        <v>197.65369699999999</v>
      </c>
      <c r="D2726" s="25">
        <v>0.16319444444444445</v>
      </c>
      <c r="E2726" s="53">
        <v>-21.822248999999999</v>
      </c>
      <c r="F2726" s="53">
        <v>-47.495750999999998</v>
      </c>
      <c r="G2726" s="53">
        <v>-22.758433</v>
      </c>
      <c r="H2726" s="53">
        <v>-47.253076999999998</v>
      </c>
      <c r="I2726" s="53">
        <v>-23.267633</v>
      </c>
      <c r="J2726" s="53">
        <v>-46.858860999999997</v>
      </c>
      <c r="L2726" s="61" t="str">
        <f t="shared" si="43"/>
        <v>Cliente48-Cliente21</v>
      </c>
      <c r="M2726">
        <v>197.65369699999999</v>
      </c>
    </row>
    <row r="2727" spans="1:13" x14ac:dyDescent="0.25">
      <c r="A2727" s="15" t="s">
        <v>4318</v>
      </c>
      <c r="B2727" s="15" t="s">
        <v>4292</v>
      </c>
      <c r="C2727" s="54">
        <v>196.77694</v>
      </c>
      <c r="D2727" s="26">
        <v>0.16180555555555556</v>
      </c>
      <c r="E2727" s="55">
        <v>-21.812999999999999</v>
      </c>
      <c r="F2727" s="55">
        <v>-47.498587000000001</v>
      </c>
      <c r="G2727" s="55">
        <v>-22.743454</v>
      </c>
      <c r="H2727" s="55">
        <v>-47.268704</v>
      </c>
      <c r="I2727" s="55">
        <v>-23.253205000000001</v>
      </c>
      <c r="J2727" s="55">
        <v>-46.872154999999999</v>
      </c>
      <c r="L2727" s="61" t="str">
        <f t="shared" si="43"/>
        <v>Cliente48-Cliente22</v>
      </c>
      <c r="M2727">
        <v>196.77694</v>
      </c>
    </row>
    <row r="2728" spans="1:13" x14ac:dyDescent="0.25">
      <c r="A2728" s="15" t="s">
        <v>4318</v>
      </c>
      <c r="B2728" s="15" t="s">
        <v>4293</v>
      </c>
      <c r="C2728" s="52">
        <v>205.92727500000001</v>
      </c>
      <c r="D2728" s="25">
        <v>0.16944444444444443</v>
      </c>
      <c r="E2728" s="53">
        <v>-21.960885000000001</v>
      </c>
      <c r="F2728" s="53">
        <v>-47.458606000000003</v>
      </c>
      <c r="G2728" s="53">
        <v>-22.814119000000002</v>
      </c>
      <c r="H2728" s="53">
        <v>-47.208675999999997</v>
      </c>
      <c r="I2728" s="53">
        <v>-23.314762999999999</v>
      </c>
      <c r="J2728" s="53">
        <v>-46.824364000000003</v>
      </c>
      <c r="L2728" s="61" t="str">
        <f t="shared" si="43"/>
        <v>Cliente48-Cliente23</v>
      </c>
      <c r="M2728">
        <v>205.92727500000001</v>
      </c>
    </row>
    <row r="2729" spans="1:13" x14ac:dyDescent="0.25">
      <c r="A2729" s="15" t="s">
        <v>4318</v>
      </c>
      <c r="B2729" s="15" t="s">
        <v>4294</v>
      </c>
      <c r="C2729" s="54">
        <v>206.90655799999999</v>
      </c>
      <c r="D2729" s="26">
        <v>0.17152777777777775</v>
      </c>
      <c r="E2729" s="55">
        <v>-21.964634</v>
      </c>
      <c r="F2729" s="55">
        <v>-47.457309000000002</v>
      </c>
      <c r="G2729" s="55">
        <v>-22.816866000000001</v>
      </c>
      <c r="H2729" s="55">
        <v>-47.203954000000003</v>
      </c>
      <c r="I2729" s="55" t="s">
        <v>7282</v>
      </c>
      <c r="J2729" s="55">
        <v>-46.823743999999998</v>
      </c>
      <c r="L2729" s="61" t="str">
        <f t="shared" si="43"/>
        <v>Cliente48-Cliente24</v>
      </c>
      <c r="M2729">
        <v>206.90655799999999</v>
      </c>
    </row>
    <row r="2730" spans="1:13" x14ac:dyDescent="0.25">
      <c r="A2730" s="15" t="s">
        <v>4318</v>
      </c>
      <c r="B2730" s="15" t="s">
        <v>4295</v>
      </c>
      <c r="C2730" s="52">
        <v>209.726969</v>
      </c>
      <c r="D2730" s="25">
        <v>0.17430555555555557</v>
      </c>
      <c r="E2730" s="53">
        <v>-21.977838999999999</v>
      </c>
      <c r="F2730" s="53">
        <v>-47.452793</v>
      </c>
      <c r="G2730" s="53">
        <v>-22.830970000000001</v>
      </c>
      <c r="H2730" s="53">
        <v>-47.179108999999997</v>
      </c>
      <c r="I2730" s="53">
        <v>-23.339262000000002</v>
      </c>
      <c r="J2730" s="53">
        <v>-46.820999999999998</v>
      </c>
      <c r="L2730" s="61" t="str">
        <f t="shared" si="43"/>
        <v>Cliente48-Cliente25</v>
      </c>
      <c r="M2730">
        <v>209.726969</v>
      </c>
    </row>
    <row r="2731" spans="1:13" x14ac:dyDescent="0.25">
      <c r="A2731" s="15" t="s">
        <v>4318</v>
      </c>
      <c r="B2731" s="15" t="s">
        <v>4296</v>
      </c>
      <c r="C2731" s="54">
        <v>201.38938899999999</v>
      </c>
      <c r="D2731" s="26">
        <v>0.16458333333333333</v>
      </c>
      <c r="E2731" s="55">
        <v>-21.954416999999999</v>
      </c>
      <c r="F2731" s="55">
        <v>-47.460811</v>
      </c>
      <c r="G2731" s="55">
        <v>-22.777667999999998</v>
      </c>
      <c r="H2731" s="55">
        <v>-47.233716000000001</v>
      </c>
      <c r="I2731" s="55">
        <v>-23.301579</v>
      </c>
      <c r="J2731" s="55">
        <v>-46.840843</v>
      </c>
      <c r="L2731" s="61" t="str">
        <f t="shared" si="43"/>
        <v>Cliente48-Cliente26</v>
      </c>
      <c r="M2731">
        <v>201.38938899999999</v>
      </c>
    </row>
    <row r="2732" spans="1:13" x14ac:dyDescent="0.25">
      <c r="A2732" s="15" t="s">
        <v>4318</v>
      </c>
      <c r="B2732" s="15" t="s">
        <v>4297</v>
      </c>
      <c r="C2732" s="52">
        <v>207.706265</v>
      </c>
      <c r="D2732" s="25">
        <v>0.17222222222222225</v>
      </c>
      <c r="E2732" s="53">
        <v>-21.964953000000001</v>
      </c>
      <c r="F2732" s="53">
        <v>-47.4572</v>
      </c>
      <c r="G2732" s="53">
        <v>-22.828583999999999</v>
      </c>
      <c r="H2732" s="53">
        <v>-47.182133</v>
      </c>
      <c r="I2732" s="53">
        <v>-23.335425999999998</v>
      </c>
      <c r="J2732" s="53">
        <v>-46.822848999999998</v>
      </c>
      <c r="L2732" s="61" t="str">
        <f t="shared" si="43"/>
        <v>Cliente48-Cliente27</v>
      </c>
      <c r="M2732">
        <v>207.706265</v>
      </c>
    </row>
    <row r="2733" spans="1:13" x14ac:dyDescent="0.25">
      <c r="A2733" s="15" t="s">
        <v>4318</v>
      </c>
      <c r="B2733" s="15" t="s">
        <v>4298</v>
      </c>
      <c r="C2733" s="54">
        <v>209.03786600000001</v>
      </c>
      <c r="D2733" s="26">
        <v>0.17847222222222223</v>
      </c>
      <c r="E2733" s="55">
        <v>-21.964953000000001</v>
      </c>
      <c r="F2733" s="55">
        <v>-47.4572</v>
      </c>
      <c r="G2733" s="55">
        <v>-22.828583999999999</v>
      </c>
      <c r="H2733" s="55">
        <v>-47.182133</v>
      </c>
      <c r="I2733" s="55">
        <v>-23.335425999999998</v>
      </c>
      <c r="J2733" s="55">
        <v>-46.822848999999998</v>
      </c>
      <c r="L2733" s="61" t="str">
        <f t="shared" si="43"/>
        <v>Cliente48-Cliente28</v>
      </c>
      <c r="M2733">
        <v>209.03786600000001</v>
      </c>
    </row>
    <row r="2734" spans="1:13" x14ac:dyDescent="0.25">
      <c r="A2734" s="15" t="s">
        <v>4318</v>
      </c>
      <c r="B2734" s="15" t="s">
        <v>4299</v>
      </c>
      <c r="C2734" s="52">
        <v>211.300285</v>
      </c>
      <c r="D2734" s="25">
        <v>0.18263888888888891</v>
      </c>
      <c r="E2734" s="53">
        <v>-22.001911</v>
      </c>
      <c r="F2734" s="53">
        <v>-47.444687999999999</v>
      </c>
      <c r="G2734" s="53">
        <v>-22.843916</v>
      </c>
      <c r="H2734" s="53">
        <v>-47.166811000000003</v>
      </c>
      <c r="I2734" s="53">
        <v>-23.351400999999999</v>
      </c>
      <c r="J2734" s="53">
        <v>-46.800193</v>
      </c>
      <c r="L2734" s="61" t="str">
        <f t="shared" si="43"/>
        <v>Cliente48-Cliente29</v>
      </c>
      <c r="M2734">
        <v>211.300285</v>
      </c>
    </row>
    <row r="2735" spans="1:13" x14ac:dyDescent="0.25">
      <c r="A2735" s="15" t="s">
        <v>4318</v>
      </c>
      <c r="B2735" s="15" t="s">
        <v>4300</v>
      </c>
      <c r="C2735" s="54">
        <v>215.359713</v>
      </c>
      <c r="D2735" s="26">
        <v>0.19166666666666665</v>
      </c>
      <c r="E2735" s="55">
        <v>-22.136278999999998</v>
      </c>
      <c r="F2735" s="55">
        <v>-47.408593000000003</v>
      </c>
      <c r="G2735" s="55">
        <v>-22.900371</v>
      </c>
      <c r="H2735" s="55">
        <v>-47.137070999999999</v>
      </c>
      <c r="I2735" s="55">
        <v>-23.424029999999998</v>
      </c>
      <c r="J2735" s="55">
        <v>-46.761023999999999</v>
      </c>
      <c r="L2735" s="61" t="str">
        <f t="shared" si="43"/>
        <v>Cliente48-Cliente30</v>
      </c>
      <c r="M2735">
        <v>215.359713</v>
      </c>
    </row>
    <row r="2736" spans="1:13" x14ac:dyDescent="0.25">
      <c r="A2736" s="15" t="s">
        <v>4318</v>
      </c>
      <c r="B2736" s="15" t="s">
        <v>4301</v>
      </c>
      <c r="C2736" s="52">
        <v>206.66422299999999</v>
      </c>
      <c r="D2736" s="25">
        <v>0.17916666666666667</v>
      </c>
      <c r="E2736" s="53">
        <v>-22.085068</v>
      </c>
      <c r="F2736" s="53">
        <v>-47.420551000000003</v>
      </c>
      <c r="G2736" s="53">
        <v>-22.867691000000001</v>
      </c>
      <c r="H2736" s="53">
        <v>-47.132739999999998</v>
      </c>
      <c r="I2736" s="53">
        <v>-23.374680999999999</v>
      </c>
      <c r="J2736" s="53">
        <v>-46.777056999999999</v>
      </c>
      <c r="L2736" s="61" t="str">
        <f t="shared" si="43"/>
        <v>Cliente48-Cliente31</v>
      </c>
      <c r="M2736">
        <v>206.66422299999999</v>
      </c>
    </row>
    <row r="2737" spans="1:13" x14ac:dyDescent="0.25">
      <c r="A2737" s="15" t="s">
        <v>4318</v>
      </c>
      <c r="B2737" s="15" t="s">
        <v>4302</v>
      </c>
      <c r="C2737" s="54">
        <v>196.22578200000001</v>
      </c>
      <c r="D2737" s="26">
        <v>0.16319444444444445</v>
      </c>
      <c r="E2737" s="55">
        <v>-21.854251000000001</v>
      </c>
      <c r="F2737" s="55">
        <v>-47.494869999999999</v>
      </c>
      <c r="G2737" s="55">
        <v>-22.776527999999999</v>
      </c>
      <c r="H2737" s="55">
        <v>-47.234319999999997</v>
      </c>
      <c r="I2737" s="55">
        <v>-23.294824999999999</v>
      </c>
      <c r="J2737" s="55">
        <v>-46.842072999999999</v>
      </c>
      <c r="L2737" s="61" t="str">
        <f t="shared" si="43"/>
        <v>Cliente48-Cliente32</v>
      </c>
      <c r="M2737">
        <v>196.22578200000001</v>
      </c>
    </row>
    <row r="2738" spans="1:13" x14ac:dyDescent="0.25">
      <c r="A2738" s="15" t="s">
        <v>4318</v>
      </c>
      <c r="B2738" s="15" t="s">
        <v>4303</v>
      </c>
      <c r="C2738" s="52">
        <v>209.38335000000001</v>
      </c>
      <c r="D2738" s="25">
        <v>0.17569444444444446</v>
      </c>
      <c r="E2738" s="53">
        <v>-21.964953000000001</v>
      </c>
      <c r="F2738" s="53">
        <v>-47.4572</v>
      </c>
      <c r="G2738" s="53">
        <v>-22.828583999999999</v>
      </c>
      <c r="H2738" s="53">
        <v>-47.182133</v>
      </c>
      <c r="I2738" s="53">
        <v>-23.335425999999998</v>
      </c>
      <c r="J2738" s="53">
        <v>-46.822848999999998</v>
      </c>
      <c r="L2738" s="61" t="str">
        <f t="shared" si="43"/>
        <v>Cliente48-Cliente33</v>
      </c>
      <c r="M2738">
        <v>209.38335000000001</v>
      </c>
    </row>
    <row r="2739" spans="1:13" x14ac:dyDescent="0.25">
      <c r="A2739" s="15" t="s">
        <v>4318</v>
      </c>
      <c r="B2739" s="15" t="s">
        <v>4304</v>
      </c>
      <c r="C2739" s="54">
        <v>196.88754399999999</v>
      </c>
      <c r="D2739" s="26">
        <v>0.17708333333333334</v>
      </c>
      <c r="E2739" s="55">
        <v>-22.231124000000001</v>
      </c>
      <c r="F2739" s="55">
        <v>-47.391402999999997</v>
      </c>
      <c r="G2739" s="55">
        <v>-22.992301000000001</v>
      </c>
      <c r="H2739" s="55">
        <v>-47.110478000000001</v>
      </c>
      <c r="I2739" s="55">
        <v>-23.396567000000001</v>
      </c>
      <c r="J2739" s="55">
        <v>-46.867635999999997</v>
      </c>
      <c r="L2739" s="61" t="str">
        <f t="shared" si="43"/>
        <v>Cliente48-Cliente34</v>
      </c>
      <c r="M2739">
        <v>196.88754399999999</v>
      </c>
    </row>
    <row r="2740" spans="1:13" x14ac:dyDescent="0.25">
      <c r="A2740" s="15" t="s">
        <v>4318</v>
      </c>
      <c r="B2740" s="15" t="s">
        <v>4305</v>
      </c>
      <c r="C2740" s="52">
        <v>193.85338100000001</v>
      </c>
      <c r="D2740" s="25">
        <v>0.17152777777777775</v>
      </c>
      <c r="E2740" s="53">
        <v>-22.153348999999999</v>
      </c>
      <c r="F2740" s="53">
        <v>-47.400449999999999</v>
      </c>
      <c r="G2740" s="53">
        <v>-22.921060000000001</v>
      </c>
      <c r="H2740" s="53">
        <v>-47.133532000000002</v>
      </c>
      <c r="I2740" s="53">
        <v>-23.369471999999998</v>
      </c>
      <c r="J2740" s="53">
        <v>-46.846792000000001</v>
      </c>
      <c r="L2740" s="61" t="str">
        <f t="shared" si="43"/>
        <v>Cliente48-Cliente35</v>
      </c>
      <c r="M2740">
        <v>193.85338100000001</v>
      </c>
    </row>
    <row r="2741" spans="1:13" x14ac:dyDescent="0.25">
      <c r="A2741" s="15" t="s">
        <v>4318</v>
      </c>
      <c r="B2741" s="15" t="s">
        <v>4306</v>
      </c>
      <c r="C2741" s="54">
        <v>71.251569000000003</v>
      </c>
      <c r="D2741" s="26">
        <v>7.013888888888889E-2</v>
      </c>
      <c r="E2741" s="55">
        <v>-21.189018999999998</v>
      </c>
      <c r="F2741" s="55">
        <v>-47.797854999999998</v>
      </c>
      <c r="G2741" s="55">
        <v>-21.60493</v>
      </c>
      <c r="H2741" s="55">
        <v>-47.957521999999997</v>
      </c>
      <c r="I2741" s="55">
        <v>-21.990012</v>
      </c>
      <c r="J2741" s="55">
        <v>-47.890149000000001</v>
      </c>
      <c r="L2741" s="61" t="str">
        <f t="shared" si="43"/>
        <v>Cliente48-Cliente36</v>
      </c>
      <c r="M2741">
        <v>71.251569000000003</v>
      </c>
    </row>
    <row r="2742" spans="1:13" x14ac:dyDescent="0.25">
      <c r="A2742" s="15" t="s">
        <v>4318</v>
      </c>
      <c r="B2742" s="15" t="s">
        <v>4307</v>
      </c>
      <c r="C2742" s="52">
        <v>70.195857000000004</v>
      </c>
      <c r="D2742" s="25">
        <v>6.805555555555555E-2</v>
      </c>
      <c r="E2742" s="53">
        <v>-21.178981</v>
      </c>
      <c r="F2742" s="53">
        <v>-47.801029999999997</v>
      </c>
      <c r="G2742" s="53">
        <v>-21.597546999999999</v>
      </c>
      <c r="H2742" s="53">
        <v>-47.955140999999998</v>
      </c>
      <c r="I2742" s="53">
        <v>-21.968143000000001</v>
      </c>
      <c r="J2742" s="53">
        <v>-47.890152999999998</v>
      </c>
      <c r="L2742" s="61" t="str">
        <f t="shared" si="43"/>
        <v>Cliente48-Cliente37</v>
      </c>
      <c r="M2742">
        <v>70.195857000000004</v>
      </c>
    </row>
    <row r="2743" spans="1:13" x14ac:dyDescent="0.25">
      <c r="A2743" s="15" t="s">
        <v>4318</v>
      </c>
      <c r="B2743" s="15" t="s">
        <v>4308</v>
      </c>
      <c r="C2743" s="54">
        <v>68.846234999999993</v>
      </c>
      <c r="D2743" s="26">
        <v>6.6666666666666666E-2</v>
      </c>
      <c r="E2743" s="55">
        <v>-21.178981</v>
      </c>
      <c r="F2743" s="55">
        <v>-47.801029999999997</v>
      </c>
      <c r="G2743" s="55">
        <v>-21.597546999999999</v>
      </c>
      <c r="H2743" s="55">
        <v>-47.955140999999998</v>
      </c>
      <c r="I2743" s="55">
        <v>-21.968143000000001</v>
      </c>
      <c r="J2743" s="55">
        <v>-47.890152999999998</v>
      </c>
      <c r="L2743" s="61" t="str">
        <f t="shared" si="43"/>
        <v>Cliente48-Cliente38</v>
      </c>
      <c r="M2743">
        <v>68.846234999999993</v>
      </c>
    </row>
    <row r="2744" spans="1:13" x14ac:dyDescent="0.25">
      <c r="A2744" s="15" t="s">
        <v>4318</v>
      </c>
      <c r="B2744" s="15" t="s">
        <v>4309</v>
      </c>
      <c r="C2744" s="52">
        <v>278.92800799999998</v>
      </c>
      <c r="D2744" s="25">
        <v>0.23194444444444443</v>
      </c>
      <c r="E2744" s="53">
        <v>-22.011386999999999</v>
      </c>
      <c r="F2744" s="53">
        <v>-47.397078</v>
      </c>
      <c r="G2744" s="53">
        <v>-22.911926000000001</v>
      </c>
      <c r="H2744" s="53">
        <v>-46.953550999999997</v>
      </c>
      <c r="I2744" s="53">
        <v>-23.181813999999999</v>
      </c>
      <c r="J2744" s="53">
        <v>-46.303246999999999</v>
      </c>
      <c r="L2744" s="61" t="str">
        <f t="shared" si="43"/>
        <v>Cliente48-Cliente39</v>
      </c>
      <c r="M2744">
        <v>278.92800799999998</v>
      </c>
    </row>
    <row r="2745" spans="1:13" x14ac:dyDescent="0.25">
      <c r="A2745" s="15" t="s">
        <v>4318</v>
      </c>
      <c r="B2745" s="15" t="s">
        <v>4310</v>
      </c>
      <c r="C2745" s="54">
        <v>263.30110500000001</v>
      </c>
      <c r="D2745" s="26">
        <v>0.22013888888888888</v>
      </c>
      <c r="E2745" s="55">
        <v>-22.334752999999999</v>
      </c>
      <c r="F2745" s="55">
        <v>-47.389622000000003</v>
      </c>
      <c r="G2745" s="55">
        <v>-22.932604999999999</v>
      </c>
      <c r="H2745" s="55">
        <v>-46.933577</v>
      </c>
      <c r="I2745" s="55">
        <v>-23.175705000000001</v>
      </c>
      <c r="J2745" s="55">
        <v>-46.253521999999997</v>
      </c>
      <c r="L2745" s="61" t="str">
        <f t="shared" si="43"/>
        <v>Cliente48-Cliente40</v>
      </c>
      <c r="M2745">
        <v>263.30110500000001</v>
      </c>
    </row>
    <row r="2746" spans="1:13" x14ac:dyDescent="0.25">
      <c r="A2746" s="15" t="s">
        <v>4318</v>
      </c>
      <c r="B2746" s="15" t="s">
        <v>4311</v>
      </c>
      <c r="C2746" s="52">
        <v>254.98403099999999</v>
      </c>
      <c r="D2746" s="25">
        <v>0.21180555555555555</v>
      </c>
      <c r="E2746" s="53">
        <v>-22.252123000000001</v>
      </c>
      <c r="F2746" s="53">
        <v>-47.390078000000003</v>
      </c>
      <c r="G2746" s="53">
        <v>-22.917542000000001</v>
      </c>
      <c r="H2746" s="53">
        <v>-46.945931000000002</v>
      </c>
      <c r="I2746" s="53">
        <v>-23.173895000000002</v>
      </c>
      <c r="J2746" s="53">
        <v>-46.279736999999997</v>
      </c>
      <c r="L2746" s="61" t="str">
        <f t="shared" si="43"/>
        <v>Cliente48-Cliente41</v>
      </c>
      <c r="M2746">
        <v>254.98403099999999</v>
      </c>
    </row>
    <row r="2747" spans="1:13" x14ac:dyDescent="0.25">
      <c r="A2747" s="15" t="s">
        <v>4318</v>
      </c>
      <c r="B2747" s="15" t="s">
        <v>4312</v>
      </c>
      <c r="C2747" s="54">
        <v>251.696348</v>
      </c>
      <c r="D2747" s="26">
        <v>0.20486111111111113</v>
      </c>
      <c r="E2747" s="55">
        <v>-22.205031999999999</v>
      </c>
      <c r="F2747" s="55">
        <v>-47.395248000000002</v>
      </c>
      <c r="G2747" s="55">
        <v>-22.897860000000001</v>
      </c>
      <c r="H2747" s="55">
        <v>-47.005284000000003</v>
      </c>
      <c r="I2747" s="55">
        <v>-23.191032</v>
      </c>
      <c r="J2747" s="55">
        <v>-46.355513999999999</v>
      </c>
      <c r="L2747" s="61" t="str">
        <f t="shared" si="43"/>
        <v>Cliente48-Cliente42</v>
      </c>
      <c r="M2747">
        <v>251.696348</v>
      </c>
    </row>
    <row r="2748" spans="1:13" x14ac:dyDescent="0.25">
      <c r="A2748" s="15" t="s">
        <v>4318</v>
      </c>
      <c r="B2748" s="15" t="s">
        <v>4313</v>
      </c>
      <c r="C2748" s="52">
        <v>285.16969699999999</v>
      </c>
      <c r="D2748" s="25">
        <v>0.23819444444444446</v>
      </c>
      <c r="E2748" s="53">
        <v>-22.007712999999999</v>
      </c>
      <c r="F2748" s="53">
        <v>-47.282877999999997</v>
      </c>
      <c r="G2748" s="53">
        <v>-22.931961000000001</v>
      </c>
      <c r="H2748" s="53">
        <v>-46.922178000000002</v>
      </c>
      <c r="I2748" s="53">
        <v>-23.164300999999998</v>
      </c>
      <c r="J2748" s="53">
        <v>-46.226919000000002</v>
      </c>
      <c r="L2748" s="61" t="str">
        <f t="shared" si="43"/>
        <v>Cliente48-Cliente43</v>
      </c>
      <c r="M2748">
        <v>285.16969699999999</v>
      </c>
    </row>
    <row r="2749" spans="1:13" x14ac:dyDescent="0.25">
      <c r="A2749" s="15" t="s">
        <v>4318</v>
      </c>
      <c r="B2749" s="15" t="s">
        <v>4314</v>
      </c>
      <c r="C2749" s="54">
        <v>205.322057</v>
      </c>
      <c r="D2749" s="26">
        <v>0.16944444444444443</v>
      </c>
      <c r="E2749" s="55">
        <v>-21.661563000000001</v>
      </c>
      <c r="F2749" s="55">
        <v>-47.608597000000003</v>
      </c>
      <c r="G2749" s="55">
        <v>-22.63355</v>
      </c>
      <c r="H2749" s="55">
        <v>-47.334181000000001</v>
      </c>
      <c r="I2749" s="55">
        <v>-23.120062000000001</v>
      </c>
      <c r="J2749" s="55">
        <v>-47.220748999999998</v>
      </c>
      <c r="L2749" s="61" t="str">
        <f t="shared" si="43"/>
        <v>Cliente48-Cliente44</v>
      </c>
      <c r="M2749">
        <v>205.322057</v>
      </c>
    </row>
    <row r="2750" spans="1:13" x14ac:dyDescent="0.25">
      <c r="A2750" s="15" t="s">
        <v>4318</v>
      </c>
      <c r="B2750" s="15" t="s">
        <v>4315</v>
      </c>
      <c r="C2750" s="52">
        <v>209.61512200000001</v>
      </c>
      <c r="D2750" s="25">
        <v>0.17847222222222223</v>
      </c>
      <c r="E2750" s="53">
        <v>-21.759934000000001</v>
      </c>
      <c r="F2750" s="53">
        <v>-47.558945999999999</v>
      </c>
      <c r="G2750" s="53">
        <v>-22.697147000000001</v>
      </c>
      <c r="H2750" s="53">
        <v>-47.309322999999999</v>
      </c>
      <c r="I2750" s="53">
        <v>-23.194125</v>
      </c>
      <c r="J2750" s="53">
        <v>-47.323127999999997</v>
      </c>
      <c r="L2750" s="61" t="str">
        <f t="shared" si="43"/>
        <v>Cliente48-Cliente45</v>
      </c>
      <c r="M2750">
        <v>209.61512200000001</v>
      </c>
    </row>
    <row r="2751" spans="1:13" x14ac:dyDescent="0.25">
      <c r="A2751" s="15" t="s">
        <v>4318</v>
      </c>
      <c r="B2751" s="15" t="s">
        <v>4316</v>
      </c>
      <c r="C2751" s="54">
        <v>207.72242</v>
      </c>
      <c r="D2751" s="26">
        <v>0.17500000000000002</v>
      </c>
      <c r="E2751" s="55">
        <v>-21.720437</v>
      </c>
      <c r="F2751" s="55">
        <v>-47.588977999999997</v>
      </c>
      <c r="G2751" s="55">
        <v>-22.653953999999999</v>
      </c>
      <c r="H2751" s="55">
        <v>-47.323661999999999</v>
      </c>
      <c r="I2751" s="55">
        <v>-23.168652000000002</v>
      </c>
      <c r="J2751" s="55">
        <v>-47.267718000000002</v>
      </c>
      <c r="L2751" s="61" t="str">
        <f t="shared" si="43"/>
        <v>Cliente48-Cliente46</v>
      </c>
      <c r="M2751">
        <v>207.72242</v>
      </c>
    </row>
    <row r="2752" spans="1:13" x14ac:dyDescent="0.25">
      <c r="A2752" s="15" t="s">
        <v>4318</v>
      </c>
      <c r="B2752" s="15" t="s">
        <v>4317</v>
      </c>
      <c r="C2752" s="52">
        <v>11.504095</v>
      </c>
      <c r="D2752" s="25">
        <v>1.5277777777777777E-2</v>
      </c>
      <c r="E2752" s="53">
        <v>-21.137505000000001</v>
      </c>
      <c r="F2752" s="53">
        <v>-47.802537000000001</v>
      </c>
      <c r="G2752" s="53">
        <v>-21.149659</v>
      </c>
      <c r="H2752" s="53">
        <v>-47.758668</v>
      </c>
      <c r="I2752" s="53">
        <v>-21.223181</v>
      </c>
      <c r="J2752" s="53">
        <v>-47.759864</v>
      </c>
      <c r="L2752" s="61" t="str">
        <f t="shared" si="43"/>
        <v>Cliente48-Cliente47</v>
      </c>
      <c r="M2752">
        <v>11.504095</v>
      </c>
    </row>
    <row r="2753" spans="1:13" x14ac:dyDescent="0.25">
      <c r="A2753" s="15" t="s">
        <v>4318</v>
      </c>
      <c r="B2753" s="15" t="s">
        <v>4318</v>
      </c>
      <c r="C2753" s="54">
        <v>0</v>
      </c>
      <c r="D2753" s="26">
        <v>0</v>
      </c>
      <c r="E2753" s="55">
        <f>'1. Locais'!D52</f>
        <v>-21.141179999999999</v>
      </c>
      <c r="F2753" s="55">
        <f>'1. Locais'!E52</f>
        <v>-47.804819999999999</v>
      </c>
      <c r="G2753" s="55">
        <f>'1. Locais'!D52</f>
        <v>-21.141179999999999</v>
      </c>
      <c r="H2753" s="55">
        <f>'1. Locais'!E52</f>
        <v>-47.804819999999999</v>
      </c>
      <c r="I2753" s="55">
        <f>'1. Locais'!D52</f>
        <v>-21.141179999999999</v>
      </c>
      <c r="J2753" s="55">
        <f>'1. Locais'!E52</f>
        <v>-47.804819999999999</v>
      </c>
      <c r="L2753" s="61" t="str">
        <f t="shared" si="43"/>
        <v>Cliente48-Cliente48</v>
      </c>
      <c r="M2753">
        <v>0</v>
      </c>
    </row>
    <row r="2754" spans="1:13" x14ac:dyDescent="0.25">
      <c r="A2754" s="15" t="s">
        <v>4318</v>
      </c>
      <c r="B2754" s="15" t="s">
        <v>4319</v>
      </c>
      <c r="C2754" s="52">
        <v>4.261374</v>
      </c>
      <c r="D2754" s="25">
        <v>9.0277777777777787E-3</v>
      </c>
      <c r="E2754" s="53">
        <v>-21.151866999999999</v>
      </c>
      <c r="F2754" s="53">
        <v>-47.809139999999999</v>
      </c>
      <c r="G2754" s="53">
        <v>-21.162379000000001</v>
      </c>
      <c r="H2754" s="53">
        <v>-47.816851999999997</v>
      </c>
      <c r="I2754" s="53">
        <v>-21.177294</v>
      </c>
      <c r="J2754" s="53">
        <v>-47.801814</v>
      </c>
      <c r="L2754" s="61" t="str">
        <f t="shared" si="43"/>
        <v>Cliente48-Cliente49</v>
      </c>
      <c r="M2754">
        <v>4.261374</v>
      </c>
    </row>
    <row r="2755" spans="1:13" x14ac:dyDescent="0.25">
      <c r="A2755" s="15" t="s">
        <v>4318</v>
      </c>
      <c r="B2755" s="15" t="s">
        <v>4320</v>
      </c>
      <c r="C2755" s="54">
        <v>134.52533299999999</v>
      </c>
      <c r="D2755" s="26">
        <v>0.12986111111111112</v>
      </c>
      <c r="E2755" s="55">
        <v>-21.267842000000002</v>
      </c>
      <c r="F2755" s="55">
        <v>-47.796343999999998</v>
      </c>
      <c r="G2755" s="55">
        <v>-21.817903999999999</v>
      </c>
      <c r="H2755" s="55">
        <v>-48.208174</v>
      </c>
      <c r="I2755" s="55">
        <v>-22.301746000000001</v>
      </c>
      <c r="J2755" s="55">
        <v>-48.576095000000002</v>
      </c>
      <c r="L2755" s="61" t="str">
        <f t="shared" si="43"/>
        <v>Cliente48-Cliente50</v>
      </c>
      <c r="M2755">
        <v>134.52533299999999</v>
      </c>
    </row>
    <row r="2756" spans="1:13" x14ac:dyDescent="0.25">
      <c r="A2756" s="15" t="s">
        <v>4318</v>
      </c>
      <c r="B2756" s="15" t="s">
        <v>4321</v>
      </c>
      <c r="C2756" s="52">
        <v>134.344514</v>
      </c>
      <c r="D2756" s="25">
        <v>0.12916666666666668</v>
      </c>
      <c r="E2756" s="53">
        <v>-21.222567999999999</v>
      </c>
      <c r="F2756" s="53">
        <v>-47.776502999999998</v>
      </c>
      <c r="G2756" s="53">
        <v>-21.816875</v>
      </c>
      <c r="H2756" s="53">
        <v>-48.202041000000001</v>
      </c>
      <c r="I2756" s="53">
        <v>-22.285747000000001</v>
      </c>
      <c r="J2756" s="53">
        <v>-48.577702000000002</v>
      </c>
      <c r="L2756" s="61" t="str">
        <f t="shared" si="43"/>
        <v>Cliente48-Cliente51</v>
      </c>
      <c r="M2756">
        <v>134.344514</v>
      </c>
    </row>
    <row r="2757" spans="1:13" x14ac:dyDescent="0.25">
      <c r="A2757" s="15" t="s">
        <v>4319</v>
      </c>
      <c r="B2757" s="15" t="s">
        <v>4268</v>
      </c>
      <c r="C2757" s="54">
        <v>166.79384099999999</v>
      </c>
      <c r="D2757" s="26">
        <v>0.13680555555555554</v>
      </c>
      <c r="E2757" s="55">
        <v>-21.720437</v>
      </c>
      <c r="F2757" s="55">
        <v>-47.588977999999997</v>
      </c>
      <c r="G2757" s="55">
        <v>-22.519819999999999</v>
      </c>
      <c r="H2757" s="55">
        <v>-47.393304000000001</v>
      </c>
      <c r="I2757" s="55">
        <v>-22.89827</v>
      </c>
      <c r="J2757" s="55">
        <v>-47.136758999999998</v>
      </c>
      <c r="L2757" s="61" t="str">
        <f t="shared" si="43"/>
        <v>Cliente49-depósito A</v>
      </c>
      <c r="M2757">
        <v>166.79384099999999</v>
      </c>
    </row>
    <row r="2758" spans="1:13" x14ac:dyDescent="0.25">
      <c r="A2758" s="15" t="s">
        <v>4319</v>
      </c>
      <c r="B2758" s="15" t="s">
        <v>4269</v>
      </c>
      <c r="C2758" s="52">
        <v>56.282077999999998</v>
      </c>
      <c r="D2758" s="25">
        <v>5.486111111111111E-2</v>
      </c>
      <c r="E2758" s="53">
        <v>-21.206213000000002</v>
      </c>
      <c r="F2758" s="53">
        <v>-47.760694999999998</v>
      </c>
      <c r="G2758" s="53">
        <v>-21.588131000000001</v>
      </c>
      <c r="H2758" s="53">
        <v>-47.952651000000003</v>
      </c>
      <c r="I2758" s="53">
        <v>-21.812663000000001</v>
      </c>
      <c r="J2758" s="53">
        <v>-48.157716999999998</v>
      </c>
      <c r="L2758" s="61" t="str">
        <f t="shared" si="43"/>
        <v>Cliente49-depósito B</v>
      </c>
      <c r="M2758">
        <v>56.282077999999998</v>
      </c>
    </row>
    <row r="2759" spans="1:13" x14ac:dyDescent="0.25">
      <c r="A2759" s="15" t="s">
        <v>4319</v>
      </c>
      <c r="B2759" s="15" t="s">
        <v>4270</v>
      </c>
      <c r="C2759" s="54">
        <v>224.09</v>
      </c>
      <c r="D2759" s="26">
        <v>0.18333333333333335</v>
      </c>
      <c r="E2759" s="55">
        <v>-22.333369000000001</v>
      </c>
      <c r="F2759" s="55">
        <v>-47.389285999999998</v>
      </c>
      <c r="G2759" s="55">
        <v>-22.912666999999999</v>
      </c>
      <c r="H2759" s="55">
        <v>-46.965544000000001</v>
      </c>
      <c r="I2759" s="55">
        <v>-23.189931000000001</v>
      </c>
      <c r="J2759" s="55">
        <v>-46.357652000000002</v>
      </c>
      <c r="L2759" s="61" t="str">
        <f t="shared" si="43"/>
        <v>Cliente49-depósito C</v>
      </c>
      <c r="M2759">
        <v>224.09</v>
      </c>
    </row>
    <row r="2760" spans="1:13" x14ac:dyDescent="0.25">
      <c r="A2760" s="15" t="s">
        <v>4319</v>
      </c>
      <c r="B2760" s="15" t="s">
        <v>4271</v>
      </c>
      <c r="C2760" s="52">
        <v>145.262654</v>
      </c>
      <c r="D2760" s="25">
        <v>0.12222222222222223</v>
      </c>
      <c r="E2760" s="53">
        <v>-21.471747000000001</v>
      </c>
      <c r="F2760" s="53">
        <v>-47.640444000000002</v>
      </c>
      <c r="G2760" s="53">
        <v>-22.398820000000001</v>
      </c>
      <c r="H2760" s="53">
        <v>-47.389972999999998</v>
      </c>
      <c r="I2760" s="53">
        <v>-22.773682000000001</v>
      </c>
      <c r="J2760" s="53">
        <v>-47.235911999999999</v>
      </c>
      <c r="L2760" s="61" t="str">
        <f t="shared" si="43"/>
        <v>Cliente49-Cliente1</v>
      </c>
      <c r="M2760">
        <v>145.262654</v>
      </c>
    </row>
    <row r="2761" spans="1:13" x14ac:dyDescent="0.25">
      <c r="A2761" s="15" t="s">
        <v>4319</v>
      </c>
      <c r="B2761" s="15" t="s">
        <v>4272</v>
      </c>
      <c r="C2761" s="54">
        <v>138.61955800000001</v>
      </c>
      <c r="D2761" s="26">
        <v>0.11805555555555557</v>
      </c>
      <c r="E2761" s="55">
        <v>-21.471747000000001</v>
      </c>
      <c r="F2761" s="55">
        <v>-47.640444000000002</v>
      </c>
      <c r="G2761" s="55">
        <v>-22.398820000000001</v>
      </c>
      <c r="H2761" s="55">
        <v>-47.389972999999998</v>
      </c>
      <c r="I2761" s="55">
        <v>-22.773682000000001</v>
      </c>
      <c r="J2761" s="55">
        <v>-47.235911999999999</v>
      </c>
      <c r="L2761" s="61" t="str">
        <f t="shared" si="43"/>
        <v>Cliente49-Cliente2</v>
      </c>
      <c r="M2761">
        <v>138.61955800000001</v>
      </c>
    </row>
    <row r="2762" spans="1:13" x14ac:dyDescent="0.25">
      <c r="A2762" s="15" t="s">
        <v>4319</v>
      </c>
      <c r="B2762" s="15" t="s">
        <v>4273</v>
      </c>
      <c r="C2762" s="52">
        <v>140.17485400000001</v>
      </c>
      <c r="D2762" s="25">
        <v>0.12152777777777778</v>
      </c>
      <c r="E2762" s="53">
        <v>-21.552168999999999</v>
      </c>
      <c r="F2762" s="53">
        <v>-47.637905000000003</v>
      </c>
      <c r="G2762" s="53">
        <v>-22.482019999999999</v>
      </c>
      <c r="H2762" s="53">
        <v>-47.399988</v>
      </c>
      <c r="I2762" s="53">
        <v>-22.835114000000001</v>
      </c>
      <c r="J2762" s="53">
        <v>-47.175074000000002</v>
      </c>
      <c r="L2762" s="61" t="str">
        <f t="shared" si="43"/>
        <v>Cliente49-Cliente3</v>
      </c>
      <c r="M2762">
        <v>140.17485400000001</v>
      </c>
    </row>
    <row r="2763" spans="1:13" x14ac:dyDescent="0.25">
      <c r="A2763" s="15" t="s">
        <v>4319</v>
      </c>
      <c r="B2763" s="15" t="s">
        <v>4274</v>
      </c>
      <c r="C2763" s="54">
        <v>137.15498299999999</v>
      </c>
      <c r="D2763" s="26">
        <v>0.11527777777777777</v>
      </c>
      <c r="E2763" s="55">
        <v>-21.417469000000001</v>
      </c>
      <c r="F2763" s="55">
        <v>-47.662021000000003</v>
      </c>
      <c r="G2763" s="55">
        <v>-22.330570000000002</v>
      </c>
      <c r="H2763" s="55">
        <v>-47.389251999999999</v>
      </c>
      <c r="I2763" s="55">
        <v>-22.696010999999999</v>
      </c>
      <c r="J2763" s="55">
        <v>-47.310082999999999</v>
      </c>
      <c r="L2763" s="61" t="str">
        <f t="shared" si="43"/>
        <v>Cliente49-Cliente4</v>
      </c>
      <c r="M2763">
        <v>137.15498299999999</v>
      </c>
    </row>
    <row r="2764" spans="1:13" x14ac:dyDescent="0.25">
      <c r="A2764" s="15" t="s">
        <v>4319</v>
      </c>
      <c r="B2764" s="15" t="s">
        <v>4275</v>
      </c>
      <c r="C2764" s="52">
        <v>137.248189</v>
      </c>
      <c r="D2764" s="25">
        <v>0.11527777777777777</v>
      </c>
      <c r="E2764" s="53">
        <v>-21.414352000000001</v>
      </c>
      <c r="F2764" s="53">
        <v>-47.664710999999997</v>
      </c>
      <c r="G2764" s="53">
        <v>-22.285178999999999</v>
      </c>
      <c r="H2764" s="53">
        <v>-47.393678000000001</v>
      </c>
      <c r="I2764" s="53">
        <v>-22.692126999999999</v>
      </c>
      <c r="J2764" s="53">
        <v>-47.311219000000001</v>
      </c>
      <c r="L2764" s="61" t="str">
        <f t="shared" si="43"/>
        <v>Cliente49-Cliente5</v>
      </c>
      <c r="M2764">
        <v>137.248189</v>
      </c>
    </row>
    <row r="2765" spans="1:13" x14ac:dyDescent="0.25">
      <c r="A2765" s="15" t="s">
        <v>4319</v>
      </c>
      <c r="B2765" s="15" t="s">
        <v>4276</v>
      </c>
      <c r="C2765" s="54">
        <v>145.953621</v>
      </c>
      <c r="D2765" s="26">
        <v>0.12222222222222223</v>
      </c>
      <c r="E2765" s="55">
        <v>-21.471747000000001</v>
      </c>
      <c r="F2765" s="55">
        <v>-47.640444000000002</v>
      </c>
      <c r="G2765" s="55">
        <v>-22.398820000000001</v>
      </c>
      <c r="H2765" s="55">
        <v>-47.389972999999998</v>
      </c>
      <c r="I2765" s="55">
        <v>-22.773682000000001</v>
      </c>
      <c r="J2765" s="55">
        <v>-47.235911999999999</v>
      </c>
      <c r="L2765" s="61" t="str">
        <f t="shared" si="43"/>
        <v>Cliente49-Cliente6</v>
      </c>
      <c r="M2765">
        <v>145.953621</v>
      </c>
    </row>
    <row r="2766" spans="1:13" x14ac:dyDescent="0.25">
      <c r="A2766" s="15" t="s">
        <v>4319</v>
      </c>
      <c r="B2766" s="15" t="s">
        <v>4277</v>
      </c>
      <c r="C2766" s="52">
        <v>139.427964</v>
      </c>
      <c r="D2766" s="25">
        <v>0.11666666666666665</v>
      </c>
      <c r="E2766" s="53">
        <v>-21.435661</v>
      </c>
      <c r="F2766" s="53">
        <v>-47.65166</v>
      </c>
      <c r="G2766" s="53">
        <v>-22.353055000000001</v>
      </c>
      <c r="H2766" s="53">
        <v>-47.395043999999999</v>
      </c>
      <c r="I2766" s="53">
        <v>-22.741444000000001</v>
      </c>
      <c r="J2766" s="53">
        <v>-47.271141</v>
      </c>
      <c r="L2766" s="61" t="str">
        <f t="shared" si="43"/>
        <v>Cliente49-Cliente7</v>
      </c>
      <c r="M2766">
        <v>139.427964</v>
      </c>
    </row>
    <row r="2767" spans="1:13" x14ac:dyDescent="0.25">
      <c r="A2767" s="15" t="s">
        <v>4319</v>
      </c>
      <c r="B2767" s="15" t="s">
        <v>4278</v>
      </c>
      <c r="C2767" s="54">
        <v>146.99193500000001</v>
      </c>
      <c r="D2767" s="26">
        <v>0.12361111111111112</v>
      </c>
      <c r="E2767" s="55">
        <v>-21.471747000000001</v>
      </c>
      <c r="F2767" s="55">
        <v>-47.640444000000002</v>
      </c>
      <c r="G2767" s="55">
        <v>-22.398820000000001</v>
      </c>
      <c r="H2767" s="55">
        <v>-47.389972999999998</v>
      </c>
      <c r="I2767" s="55">
        <v>-22.773682000000001</v>
      </c>
      <c r="J2767" s="55">
        <v>-47.235911999999999</v>
      </c>
      <c r="L2767" s="61" t="str">
        <f t="shared" si="43"/>
        <v>Cliente49-Cliente8</v>
      </c>
      <c r="M2767">
        <v>146.99193500000001</v>
      </c>
    </row>
    <row r="2768" spans="1:13" x14ac:dyDescent="0.25">
      <c r="A2768" s="15" t="s">
        <v>4319</v>
      </c>
      <c r="B2768" s="15" t="s">
        <v>4279</v>
      </c>
      <c r="C2768" s="52">
        <v>118.80211799999999</v>
      </c>
      <c r="D2768" s="25">
        <v>9.930555555555555E-2</v>
      </c>
      <c r="E2768" s="53">
        <v>-21.359161</v>
      </c>
      <c r="F2768" s="53">
        <v>-47.722248999999998</v>
      </c>
      <c r="G2768" s="53">
        <v>-22.085068</v>
      </c>
      <c r="H2768" s="53">
        <v>-47.420551000000003</v>
      </c>
      <c r="I2768" s="53">
        <v>-22.507259000000001</v>
      </c>
      <c r="J2768" s="53">
        <v>-47.398502000000001</v>
      </c>
      <c r="L2768" s="61" t="str">
        <f t="shared" si="43"/>
        <v>Cliente49-Cliente9</v>
      </c>
      <c r="M2768">
        <v>118.80211799999999</v>
      </c>
    </row>
    <row r="2769" spans="1:13" x14ac:dyDescent="0.25">
      <c r="A2769" s="15" t="s">
        <v>4319</v>
      </c>
      <c r="B2769" s="15" t="s">
        <v>4280</v>
      </c>
      <c r="C2769" s="54">
        <v>192.84800000000001</v>
      </c>
      <c r="D2769" s="26">
        <v>0.16250000000000001</v>
      </c>
      <c r="E2769" s="55">
        <v>-22.135268</v>
      </c>
      <c r="F2769" s="55">
        <v>-47.408951000000002</v>
      </c>
      <c r="G2769" s="55">
        <v>-22.810196000000001</v>
      </c>
      <c r="H2769" s="55">
        <v>-47.213504999999998</v>
      </c>
      <c r="I2769" s="55">
        <v>-23.277909000000001</v>
      </c>
      <c r="J2769" s="55">
        <v>-46.849068000000003</v>
      </c>
      <c r="L2769" s="61" t="str">
        <f t="shared" si="43"/>
        <v>Cliente49-Cliente10</v>
      </c>
      <c r="M2769">
        <v>192.84800000000001</v>
      </c>
    </row>
    <row r="2770" spans="1:13" x14ac:dyDescent="0.25">
      <c r="A2770" s="15" t="s">
        <v>4319</v>
      </c>
      <c r="B2770" s="15" t="s">
        <v>4281</v>
      </c>
      <c r="C2770" s="52">
        <v>124.928853</v>
      </c>
      <c r="D2770" s="25">
        <v>0.10208333333333335</v>
      </c>
      <c r="E2770" s="53">
        <v>-21.422985000000001</v>
      </c>
      <c r="F2770" s="53">
        <v>-47.657746000000003</v>
      </c>
      <c r="G2770" s="53">
        <v>-22.333369000000001</v>
      </c>
      <c r="H2770" s="53">
        <v>-47.389285999999998</v>
      </c>
      <c r="I2770" s="53">
        <v>-22.60005</v>
      </c>
      <c r="J2770" s="53">
        <v>-47.472154000000003</v>
      </c>
      <c r="L2770" s="61" t="str">
        <f t="shared" ref="L2770:L2833" si="44">_xlfn.CONCAT(A2770,"-",B2770)</f>
        <v>Cliente49-Cliente11</v>
      </c>
      <c r="M2770">
        <v>124.928853</v>
      </c>
    </row>
    <row r="2771" spans="1:13" x14ac:dyDescent="0.25">
      <c r="A2771" s="15" t="s">
        <v>4319</v>
      </c>
      <c r="B2771" s="15" t="s">
        <v>4282</v>
      </c>
      <c r="C2771" s="54">
        <v>223.13122100000001</v>
      </c>
      <c r="D2771" s="26">
        <v>0.18333333333333335</v>
      </c>
      <c r="E2771" s="55">
        <v>-22.342199999999998</v>
      </c>
      <c r="F2771" s="55">
        <v>-47.392710999999998</v>
      </c>
      <c r="G2771" s="55">
        <v>-22.913504</v>
      </c>
      <c r="H2771" s="55">
        <v>-46.961306</v>
      </c>
      <c r="I2771" s="55">
        <v>-23.193984</v>
      </c>
      <c r="J2771" s="55">
        <v>-46.344422000000002</v>
      </c>
      <c r="L2771" s="61" t="str">
        <f t="shared" si="44"/>
        <v>Cliente49-Cliente12</v>
      </c>
      <c r="M2771">
        <v>223.13122100000001</v>
      </c>
    </row>
    <row r="2772" spans="1:13" x14ac:dyDescent="0.25">
      <c r="A2772" s="15" t="s">
        <v>4319</v>
      </c>
      <c r="B2772" s="15" t="s">
        <v>4283</v>
      </c>
      <c r="C2772" s="52">
        <v>231.015199</v>
      </c>
      <c r="D2772" s="25">
        <v>0.18888888888888888</v>
      </c>
      <c r="E2772" s="53">
        <v>-22.351292999999998</v>
      </c>
      <c r="F2772" s="53">
        <v>-47.394911</v>
      </c>
      <c r="G2772" s="53">
        <v>-22.920038999999999</v>
      </c>
      <c r="H2772" s="53">
        <v>-46.943657999999999</v>
      </c>
      <c r="I2772" s="53">
        <v>-23.178538</v>
      </c>
      <c r="J2772" s="53">
        <v>-46.314894000000002</v>
      </c>
      <c r="L2772" s="61" t="str">
        <f t="shared" si="44"/>
        <v>Cliente49-Cliente13</v>
      </c>
      <c r="M2772">
        <v>231.015199</v>
      </c>
    </row>
    <row r="2773" spans="1:13" x14ac:dyDescent="0.25">
      <c r="A2773" s="15" t="s">
        <v>4319</v>
      </c>
      <c r="B2773" s="15" t="s">
        <v>4284</v>
      </c>
      <c r="C2773" s="54">
        <v>229.07775899999999</v>
      </c>
      <c r="D2773" s="26">
        <v>0.18611111111111112</v>
      </c>
      <c r="E2773" s="55">
        <v>-22.330570000000002</v>
      </c>
      <c r="F2773" s="55">
        <v>-47.389251999999999</v>
      </c>
      <c r="G2773" s="55">
        <v>-22.901401</v>
      </c>
      <c r="H2773" s="55">
        <v>-46.985311000000003</v>
      </c>
      <c r="I2773" s="55">
        <v>-23.185528000000001</v>
      </c>
      <c r="J2773" s="55">
        <v>-46.361981</v>
      </c>
      <c r="L2773" s="61" t="str">
        <f t="shared" si="44"/>
        <v>Cliente49-Cliente14</v>
      </c>
      <c r="M2773">
        <v>229.07775899999999</v>
      </c>
    </row>
    <row r="2774" spans="1:13" x14ac:dyDescent="0.25">
      <c r="A2774" s="15" t="s">
        <v>4319</v>
      </c>
      <c r="B2774" s="15" t="s">
        <v>4285</v>
      </c>
      <c r="C2774" s="52">
        <v>232.81034500000001</v>
      </c>
      <c r="D2774" s="25">
        <v>0.19375000000000001</v>
      </c>
      <c r="E2774" s="53">
        <v>-22.397670000000002</v>
      </c>
      <c r="F2774" s="53">
        <v>-47.39029</v>
      </c>
      <c r="G2774" s="53">
        <v>-22.930788</v>
      </c>
      <c r="H2774" s="53">
        <v>-46.902411999999998</v>
      </c>
      <c r="I2774" s="53">
        <v>-23.173279000000001</v>
      </c>
      <c r="J2774" s="53">
        <v>-46.249837999999997</v>
      </c>
      <c r="L2774" s="61" t="str">
        <f t="shared" si="44"/>
        <v>Cliente49-Cliente15</v>
      </c>
      <c r="M2774">
        <v>232.81034500000001</v>
      </c>
    </row>
    <row r="2775" spans="1:13" x14ac:dyDescent="0.25">
      <c r="A2775" s="15" t="s">
        <v>4319</v>
      </c>
      <c r="B2775" s="15" t="s">
        <v>4286</v>
      </c>
      <c r="C2775" s="54">
        <v>230.38699099999999</v>
      </c>
      <c r="D2775" s="26">
        <v>0.19027777777777777</v>
      </c>
      <c r="E2775" s="55">
        <v>-22.351292999999998</v>
      </c>
      <c r="F2775" s="55">
        <v>-47.394911</v>
      </c>
      <c r="G2775" s="55">
        <v>-22.920038999999999</v>
      </c>
      <c r="H2775" s="55">
        <v>-46.943657999999999</v>
      </c>
      <c r="I2775" s="55">
        <v>-23.178538</v>
      </c>
      <c r="J2775" s="55">
        <v>-46.314894000000002</v>
      </c>
      <c r="L2775" s="61" t="str">
        <f t="shared" si="44"/>
        <v>Cliente49-Cliente16</v>
      </c>
      <c r="M2775">
        <v>230.38699099999999</v>
      </c>
    </row>
    <row r="2776" spans="1:13" x14ac:dyDescent="0.25">
      <c r="A2776" s="15" t="s">
        <v>4319</v>
      </c>
      <c r="B2776" s="15" t="s">
        <v>4287</v>
      </c>
      <c r="C2776" s="52">
        <v>231.44270299999999</v>
      </c>
      <c r="D2776" s="25">
        <v>0.18888888888888888</v>
      </c>
      <c r="E2776" s="53">
        <v>-22.351292999999998</v>
      </c>
      <c r="F2776" s="53">
        <v>-47.394911</v>
      </c>
      <c r="G2776" s="53">
        <v>-22.920038999999999</v>
      </c>
      <c r="H2776" s="53">
        <v>-46.943657999999999</v>
      </c>
      <c r="I2776" s="53">
        <v>-23.178538</v>
      </c>
      <c r="J2776" s="53">
        <v>-46.314894000000002</v>
      </c>
      <c r="L2776" s="61" t="str">
        <f t="shared" si="44"/>
        <v>Cliente49-Cliente17</v>
      </c>
      <c r="M2776">
        <v>231.44270299999999</v>
      </c>
    </row>
    <row r="2777" spans="1:13" x14ac:dyDescent="0.25">
      <c r="A2777" s="15" t="s">
        <v>4319</v>
      </c>
      <c r="B2777" s="15" t="s">
        <v>4288</v>
      </c>
      <c r="C2777" s="54">
        <v>236.270769</v>
      </c>
      <c r="D2777" s="26">
        <v>0.19305555555555554</v>
      </c>
      <c r="E2777" s="55">
        <v>-22.346981</v>
      </c>
      <c r="F2777" s="55">
        <v>-47.394207999999999</v>
      </c>
      <c r="G2777" s="55">
        <v>-22.912618999999999</v>
      </c>
      <c r="H2777" s="55">
        <v>-46.950996000000004</v>
      </c>
      <c r="I2777" s="55">
        <v>-23.186128</v>
      </c>
      <c r="J2777" s="55">
        <v>-46.328819000000003</v>
      </c>
      <c r="L2777" s="61" t="str">
        <f t="shared" si="44"/>
        <v>Cliente49-Cliente18</v>
      </c>
      <c r="M2777">
        <v>236.270769</v>
      </c>
    </row>
    <row r="2778" spans="1:13" x14ac:dyDescent="0.25">
      <c r="A2778" s="15" t="s">
        <v>4319</v>
      </c>
      <c r="B2778" s="15" t="s">
        <v>4289</v>
      </c>
      <c r="C2778" s="52">
        <v>189.62804600000001</v>
      </c>
      <c r="D2778" s="25">
        <v>0.15416666666666667</v>
      </c>
      <c r="E2778" s="53">
        <v>-22.035943</v>
      </c>
      <c r="F2778" s="53">
        <v>-47.433</v>
      </c>
      <c r="G2778" s="53">
        <v>-22.757888000000001</v>
      </c>
      <c r="H2778" s="53">
        <v>-47.253647000000001</v>
      </c>
      <c r="I2778" s="53">
        <v>-23.211431000000001</v>
      </c>
      <c r="J2778" s="53">
        <v>-46.922516000000002</v>
      </c>
      <c r="L2778" s="61" t="str">
        <f t="shared" si="44"/>
        <v>Cliente49-Cliente19</v>
      </c>
      <c r="M2778">
        <v>189.62804600000001</v>
      </c>
    </row>
    <row r="2779" spans="1:13" x14ac:dyDescent="0.25">
      <c r="A2779" s="15" t="s">
        <v>4319</v>
      </c>
      <c r="B2779" s="15" t="s">
        <v>4290</v>
      </c>
      <c r="C2779" s="54">
        <v>191.200119</v>
      </c>
      <c r="D2779" s="26">
        <v>0.15763888888888888</v>
      </c>
      <c r="E2779" s="55">
        <v>-22.106760000000001</v>
      </c>
      <c r="F2779" s="55">
        <v>-47.413145999999998</v>
      </c>
      <c r="G2779" s="55">
        <v>-22.776426000000001</v>
      </c>
      <c r="H2779" s="55">
        <v>-47.234369999999998</v>
      </c>
      <c r="I2779" s="55">
        <v>-23.260442000000001</v>
      </c>
      <c r="J2779" s="55">
        <v>-46.867970999999997</v>
      </c>
      <c r="L2779" s="61" t="str">
        <f t="shared" si="44"/>
        <v>Cliente49-Cliente20</v>
      </c>
      <c r="M2779">
        <v>191.200119</v>
      </c>
    </row>
    <row r="2780" spans="1:13" x14ac:dyDescent="0.25">
      <c r="A2780" s="15" t="s">
        <v>4319</v>
      </c>
      <c r="B2780" s="15" t="s">
        <v>4291</v>
      </c>
      <c r="C2780" s="52">
        <v>190.80181899999999</v>
      </c>
      <c r="D2780" s="25">
        <v>0.15763888888888888</v>
      </c>
      <c r="E2780" s="53">
        <v>-22.136278999999998</v>
      </c>
      <c r="F2780" s="53">
        <v>-47.408593000000003</v>
      </c>
      <c r="G2780" s="53">
        <v>-22.812636000000001</v>
      </c>
      <c r="H2780" s="53">
        <v>-47.210752999999997</v>
      </c>
      <c r="I2780" s="53">
        <v>-23.289266000000001</v>
      </c>
      <c r="J2780" s="53">
        <v>-46.847276000000001</v>
      </c>
      <c r="L2780" s="61" t="str">
        <f t="shared" si="44"/>
        <v>Cliente49-Cliente21</v>
      </c>
      <c r="M2780">
        <v>190.80181899999999</v>
      </c>
    </row>
    <row r="2781" spans="1:13" x14ac:dyDescent="0.25">
      <c r="A2781" s="15" t="s">
        <v>4319</v>
      </c>
      <c r="B2781" s="15" t="s">
        <v>4292</v>
      </c>
      <c r="C2781" s="54">
        <v>189.925062</v>
      </c>
      <c r="D2781" s="26">
        <v>0.15694444444444444</v>
      </c>
      <c r="E2781" s="55">
        <v>-22.115496</v>
      </c>
      <c r="F2781" s="55">
        <v>-47.411726000000002</v>
      </c>
      <c r="G2781" s="55">
        <v>-22.793851</v>
      </c>
      <c r="H2781" s="55">
        <v>-47.225557000000002</v>
      </c>
      <c r="I2781" s="55">
        <v>-23.268625</v>
      </c>
      <c r="J2781" s="55">
        <v>-46.857863999999999</v>
      </c>
      <c r="L2781" s="61" t="str">
        <f t="shared" si="44"/>
        <v>Cliente49-Cliente22</v>
      </c>
      <c r="M2781">
        <v>189.925062</v>
      </c>
    </row>
    <row r="2782" spans="1:13" x14ac:dyDescent="0.25">
      <c r="A2782" s="15" t="s">
        <v>4319</v>
      </c>
      <c r="B2782" s="15" t="s">
        <v>4293</v>
      </c>
      <c r="C2782" s="52">
        <v>199.07539700000001</v>
      </c>
      <c r="D2782" s="25">
        <v>0.16458333333333333</v>
      </c>
      <c r="E2782" s="53">
        <v>-22.207381000000002</v>
      </c>
      <c r="F2782" s="53">
        <v>-47.394786000000003</v>
      </c>
      <c r="G2782" s="53">
        <v>-22.863769999999999</v>
      </c>
      <c r="H2782" s="53">
        <v>-47.136952999999998</v>
      </c>
      <c r="I2782" s="53">
        <v>-23.340634000000001</v>
      </c>
      <c r="J2782" s="53">
        <v>-46.819858000000004</v>
      </c>
      <c r="L2782" s="61" t="str">
        <f t="shared" si="44"/>
        <v>Cliente49-Cliente23</v>
      </c>
      <c r="M2782">
        <v>199.07539700000001</v>
      </c>
    </row>
    <row r="2783" spans="1:13" x14ac:dyDescent="0.25">
      <c r="A2783" s="15" t="s">
        <v>4319</v>
      </c>
      <c r="B2783" s="15" t="s">
        <v>4294</v>
      </c>
      <c r="C2783" s="54">
        <v>200.05468099999999</v>
      </c>
      <c r="D2783" s="26">
        <v>0.16666666666666666</v>
      </c>
      <c r="E2783" s="55">
        <v>-22.221129999999999</v>
      </c>
      <c r="F2783" s="55">
        <v>-47.392149000000003</v>
      </c>
      <c r="G2783" s="55">
        <v>-22.864706999999999</v>
      </c>
      <c r="H2783" s="55">
        <v>-47.135399999999997</v>
      </c>
      <c r="I2783" s="55">
        <v>-23.348237000000001</v>
      </c>
      <c r="J2783" s="55">
        <v>-46.811998000000003</v>
      </c>
      <c r="L2783" s="61" t="str">
        <f t="shared" si="44"/>
        <v>Cliente49-Cliente24</v>
      </c>
      <c r="M2783">
        <v>200.05468099999999</v>
      </c>
    </row>
    <row r="2784" spans="1:13" x14ac:dyDescent="0.25">
      <c r="A2784" s="15" t="s">
        <v>4319</v>
      </c>
      <c r="B2784" s="15" t="s">
        <v>4295</v>
      </c>
      <c r="C2784" s="52">
        <v>202.875092</v>
      </c>
      <c r="D2784" s="25">
        <v>0.16874999999999998</v>
      </c>
      <c r="E2784" s="53">
        <v>-22.225524</v>
      </c>
      <c r="F2784" s="53">
        <v>-47.391761000000002</v>
      </c>
      <c r="G2784" s="53">
        <v>-22.868919000000002</v>
      </c>
      <c r="H2784" s="53">
        <v>-47.132246000000002</v>
      </c>
      <c r="I2784" s="53">
        <v>-23.351893</v>
      </c>
      <c r="J2784" s="53">
        <v>-46.798056000000003</v>
      </c>
      <c r="L2784" s="61" t="str">
        <f t="shared" si="44"/>
        <v>Cliente49-Cliente25</v>
      </c>
      <c r="M2784">
        <v>202.875092</v>
      </c>
    </row>
    <row r="2785" spans="1:13" x14ac:dyDescent="0.25">
      <c r="A2785" s="15" t="s">
        <v>4319</v>
      </c>
      <c r="B2785" s="15" t="s">
        <v>4296</v>
      </c>
      <c r="C2785" s="54">
        <v>194.53751199999999</v>
      </c>
      <c r="D2785" s="26">
        <v>0.15972222222222224</v>
      </c>
      <c r="E2785" s="55">
        <v>-22.189591</v>
      </c>
      <c r="F2785" s="55">
        <v>-47.398167999999998</v>
      </c>
      <c r="G2785" s="55">
        <v>-22.835854999999999</v>
      </c>
      <c r="H2785" s="55">
        <v>-47.174379999999999</v>
      </c>
      <c r="I2785" s="55">
        <v>-23.312888999999998</v>
      </c>
      <c r="J2785" s="55">
        <v>-46.825960000000002</v>
      </c>
      <c r="L2785" s="61" t="str">
        <f t="shared" si="44"/>
        <v>Cliente49-Cliente26</v>
      </c>
      <c r="M2785">
        <v>194.53751199999999</v>
      </c>
    </row>
    <row r="2786" spans="1:13" x14ac:dyDescent="0.25">
      <c r="A2786" s="15" t="s">
        <v>4319</v>
      </c>
      <c r="B2786" s="15" t="s">
        <v>4297</v>
      </c>
      <c r="C2786" s="52">
        <v>200.854388</v>
      </c>
      <c r="D2786" s="25">
        <v>0.1673611111111111</v>
      </c>
      <c r="E2786" s="53">
        <v>-22.222254</v>
      </c>
      <c r="F2786" s="53">
        <v>-47.391983000000003</v>
      </c>
      <c r="G2786" s="53">
        <v>-22.866720999999998</v>
      </c>
      <c r="H2786" s="53">
        <v>-47.133318000000003</v>
      </c>
      <c r="I2786" s="53">
        <v>-23.350614</v>
      </c>
      <c r="J2786" s="53">
        <v>-46.807232999999997</v>
      </c>
      <c r="L2786" s="61" t="str">
        <f t="shared" si="44"/>
        <v>Cliente49-Cliente27</v>
      </c>
      <c r="M2786">
        <v>200.854388</v>
      </c>
    </row>
    <row r="2787" spans="1:13" x14ac:dyDescent="0.25">
      <c r="A2787" s="15" t="s">
        <v>4319</v>
      </c>
      <c r="B2787" s="15" t="s">
        <v>4298</v>
      </c>
      <c r="C2787" s="54">
        <v>202.18598900000001</v>
      </c>
      <c r="D2787" s="26">
        <v>0.17361111111111113</v>
      </c>
      <c r="E2787" s="55">
        <v>-22.222254</v>
      </c>
      <c r="F2787" s="55">
        <v>-47.391983000000003</v>
      </c>
      <c r="G2787" s="55">
        <v>-22.866720999999998</v>
      </c>
      <c r="H2787" s="55">
        <v>-47.133318000000003</v>
      </c>
      <c r="I2787" s="55">
        <v>-23.350614</v>
      </c>
      <c r="J2787" s="55">
        <v>-46.807232999999997</v>
      </c>
      <c r="L2787" s="61" t="str">
        <f t="shared" si="44"/>
        <v>Cliente49-Cliente28</v>
      </c>
      <c r="M2787">
        <v>202.18598900000001</v>
      </c>
    </row>
    <row r="2788" spans="1:13" x14ac:dyDescent="0.25">
      <c r="A2788" s="15" t="s">
        <v>4319</v>
      </c>
      <c r="B2788" s="15" t="s">
        <v>4299</v>
      </c>
      <c r="C2788" s="52">
        <v>204.448407</v>
      </c>
      <c r="D2788" s="25">
        <v>0.17708333333333334</v>
      </c>
      <c r="E2788" s="53">
        <v>-22.231124000000001</v>
      </c>
      <c r="F2788" s="53">
        <v>-47.391402999999997</v>
      </c>
      <c r="G2788" s="53">
        <v>-22.883666999999999</v>
      </c>
      <c r="H2788" s="53">
        <v>-47.131027000000003</v>
      </c>
      <c r="I2788" s="53">
        <v>-23.358542</v>
      </c>
      <c r="J2788" s="53">
        <v>-46.785787999999997</v>
      </c>
      <c r="L2788" s="61" t="str">
        <f t="shared" si="44"/>
        <v>Cliente49-Cliente29</v>
      </c>
      <c r="M2788">
        <v>204.448407</v>
      </c>
    </row>
    <row r="2789" spans="1:13" x14ac:dyDescent="0.25">
      <c r="A2789" s="15" t="s">
        <v>4319</v>
      </c>
      <c r="B2789" s="15" t="s">
        <v>4300</v>
      </c>
      <c r="C2789" s="54">
        <v>208.507836</v>
      </c>
      <c r="D2789" s="26">
        <v>0.18611111111111112</v>
      </c>
      <c r="E2789" s="55">
        <v>-22.285178999999999</v>
      </c>
      <c r="F2789" s="55">
        <v>-47.393678000000001</v>
      </c>
      <c r="G2789" s="55">
        <v>-22.957585000000002</v>
      </c>
      <c r="H2789" s="55">
        <v>-47.125774999999997</v>
      </c>
      <c r="I2789" s="55">
        <v>-23.471758000000001</v>
      </c>
      <c r="J2789" s="55">
        <v>-46.748486999999997</v>
      </c>
      <c r="L2789" s="61" t="str">
        <f t="shared" si="44"/>
        <v>Cliente49-Cliente30</v>
      </c>
      <c r="M2789">
        <v>208.507836</v>
      </c>
    </row>
    <row r="2790" spans="1:13" x14ac:dyDescent="0.25">
      <c r="A2790" s="15" t="s">
        <v>4319</v>
      </c>
      <c r="B2790" s="15" t="s">
        <v>4301</v>
      </c>
      <c r="C2790" s="52">
        <v>199.81234499999999</v>
      </c>
      <c r="D2790" s="25">
        <v>0.17430555555555557</v>
      </c>
      <c r="E2790" s="53">
        <v>-22.257189</v>
      </c>
      <c r="F2790" s="53">
        <v>-47.390101999999999</v>
      </c>
      <c r="G2790" s="53">
        <v>-22.921543</v>
      </c>
      <c r="H2790" s="53">
        <v>-47.133260999999997</v>
      </c>
      <c r="I2790" s="53">
        <v>-23.407332</v>
      </c>
      <c r="J2790" s="53">
        <v>-46.767837999999998</v>
      </c>
      <c r="L2790" s="61" t="str">
        <f t="shared" si="44"/>
        <v>Cliente49-Cliente31</v>
      </c>
      <c r="M2790">
        <v>199.81234499999999</v>
      </c>
    </row>
    <row r="2791" spans="1:13" x14ac:dyDescent="0.25">
      <c r="A2791" s="15" t="s">
        <v>4319</v>
      </c>
      <c r="B2791" s="15" t="s">
        <v>4302</v>
      </c>
      <c r="C2791" s="54">
        <v>189.37390500000001</v>
      </c>
      <c r="D2791" s="26">
        <v>0.15833333333333333</v>
      </c>
      <c r="E2791" s="55">
        <v>-22.158808000000001</v>
      </c>
      <c r="F2791" s="55">
        <v>-47.399956000000003</v>
      </c>
      <c r="G2791" s="55">
        <v>-22.835279</v>
      </c>
      <c r="H2791" s="55">
        <v>-47.174928000000001</v>
      </c>
      <c r="I2791" s="55">
        <v>-23.310400999999999</v>
      </c>
      <c r="J2791" s="55">
        <v>-46.832205000000002</v>
      </c>
      <c r="L2791" s="61" t="str">
        <f t="shared" si="44"/>
        <v>Cliente49-Cliente32</v>
      </c>
      <c r="M2791">
        <v>189.37390500000001</v>
      </c>
    </row>
    <row r="2792" spans="1:13" x14ac:dyDescent="0.25">
      <c r="A2792" s="15" t="s">
        <v>4319</v>
      </c>
      <c r="B2792" s="15" t="s">
        <v>4303</v>
      </c>
      <c r="C2792" s="52">
        <v>202.53147300000001</v>
      </c>
      <c r="D2792" s="25">
        <v>0.17083333333333331</v>
      </c>
      <c r="E2792" s="53">
        <v>-22.221129999999999</v>
      </c>
      <c r="F2792" s="53">
        <v>-47.392149000000003</v>
      </c>
      <c r="G2792" s="53">
        <v>-22.864706999999999</v>
      </c>
      <c r="H2792" s="53">
        <v>-47.135399999999997</v>
      </c>
      <c r="I2792" s="53">
        <v>-23.348793000000001</v>
      </c>
      <c r="J2792" s="53">
        <v>-46.811292000000002</v>
      </c>
      <c r="L2792" s="61" t="str">
        <f t="shared" si="44"/>
        <v>Cliente49-Cliente33</v>
      </c>
      <c r="M2792">
        <v>202.53147300000001</v>
      </c>
    </row>
    <row r="2793" spans="1:13" x14ac:dyDescent="0.25">
      <c r="A2793" s="15" t="s">
        <v>4319</v>
      </c>
      <c r="B2793" s="15" t="s">
        <v>4304</v>
      </c>
      <c r="C2793" s="54">
        <v>190.03566699999999</v>
      </c>
      <c r="D2793" s="26">
        <v>0.17222222222222225</v>
      </c>
      <c r="E2793" s="55">
        <v>-22.376936000000001</v>
      </c>
      <c r="F2793" s="55">
        <v>-47.394509999999997</v>
      </c>
      <c r="G2793" s="55">
        <v>-23.039603</v>
      </c>
      <c r="H2793" s="55">
        <v>-47.067677000000003</v>
      </c>
      <c r="I2793" s="55">
        <v>-23.406345000000002</v>
      </c>
      <c r="J2793" s="55">
        <v>-46.865257</v>
      </c>
      <c r="L2793" s="61" t="str">
        <f t="shared" si="44"/>
        <v>Cliente49-Cliente34</v>
      </c>
      <c r="M2793">
        <v>190.03566699999999</v>
      </c>
    </row>
    <row r="2794" spans="1:13" x14ac:dyDescent="0.25">
      <c r="A2794" s="15" t="s">
        <v>4319</v>
      </c>
      <c r="B2794" s="15" t="s">
        <v>4305</v>
      </c>
      <c r="C2794" s="52">
        <v>187.00150400000001</v>
      </c>
      <c r="D2794" s="25">
        <v>0.16666666666666666</v>
      </c>
      <c r="E2794" s="53">
        <v>-22.332239999999999</v>
      </c>
      <c r="F2794" s="53">
        <v>-47.389189000000002</v>
      </c>
      <c r="G2794" s="53">
        <v>-22.97147</v>
      </c>
      <c r="H2794" s="53">
        <v>-47.116241000000002</v>
      </c>
      <c r="I2794" s="53">
        <v>-23.372792</v>
      </c>
      <c r="J2794" s="53">
        <v>-46.853659999999998</v>
      </c>
      <c r="L2794" s="61" t="str">
        <f t="shared" si="44"/>
        <v>Cliente49-Cliente35</v>
      </c>
      <c r="M2794">
        <v>187.00150400000001</v>
      </c>
    </row>
    <row r="2795" spans="1:13" x14ac:dyDescent="0.25">
      <c r="A2795" s="15" t="s">
        <v>4319</v>
      </c>
      <c r="B2795" s="15" t="s">
        <v>4306</v>
      </c>
      <c r="C2795" s="54">
        <v>68.840643</v>
      </c>
      <c r="D2795" s="26">
        <v>6.5277777777777782E-2</v>
      </c>
      <c r="E2795" s="55">
        <v>-21.212572000000002</v>
      </c>
      <c r="F2795" s="55">
        <v>-47.771695000000001</v>
      </c>
      <c r="G2795" s="55">
        <v>-21.756618</v>
      </c>
      <c r="H2795" s="55">
        <v>-47.902200999999998</v>
      </c>
      <c r="I2795" s="55">
        <v>-22.008744</v>
      </c>
      <c r="J2795" s="55">
        <v>-47.860852999999999</v>
      </c>
      <c r="L2795" s="61" t="str">
        <f t="shared" si="44"/>
        <v>Cliente49-Cliente36</v>
      </c>
      <c r="M2795">
        <v>68.840643</v>
      </c>
    </row>
    <row r="2796" spans="1:13" x14ac:dyDescent="0.25">
      <c r="A2796" s="15" t="s">
        <v>4319</v>
      </c>
      <c r="B2796" s="15" t="s">
        <v>4307</v>
      </c>
      <c r="C2796" s="52">
        <v>67.784930000000003</v>
      </c>
      <c r="D2796" s="25">
        <v>6.3194444444444442E-2</v>
      </c>
      <c r="E2796" s="53">
        <v>-21.209389999999999</v>
      </c>
      <c r="F2796" s="53">
        <v>-47.767437000000001</v>
      </c>
      <c r="G2796" s="53">
        <v>-21.608128000000001</v>
      </c>
      <c r="H2796" s="53">
        <v>-47.953910999999998</v>
      </c>
      <c r="I2796" s="53">
        <v>-21.990874999999999</v>
      </c>
      <c r="J2796" s="53">
        <v>-47.888981999999999</v>
      </c>
      <c r="L2796" s="61" t="str">
        <f t="shared" si="44"/>
        <v>Cliente49-Cliente37</v>
      </c>
      <c r="M2796">
        <v>67.784930000000003</v>
      </c>
    </row>
    <row r="2797" spans="1:13" x14ac:dyDescent="0.25">
      <c r="A2797" s="15" t="s">
        <v>4319</v>
      </c>
      <c r="B2797" s="15" t="s">
        <v>4308</v>
      </c>
      <c r="C2797" s="54">
        <v>66.435309000000004</v>
      </c>
      <c r="D2797" s="26">
        <v>6.1805555555555558E-2</v>
      </c>
      <c r="E2797" s="55">
        <v>-21.210203</v>
      </c>
      <c r="F2797" s="55">
        <v>-47.769095</v>
      </c>
      <c r="G2797" s="55">
        <v>-21.617037</v>
      </c>
      <c r="H2797" s="55">
        <v>-47.950840999999997</v>
      </c>
      <c r="I2797" s="55">
        <v>-21.990697999999998</v>
      </c>
      <c r="J2797" s="55">
        <v>-47.889983999999998</v>
      </c>
      <c r="L2797" s="61" t="str">
        <f t="shared" si="44"/>
        <v>Cliente49-Cliente38</v>
      </c>
      <c r="M2797">
        <v>66.435309000000004</v>
      </c>
    </row>
    <row r="2798" spans="1:13" x14ac:dyDescent="0.25">
      <c r="A2798" s="15" t="s">
        <v>4319</v>
      </c>
      <c r="B2798" s="15" t="s">
        <v>4309</v>
      </c>
      <c r="C2798" s="52">
        <v>272.07613099999998</v>
      </c>
      <c r="D2798" s="25">
        <v>0.22708333333333333</v>
      </c>
      <c r="E2798" s="53">
        <v>-22.035546</v>
      </c>
      <c r="F2798" s="53">
        <v>-47.078954000000003</v>
      </c>
      <c r="G2798" s="53">
        <v>-22.932604999999999</v>
      </c>
      <c r="H2798" s="53">
        <v>-46.933577</v>
      </c>
      <c r="I2798" s="53">
        <v>-23.173147</v>
      </c>
      <c r="J2798" s="53">
        <v>-46.276789000000001</v>
      </c>
      <c r="L2798" s="61" t="str">
        <f t="shared" si="44"/>
        <v>Cliente49-Cliente39</v>
      </c>
      <c r="M2798">
        <v>272.07613099999998</v>
      </c>
    </row>
    <row r="2799" spans="1:13" x14ac:dyDescent="0.25">
      <c r="A2799" s="15" t="s">
        <v>4319</v>
      </c>
      <c r="B2799" s="15" t="s">
        <v>4310</v>
      </c>
      <c r="C2799" s="54">
        <v>258.83840600000002</v>
      </c>
      <c r="D2799" s="26">
        <v>0.21597222222222223</v>
      </c>
      <c r="E2799" s="55">
        <v>-22.398820000000001</v>
      </c>
      <c r="F2799" s="55">
        <v>-47.389972999999998</v>
      </c>
      <c r="G2799" s="55">
        <v>-22.931801</v>
      </c>
      <c r="H2799" s="55">
        <v>-46.900883</v>
      </c>
      <c r="I2799" s="55">
        <v>-23.172194999999999</v>
      </c>
      <c r="J2799" s="55">
        <v>-46.246003000000002</v>
      </c>
      <c r="L2799" s="61" t="str">
        <f t="shared" si="44"/>
        <v>Cliente49-Cliente40</v>
      </c>
      <c r="M2799">
        <v>258.83840600000002</v>
      </c>
    </row>
    <row r="2800" spans="1:13" x14ac:dyDescent="0.25">
      <c r="A2800" s="15" t="s">
        <v>4319</v>
      </c>
      <c r="B2800" s="15" t="s">
        <v>4311</v>
      </c>
      <c r="C2800" s="52">
        <v>262.93138800000003</v>
      </c>
      <c r="D2800" s="25">
        <v>0.22152777777777777</v>
      </c>
      <c r="E2800" s="53">
        <v>-22.044654000000001</v>
      </c>
      <c r="F2800" s="53">
        <v>-47.033644000000002</v>
      </c>
      <c r="G2800" s="53">
        <v>-22.931660999999998</v>
      </c>
      <c r="H2800" s="53">
        <v>-46.920957999999999</v>
      </c>
      <c r="I2800" s="53">
        <v>-23.175757000000001</v>
      </c>
      <c r="J2800" s="53">
        <v>-46.254376999999998</v>
      </c>
      <c r="L2800" s="61" t="str">
        <f t="shared" si="44"/>
        <v>Cliente49-Cliente41</v>
      </c>
      <c r="M2800">
        <v>262.93138800000003</v>
      </c>
    </row>
    <row r="2801" spans="1:13" x14ac:dyDescent="0.25">
      <c r="A2801" s="15" t="s">
        <v>4319</v>
      </c>
      <c r="B2801" s="15" t="s">
        <v>4312</v>
      </c>
      <c r="C2801" s="54">
        <v>244.84447</v>
      </c>
      <c r="D2801" s="26">
        <v>0.19999999999999998</v>
      </c>
      <c r="E2801" s="55">
        <v>-22.346981</v>
      </c>
      <c r="F2801" s="55">
        <v>-47.394207999999999</v>
      </c>
      <c r="G2801" s="55">
        <v>-22.912618999999999</v>
      </c>
      <c r="H2801" s="55">
        <v>-46.950996000000004</v>
      </c>
      <c r="I2801" s="55">
        <v>-23.186128</v>
      </c>
      <c r="J2801" s="55">
        <v>-46.328819000000003</v>
      </c>
      <c r="L2801" s="61" t="str">
        <f t="shared" si="44"/>
        <v>Cliente49-Cliente42</v>
      </c>
      <c r="M2801">
        <v>244.84447</v>
      </c>
    </row>
    <row r="2802" spans="1:13" x14ac:dyDescent="0.25">
      <c r="A2802" s="15" t="s">
        <v>4319</v>
      </c>
      <c r="B2802" s="15" t="s">
        <v>4313</v>
      </c>
      <c r="C2802" s="52">
        <v>263.51858499999997</v>
      </c>
      <c r="D2802" s="25">
        <v>0.21875</v>
      </c>
      <c r="E2802" s="53">
        <v>-22.436715</v>
      </c>
      <c r="F2802" s="53">
        <v>-47.396081000000002</v>
      </c>
      <c r="G2802" s="53">
        <v>-22.952708999999999</v>
      </c>
      <c r="H2802" s="53">
        <v>-46.861837999999999</v>
      </c>
      <c r="I2802" s="53">
        <v>-23.187075</v>
      </c>
      <c r="J2802" s="53">
        <v>-46.197251000000001</v>
      </c>
      <c r="L2802" s="61" t="str">
        <f t="shared" si="44"/>
        <v>Cliente49-Cliente43</v>
      </c>
      <c r="M2802">
        <v>263.51858499999997</v>
      </c>
    </row>
    <row r="2803" spans="1:13" x14ac:dyDescent="0.25">
      <c r="A2803" s="15" t="s">
        <v>4319</v>
      </c>
      <c r="B2803" s="15" t="s">
        <v>4314</v>
      </c>
      <c r="C2803" s="54">
        <v>198.47018</v>
      </c>
      <c r="D2803" s="26">
        <v>0.16458333333333333</v>
      </c>
      <c r="E2803" s="55">
        <v>-21.954602999999999</v>
      </c>
      <c r="F2803" s="55">
        <v>-47.460752999999997</v>
      </c>
      <c r="G2803" s="55">
        <v>-22.696010999999999</v>
      </c>
      <c r="H2803" s="55">
        <v>-47.310082999999999</v>
      </c>
      <c r="I2803" s="55">
        <v>-23.175877</v>
      </c>
      <c r="J2803" s="55">
        <v>-47.272165999999999</v>
      </c>
      <c r="L2803" s="61" t="str">
        <f t="shared" si="44"/>
        <v>Cliente49-Cliente44</v>
      </c>
      <c r="M2803">
        <v>198.47018</v>
      </c>
    </row>
    <row r="2804" spans="1:13" x14ac:dyDescent="0.25">
      <c r="A2804" s="15" t="s">
        <v>4319</v>
      </c>
      <c r="B2804" s="15" t="s">
        <v>4315</v>
      </c>
      <c r="C2804" s="52">
        <v>202.76324500000001</v>
      </c>
      <c r="D2804" s="25">
        <v>0.17361111111111113</v>
      </c>
      <c r="E2804" s="53">
        <v>-22.006741000000002</v>
      </c>
      <c r="F2804" s="53">
        <v>-47.442942000000002</v>
      </c>
      <c r="G2804" s="53">
        <v>-22.752943999999999</v>
      </c>
      <c r="H2804" s="53">
        <v>-47.258844000000003</v>
      </c>
      <c r="I2804" s="53">
        <v>-23.239671999999999</v>
      </c>
      <c r="J2804" s="53">
        <v>-47.315823999999999</v>
      </c>
      <c r="L2804" s="61" t="str">
        <f t="shared" si="44"/>
        <v>Cliente49-Cliente45</v>
      </c>
      <c r="M2804">
        <v>202.76324500000001</v>
      </c>
    </row>
    <row r="2805" spans="1:13" x14ac:dyDescent="0.25">
      <c r="A2805" s="15" t="s">
        <v>4319</v>
      </c>
      <c r="B2805" s="15" t="s">
        <v>4316</v>
      </c>
      <c r="C2805" s="54">
        <v>200.870543</v>
      </c>
      <c r="D2805" s="26">
        <v>0.17013888888888887</v>
      </c>
      <c r="E2805" s="55">
        <v>-21.960885000000001</v>
      </c>
      <c r="F2805" s="55">
        <v>-47.458606000000003</v>
      </c>
      <c r="G2805" s="55">
        <v>-22.714618000000002</v>
      </c>
      <c r="H2805" s="55">
        <v>-47.296309999999998</v>
      </c>
      <c r="I2805" s="55">
        <v>-23.179438999999999</v>
      </c>
      <c r="J2805" s="55">
        <v>-47.298434999999998</v>
      </c>
      <c r="L2805" s="61" t="str">
        <f t="shared" si="44"/>
        <v>Cliente49-Cliente46</v>
      </c>
      <c r="M2805">
        <v>200.870543</v>
      </c>
    </row>
    <row r="2806" spans="1:13" x14ac:dyDescent="0.25">
      <c r="A2806" s="15" t="s">
        <v>4319</v>
      </c>
      <c r="B2806" s="15" t="s">
        <v>4317</v>
      </c>
      <c r="C2806" s="52">
        <v>5.0219339999999999</v>
      </c>
      <c r="D2806" s="25">
        <v>9.0277777777777787E-3</v>
      </c>
      <c r="E2806" s="53">
        <v>-21.183138</v>
      </c>
      <c r="F2806" s="53">
        <v>-47.786056000000002</v>
      </c>
      <c r="G2806" s="53">
        <v>-21.206954</v>
      </c>
      <c r="H2806" s="53">
        <v>-47.760326999999997</v>
      </c>
      <c r="I2806" s="53">
        <v>-21.200343</v>
      </c>
      <c r="J2806" s="53">
        <v>-47.757914</v>
      </c>
      <c r="L2806" s="61" t="str">
        <f t="shared" si="44"/>
        <v>Cliente49-Cliente47</v>
      </c>
      <c r="M2806">
        <v>5.0219339999999999</v>
      </c>
    </row>
    <row r="2807" spans="1:13" x14ac:dyDescent="0.25">
      <c r="A2807" s="15" t="s">
        <v>4319</v>
      </c>
      <c r="B2807" s="15" t="s">
        <v>4318</v>
      </c>
      <c r="C2807" s="54">
        <v>5.1455880000000001</v>
      </c>
      <c r="D2807" s="26">
        <v>1.1111111111111112E-2</v>
      </c>
      <c r="E2807" s="55">
        <v>-21.169029999999999</v>
      </c>
      <c r="F2807" s="55">
        <v>-47.811104999999998</v>
      </c>
      <c r="G2807" s="55">
        <v>-21.161653000000001</v>
      </c>
      <c r="H2807" s="55">
        <v>-47.816026000000001</v>
      </c>
      <c r="I2807" s="55">
        <v>-21.137795000000001</v>
      </c>
      <c r="J2807" s="55">
        <v>-47.802658999999998</v>
      </c>
      <c r="L2807" s="61" t="str">
        <f t="shared" si="44"/>
        <v>Cliente49-Cliente48</v>
      </c>
      <c r="M2807">
        <v>5.1455880000000001</v>
      </c>
    </row>
    <row r="2808" spans="1:13" x14ac:dyDescent="0.25">
      <c r="A2808" s="15" t="s">
        <v>4319</v>
      </c>
      <c r="B2808" s="15" t="s">
        <v>4319</v>
      </c>
      <c r="C2808" s="52">
        <v>0</v>
      </c>
      <c r="D2808" s="25">
        <v>0</v>
      </c>
      <c r="E2808" s="53">
        <f>'1. Locais'!D53</f>
        <v>-21.175160000000002</v>
      </c>
      <c r="F2808" s="53">
        <f>'1. Locais'!E53</f>
        <v>-47.794550000000001</v>
      </c>
      <c r="G2808" s="53">
        <f>'1. Locais'!D53</f>
        <v>-21.175160000000002</v>
      </c>
      <c r="H2808" s="53">
        <f>'1. Locais'!E53</f>
        <v>-47.794550000000001</v>
      </c>
      <c r="I2808" s="53">
        <f>'1. Locais'!D53</f>
        <v>-21.175160000000002</v>
      </c>
      <c r="J2808" s="53">
        <f>'1. Locais'!E53</f>
        <v>-47.794550000000001</v>
      </c>
      <c r="L2808" s="61" t="str">
        <f t="shared" si="44"/>
        <v>Cliente49-Cliente49</v>
      </c>
      <c r="M2808">
        <v>0</v>
      </c>
    </row>
    <row r="2809" spans="1:13" x14ac:dyDescent="0.25">
      <c r="A2809" s="15" t="s">
        <v>4319</v>
      </c>
      <c r="B2809" s="15" t="s">
        <v>4320</v>
      </c>
      <c r="C2809" s="54">
        <v>132.114407</v>
      </c>
      <c r="D2809" s="26">
        <v>0.125</v>
      </c>
      <c r="E2809" s="55">
        <v>-21.576974</v>
      </c>
      <c r="F2809" s="55">
        <v>-47.950180000000003</v>
      </c>
      <c r="G2809" s="55">
        <v>-21.988858</v>
      </c>
      <c r="H2809" s="55">
        <v>-48.375705000000004</v>
      </c>
      <c r="I2809" s="55">
        <v>-22.303045000000001</v>
      </c>
      <c r="J2809" s="55">
        <v>-48.583967999999999</v>
      </c>
      <c r="L2809" s="61" t="str">
        <f t="shared" si="44"/>
        <v>Cliente49-Cliente50</v>
      </c>
      <c r="M2809">
        <v>132.114407</v>
      </c>
    </row>
    <row r="2810" spans="1:13" x14ac:dyDescent="0.25">
      <c r="A2810" s="15" t="s">
        <v>4319</v>
      </c>
      <c r="B2810" s="15" t="s">
        <v>4321</v>
      </c>
      <c r="C2810" s="52">
        <v>131.93358799999999</v>
      </c>
      <c r="D2810" s="25">
        <v>0.12430555555555556</v>
      </c>
      <c r="E2810" s="53">
        <v>-21.571719000000002</v>
      </c>
      <c r="F2810" s="53">
        <v>-47.948977999999997</v>
      </c>
      <c r="G2810" s="53">
        <v>-21.866413000000001</v>
      </c>
      <c r="H2810" s="53">
        <v>-48.275868000000003</v>
      </c>
      <c r="I2810" s="53">
        <v>-22.301746000000001</v>
      </c>
      <c r="J2810" s="53">
        <v>-48.576095000000002</v>
      </c>
      <c r="L2810" s="61" t="str">
        <f t="shared" si="44"/>
        <v>Cliente49-Cliente51</v>
      </c>
      <c r="M2810">
        <v>131.93358799999999</v>
      </c>
    </row>
    <row r="2811" spans="1:13" x14ac:dyDescent="0.25">
      <c r="A2811" s="15" t="s">
        <v>4320</v>
      </c>
      <c r="B2811" s="15" t="s">
        <v>4268</v>
      </c>
      <c r="C2811" s="54">
        <v>156.21932000000001</v>
      </c>
      <c r="D2811" s="26">
        <v>0.13194444444444445</v>
      </c>
      <c r="E2811" s="55">
        <v>-22.855307</v>
      </c>
      <c r="F2811" s="55">
        <v>-48.493122999999997</v>
      </c>
      <c r="G2811" s="55">
        <v>-23.194118</v>
      </c>
      <c r="H2811" s="55">
        <v>-48.234079999999999</v>
      </c>
      <c r="I2811" s="55">
        <v>-23.227822</v>
      </c>
      <c r="J2811" s="55">
        <v>-47.566107000000002</v>
      </c>
      <c r="L2811" s="61" t="str">
        <f t="shared" si="44"/>
        <v>Cliente50-depósito A</v>
      </c>
      <c r="M2811">
        <v>156.21932000000001</v>
      </c>
    </row>
    <row r="2812" spans="1:13" x14ac:dyDescent="0.25">
      <c r="A2812" s="15" t="s">
        <v>4320</v>
      </c>
      <c r="B2812" s="15" t="s">
        <v>4269</v>
      </c>
      <c r="C2812" s="52">
        <v>81.116483000000002</v>
      </c>
      <c r="D2812" s="25">
        <v>7.2916666666666671E-2</v>
      </c>
      <c r="E2812" s="53">
        <v>-22.328799</v>
      </c>
      <c r="F2812" s="53">
        <v>-48.930109999999999</v>
      </c>
      <c r="G2812" s="53">
        <v>-22.281742000000001</v>
      </c>
      <c r="H2812" s="53">
        <v>-48.569192000000001</v>
      </c>
      <c r="I2812" s="53">
        <v>-22.094473000000001</v>
      </c>
      <c r="J2812" s="53">
        <v>-48.451968999999998</v>
      </c>
      <c r="L2812" s="61" t="str">
        <f t="shared" si="44"/>
        <v>Cliente50-depósito B</v>
      </c>
      <c r="M2812">
        <v>81.116483000000002</v>
      </c>
    </row>
    <row r="2813" spans="1:13" x14ac:dyDescent="0.25">
      <c r="A2813" s="15" t="s">
        <v>4320</v>
      </c>
      <c r="B2813" s="15" t="s">
        <v>4270</v>
      </c>
      <c r="C2813" s="54">
        <v>249.48985300000001</v>
      </c>
      <c r="D2813" s="26">
        <v>0.20416666666666669</v>
      </c>
      <c r="E2813" s="55">
        <v>-23.095065000000002</v>
      </c>
      <c r="F2813" s="55">
        <v>-48.505927999999997</v>
      </c>
      <c r="G2813" s="55">
        <v>-23.418710000000001</v>
      </c>
      <c r="H2813" s="55">
        <v>-47.218232999999998</v>
      </c>
      <c r="I2813" s="55">
        <v>-23.523378999999998</v>
      </c>
      <c r="J2813" s="55">
        <v>-46.611517999999997</v>
      </c>
      <c r="L2813" s="61" t="str">
        <f t="shared" si="44"/>
        <v>Cliente50-depósito C</v>
      </c>
      <c r="M2813">
        <v>249.48985300000001</v>
      </c>
    </row>
    <row r="2814" spans="1:13" x14ac:dyDescent="0.25">
      <c r="A2814" s="15" t="s">
        <v>4320</v>
      </c>
      <c r="B2814" s="15" t="s">
        <v>4271</v>
      </c>
      <c r="C2814" s="52">
        <v>172.20972599999999</v>
      </c>
      <c r="D2814" s="25">
        <v>0.14375000000000002</v>
      </c>
      <c r="E2814" s="53">
        <v>-22.247402000000001</v>
      </c>
      <c r="F2814" s="53">
        <v>-48.352432</v>
      </c>
      <c r="G2814" s="53">
        <v>-22.274621</v>
      </c>
      <c r="H2814" s="53">
        <v>-47.698265999999997</v>
      </c>
      <c r="I2814" s="53">
        <v>-22.675504</v>
      </c>
      <c r="J2814" s="53">
        <v>-47.311121999999997</v>
      </c>
      <c r="L2814" s="61" t="str">
        <f t="shared" si="44"/>
        <v>Cliente50-Cliente1</v>
      </c>
      <c r="M2814">
        <v>172.20972599999999</v>
      </c>
    </row>
    <row r="2815" spans="1:13" x14ac:dyDescent="0.25">
      <c r="A2815" s="15" t="s">
        <v>4320</v>
      </c>
      <c r="B2815" s="15" t="s">
        <v>4272</v>
      </c>
      <c r="C2815" s="54">
        <v>165.56663</v>
      </c>
      <c r="D2815" s="26">
        <v>0.13958333333333334</v>
      </c>
      <c r="E2815" s="55">
        <v>-22.247402000000001</v>
      </c>
      <c r="F2815" s="55">
        <v>-48.352432</v>
      </c>
      <c r="G2815" s="55">
        <v>-22.274621</v>
      </c>
      <c r="H2815" s="55">
        <v>-47.698265999999997</v>
      </c>
      <c r="I2815" s="55">
        <v>-22.675504</v>
      </c>
      <c r="J2815" s="55">
        <v>-47.311121999999997</v>
      </c>
      <c r="L2815" s="61" t="str">
        <f t="shared" si="44"/>
        <v>Cliente50-Cliente2</v>
      </c>
      <c r="M2815">
        <v>165.56663</v>
      </c>
    </row>
    <row r="2816" spans="1:13" x14ac:dyDescent="0.25">
      <c r="A2816" s="15" t="s">
        <v>4320</v>
      </c>
      <c r="B2816" s="15" t="s">
        <v>4273</v>
      </c>
      <c r="C2816" s="52">
        <v>167.121926</v>
      </c>
      <c r="D2816" s="25">
        <v>0.14305555555555557</v>
      </c>
      <c r="E2816" s="53">
        <v>-22.248754000000002</v>
      </c>
      <c r="F2816" s="53">
        <v>-48.346488999999998</v>
      </c>
      <c r="G2816" s="53">
        <v>-22.279218</v>
      </c>
      <c r="H2816" s="53">
        <v>-47.684027</v>
      </c>
      <c r="I2816" s="53">
        <v>-22.741444000000001</v>
      </c>
      <c r="J2816" s="53">
        <v>-47.271141</v>
      </c>
      <c r="L2816" s="61" t="str">
        <f t="shared" si="44"/>
        <v>Cliente50-Cliente3</v>
      </c>
      <c r="M2816">
        <v>167.121926</v>
      </c>
    </row>
    <row r="2817" spans="1:13" x14ac:dyDescent="0.25">
      <c r="A2817" s="15" t="s">
        <v>4320</v>
      </c>
      <c r="B2817" s="15" t="s">
        <v>4274</v>
      </c>
      <c r="C2817" s="54">
        <v>164.10205400000001</v>
      </c>
      <c r="D2817" s="26">
        <v>0.13680555555555554</v>
      </c>
      <c r="E2817" s="55">
        <v>-22.256055</v>
      </c>
      <c r="F2817" s="55">
        <v>-48.364564999999999</v>
      </c>
      <c r="G2817" s="55">
        <v>-22.220594999999999</v>
      </c>
      <c r="H2817" s="55">
        <v>-47.763091000000003</v>
      </c>
      <c r="I2817" s="55">
        <v>-22.563873000000001</v>
      </c>
      <c r="J2817" s="55">
        <v>-47.365864000000002</v>
      </c>
      <c r="L2817" s="61" t="str">
        <f t="shared" si="44"/>
        <v>Cliente50-Cliente4</v>
      </c>
      <c r="M2817">
        <v>164.10205400000001</v>
      </c>
    </row>
    <row r="2818" spans="1:13" x14ac:dyDescent="0.25">
      <c r="A2818" s="15" t="s">
        <v>4320</v>
      </c>
      <c r="B2818" s="15" t="s">
        <v>4275</v>
      </c>
      <c r="C2818" s="52">
        <v>164.19525999999999</v>
      </c>
      <c r="D2818" s="25">
        <v>0.13680555555555554</v>
      </c>
      <c r="E2818" s="53">
        <v>-22.256747000000001</v>
      </c>
      <c r="F2818" s="53">
        <v>-48.365307999999999</v>
      </c>
      <c r="G2818" s="53">
        <v>-22.219201000000002</v>
      </c>
      <c r="H2818" s="53">
        <v>-47.764710000000001</v>
      </c>
      <c r="I2818" s="53">
        <v>-22.560168000000001</v>
      </c>
      <c r="J2818" s="53">
        <v>-47.366624999999999</v>
      </c>
      <c r="L2818" s="61" t="str">
        <f t="shared" si="44"/>
        <v>Cliente50-Cliente5</v>
      </c>
      <c r="M2818">
        <v>164.19525999999999</v>
      </c>
    </row>
    <row r="2819" spans="1:13" x14ac:dyDescent="0.25">
      <c r="A2819" s="15" t="s">
        <v>4320</v>
      </c>
      <c r="B2819" s="15" t="s">
        <v>4276</v>
      </c>
      <c r="C2819" s="54">
        <v>172.90069199999999</v>
      </c>
      <c r="D2819" s="26">
        <v>0.14375000000000002</v>
      </c>
      <c r="E2819" s="55">
        <v>-22.247230999999999</v>
      </c>
      <c r="F2819" s="55">
        <v>-48.352221999999998</v>
      </c>
      <c r="G2819" s="55">
        <v>-22.275521000000001</v>
      </c>
      <c r="H2819" s="55">
        <v>-47.697125</v>
      </c>
      <c r="I2819" s="55">
        <v>-22.692126999999999</v>
      </c>
      <c r="J2819" s="55">
        <v>-47.311219000000001</v>
      </c>
      <c r="L2819" s="61" t="str">
        <f t="shared" si="44"/>
        <v>Cliente50-Cliente6</v>
      </c>
      <c r="M2819">
        <v>172.90069199999999</v>
      </c>
    </row>
    <row r="2820" spans="1:13" x14ac:dyDescent="0.25">
      <c r="A2820" s="15" t="s">
        <v>4320</v>
      </c>
      <c r="B2820" s="15" t="s">
        <v>4277</v>
      </c>
      <c r="C2820" s="52">
        <v>166.37503599999999</v>
      </c>
      <c r="D2820" s="25">
        <v>0.13819444444444443</v>
      </c>
      <c r="E2820" s="53">
        <v>-22.249772</v>
      </c>
      <c r="F2820" s="53">
        <v>-48.358905</v>
      </c>
      <c r="G2820" s="53">
        <v>-22.250388999999998</v>
      </c>
      <c r="H2820" s="53">
        <v>-47.703929000000002</v>
      </c>
      <c r="I2820" s="53">
        <v>-22.613568000000001</v>
      </c>
      <c r="J2820" s="53">
        <v>-47.352915000000003</v>
      </c>
      <c r="L2820" s="61" t="str">
        <f t="shared" si="44"/>
        <v>Cliente50-Cliente7</v>
      </c>
      <c r="M2820">
        <v>166.37503599999999</v>
      </c>
    </row>
    <row r="2821" spans="1:13" x14ac:dyDescent="0.25">
      <c r="A2821" s="15" t="s">
        <v>4320</v>
      </c>
      <c r="B2821" s="15" t="s">
        <v>4278</v>
      </c>
      <c r="C2821" s="54">
        <v>173.93900600000001</v>
      </c>
      <c r="D2821" s="26">
        <v>0.1451388888888889</v>
      </c>
      <c r="E2821" s="55">
        <v>-22.247402000000001</v>
      </c>
      <c r="F2821" s="55">
        <v>-48.352432</v>
      </c>
      <c r="G2821" s="55">
        <v>-22.274621</v>
      </c>
      <c r="H2821" s="55">
        <v>-47.698265999999997</v>
      </c>
      <c r="I2821" s="55">
        <v>-22.675504</v>
      </c>
      <c r="J2821" s="55">
        <v>-47.311121999999997</v>
      </c>
      <c r="L2821" s="61" t="str">
        <f t="shared" si="44"/>
        <v>Cliente50-Cliente8</v>
      </c>
      <c r="M2821">
        <v>173.93900600000001</v>
      </c>
    </row>
    <row r="2822" spans="1:13" x14ac:dyDescent="0.25">
      <c r="A2822" s="15" t="s">
        <v>4320</v>
      </c>
      <c r="B2822" s="15" t="s">
        <v>4279</v>
      </c>
      <c r="C2822" s="52">
        <v>145.749189</v>
      </c>
      <c r="D2822" s="25">
        <v>0.12152777777777778</v>
      </c>
      <c r="E2822" s="53">
        <v>-22.271266000000001</v>
      </c>
      <c r="F2822" s="53">
        <v>-48.471415</v>
      </c>
      <c r="G2822" s="53">
        <v>-22.274339000000001</v>
      </c>
      <c r="H2822" s="53">
        <v>-47.946365999999998</v>
      </c>
      <c r="I2822" s="53">
        <v>-22.436142</v>
      </c>
      <c r="J2822" s="53">
        <v>-47.569526000000003</v>
      </c>
      <c r="L2822" s="61" t="str">
        <f t="shared" si="44"/>
        <v>Cliente50-Cliente9</v>
      </c>
      <c r="M2822">
        <v>145.749189</v>
      </c>
    </row>
    <row r="2823" spans="1:13" x14ac:dyDescent="0.25">
      <c r="A2823" s="15" t="s">
        <v>4320</v>
      </c>
      <c r="B2823" s="15" t="s">
        <v>4280</v>
      </c>
      <c r="C2823" s="54">
        <v>203.24356599999999</v>
      </c>
      <c r="D2823" s="26">
        <v>0.17013888888888887</v>
      </c>
      <c r="E2823" s="55">
        <v>-22.929275000000001</v>
      </c>
      <c r="F2823" s="55">
        <v>-48.471521000000003</v>
      </c>
      <c r="G2823" s="55">
        <v>-23.295788000000002</v>
      </c>
      <c r="H2823" s="55">
        <v>-47.711630999999997</v>
      </c>
      <c r="I2823" s="55">
        <v>-23.507238999999998</v>
      </c>
      <c r="J2823" s="55">
        <v>-46.976838000000001</v>
      </c>
      <c r="L2823" s="61" t="str">
        <f t="shared" si="44"/>
        <v>Cliente50-Cliente10</v>
      </c>
      <c r="M2823">
        <v>203.24356599999999</v>
      </c>
    </row>
    <row r="2824" spans="1:13" x14ac:dyDescent="0.25">
      <c r="A2824" s="15" t="s">
        <v>4320</v>
      </c>
      <c r="B2824" s="15" t="s">
        <v>4281</v>
      </c>
      <c r="C2824" s="52">
        <v>138.001914</v>
      </c>
      <c r="D2824" s="25">
        <v>0.11388888888888889</v>
      </c>
      <c r="E2824" s="53">
        <v>-22.257792999999999</v>
      </c>
      <c r="F2824" s="53">
        <v>-48.547778999999998</v>
      </c>
      <c r="G2824" s="53">
        <v>-22.281938</v>
      </c>
      <c r="H2824" s="53">
        <v>-47.988979</v>
      </c>
      <c r="I2824" s="53">
        <v>-22.344002</v>
      </c>
      <c r="J2824" s="53">
        <v>-47.651662999999999</v>
      </c>
      <c r="L2824" s="61" t="str">
        <f t="shared" si="44"/>
        <v>Cliente50-Cliente11</v>
      </c>
      <c r="M2824">
        <v>138.001914</v>
      </c>
    </row>
    <row r="2825" spans="1:13" x14ac:dyDescent="0.25">
      <c r="A2825" s="15" t="s">
        <v>4320</v>
      </c>
      <c r="B2825" s="15" t="s">
        <v>4282</v>
      </c>
      <c r="C2825" s="54">
        <v>248.53107499999999</v>
      </c>
      <c r="D2825" s="26">
        <v>0.20416666666666669</v>
      </c>
      <c r="E2825" s="55">
        <v>-23.099163999999998</v>
      </c>
      <c r="F2825" s="55">
        <v>-48.507314999999998</v>
      </c>
      <c r="G2825" s="55">
        <v>-23.423883</v>
      </c>
      <c r="H2825" s="55">
        <v>-47.149203999999997</v>
      </c>
      <c r="I2825" s="55" t="s">
        <v>7288</v>
      </c>
      <c r="J2825" s="55">
        <v>-46.605279000000003</v>
      </c>
      <c r="L2825" s="61" t="str">
        <f t="shared" si="44"/>
        <v>Cliente50-Cliente12</v>
      </c>
      <c r="M2825">
        <v>248.53107499999999</v>
      </c>
    </row>
    <row r="2826" spans="1:13" x14ac:dyDescent="0.25">
      <c r="A2826" s="15" t="s">
        <v>4320</v>
      </c>
      <c r="B2826" s="15" t="s">
        <v>4283</v>
      </c>
      <c r="C2826" s="52">
        <v>257.96226999999999</v>
      </c>
      <c r="D2826" s="25">
        <v>0.21041666666666667</v>
      </c>
      <c r="E2826" s="53">
        <v>-22.260743999999999</v>
      </c>
      <c r="F2826" s="53">
        <v>-47.881681999999998</v>
      </c>
      <c r="G2826" s="53">
        <v>-22.830970000000001</v>
      </c>
      <c r="H2826" s="53">
        <v>-47.179108999999997</v>
      </c>
      <c r="I2826" s="53">
        <v>-23.178412000000002</v>
      </c>
      <c r="J2826" s="53">
        <v>-46.378224000000003</v>
      </c>
      <c r="L2826" s="61" t="str">
        <f t="shared" si="44"/>
        <v>Cliente50-Cliente13</v>
      </c>
      <c r="M2826">
        <v>257.96226999999999</v>
      </c>
    </row>
    <row r="2827" spans="1:13" x14ac:dyDescent="0.25">
      <c r="A2827" s="15" t="s">
        <v>4320</v>
      </c>
      <c r="B2827" s="15" t="s">
        <v>4284</v>
      </c>
      <c r="C2827" s="54">
        <v>254.47761199999999</v>
      </c>
      <c r="D2827" s="26">
        <v>0.20694444444444446</v>
      </c>
      <c r="E2827" s="55">
        <v>-23.093</v>
      </c>
      <c r="F2827" s="55">
        <v>-48.505690000000001</v>
      </c>
      <c r="G2827" s="55">
        <v>-23.423088</v>
      </c>
      <c r="H2827" s="55">
        <v>-47.236001000000002</v>
      </c>
      <c r="I2827" s="55">
        <v>-23.520129000000001</v>
      </c>
      <c r="J2827" s="55">
        <v>-46.616250999999998</v>
      </c>
      <c r="L2827" s="61" t="str">
        <f t="shared" si="44"/>
        <v>Cliente50-Cliente14</v>
      </c>
      <c r="M2827">
        <v>254.47761199999999</v>
      </c>
    </row>
    <row r="2828" spans="1:13" x14ac:dyDescent="0.25">
      <c r="A2828" s="15" t="s">
        <v>4320</v>
      </c>
      <c r="B2828" s="15" t="s">
        <v>4285</v>
      </c>
      <c r="C2828" s="52">
        <v>258.21019799999999</v>
      </c>
      <c r="D2828" s="25">
        <v>0.21527777777777779</v>
      </c>
      <c r="E2828" s="53">
        <v>-23.135193999999998</v>
      </c>
      <c r="F2828" s="53">
        <v>-48.456868</v>
      </c>
      <c r="G2828" s="53">
        <v>-23.438365999999998</v>
      </c>
      <c r="H2828" s="53">
        <v>-47.067374999999998</v>
      </c>
      <c r="I2828" s="53">
        <v>-23.403594999999999</v>
      </c>
      <c r="J2828" s="53">
        <v>-46.330831000000003</v>
      </c>
      <c r="L2828" s="61" t="str">
        <f t="shared" si="44"/>
        <v>Cliente50-Cliente15</v>
      </c>
      <c r="M2828">
        <v>258.21019799999999</v>
      </c>
    </row>
    <row r="2829" spans="1:13" x14ac:dyDescent="0.25">
      <c r="A2829" s="15" t="s">
        <v>4320</v>
      </c>
      <c r="B2829" s="15" t="s">
        <v>4286</v>
      </c>
      <c r="C2829" s="54">
        <v>255.786844</v>
      </c>
      <c r="D2829" s="26">
        <v>0.21111111111111111</v>
      </c>
      <c r="E2829" s="55">
        <v>-23.110287</v>
      </c>
      <c r="F2829" s="55">
        <v>-48.500718999999997</v>
      </c>
      <c r="G2829" s="55">
        <v>-23.433992</v>
      </c>
      <c r="H2829" s="55">
        <v>-47.123097000000001</v>
      </c>
      <c r="I2829" s="55">
        <v>-23.481570000000001</v>
      </c>
      <c r="J2829" s="55">
        <v>-46.534331999999999</v>
      </c>
      <c r="L2829" s="61" t="str">
        <f t="shared" si="44"/>
        <v>Cliente50-Cliente16</v>
      </c>
      <c r="M2829">
        <v>255.786844</v>
      </c>
    </row>
    <row r="2830" spans="1:13" x14ac:dyDescent="0.25">
      <c r="A2830" s="15" t="s">
        <v>4320</v>
      </c>
      <c r="B2830" s="15" t="s">
        <v>4287</v>
      </c>
      <c r="C2830" s="52">
        <v>258.38977499999999</v>
      </c>
      <c r="D2830" s="25">
        <v>0.21041666666666667</v>
      </c>
      <c r="E2830" s="53">
        <v>-22.260743999999999</v>
      </c>
      <c r="F2830" s="53">
        <v>-47.881681999999998</v>
      </c>
      <c r="G2830" s="53">
        <v>-22.830970000000001</v>
      </c>
      <c r="H2830" s="53">
        <v>-47.179108999999997</v>
      </c>
      <c r="I2830" s="53">
        <v>-23.178412000000002</v>
      </c>
      <c r="J2830" s="53">
        <v>-46.378224000000003</v>
      </c>
      <c r="L2830" s="61" t="str">
        <f t="shared" si="44"/>
        <v>Cliente50-Cliente17</v>
      </c>
      <c r="M2830">
        <v>258.38977499999999</v>
      </c>
    </row>
    <row r="2831" spans="1:13" x14ac:dyDescent="0.25">
      <c r="A2831" s="15" t="s">
        <v>4320</v>
      </c>
      <c r="B2831" s="15" t="s">
        <v>4288</v>
      </c>
      <c r="C2831" s="54">
        <v>263.21784100000002</v>
      </c>
      <c r="D2831" s="26">
        <v>0.21527777777777779</v>
      </c>
      <c r="E2831" s="55">
        <v>-22.264139</v>
      </c>
      <c r="F2831" s="55">
        <v>-47.905425000000001</v>
      </c>
      <c r="G2831" s="55">
        <v>-22.814119000000002</v>
      </c>
      <c r="H2831" s="55">
        <v>-47.208675999999997</v>
      </c>
      <c r="I2831" s="55">
        <v>-23.170774000000002</v>
      </c>
      <c r="J2831" s="55">
        <v>-46.390999000000001</v>
      </c>
      <c r="L2831" s="61" t="str">
        <f t="shared" si="44"/>
        <v>Cliente50-Cliente18</v>
      </c>
      <c r="M2831">
        <v>263.21784100000002</v>
      </c>
    </row>
    <row r="2832" spans="1:13" x14ac:dyDescent="0.25">
      <c r="A2832" s="15" t="s">
        <v>4320</v>
      </c>
      <c r="B2832" s="15" t="s">
        <v>4289</v>
      </c>
      <c r="C2832" s="52">
        <v>200.043496</v>
      </c>
      <c r="D2832" s="25">
        <v>0.16111111111111112</v>
      </c>
      <c r="E2832" s="53">
        <v>-22.902274999999999</v>
      </c>
      <c r="F2832" s="53">
        <v>-48.455283999999999</v>
      </c>
      <c r="G2832" s="53">
        <v>-23.259936</v>
      </c>
      <c r="H2832" s="53">
        <v>-47.854567000000003</v>
      </c>
      <c r="I2832" s="53">
        <v>-23.440401999999999</v>
      </c>
      <c r="J2832" s="53">
        <v>-47.064495000000001</v>
      </c>
      <c r="L2832" s="61" t="str">
        <f t="shared" si="44"/>
        <v>Cliente50-Cliente19</v>
      </c>
      <c r="M2832">
        <v>200.043496</v>
      </c>
    </row>
    <row r="2833" spans="1:13" x14ac:dyDescent="0.25">
      <c r="A2833" s="15" t="s">
        <v>4320</v>
      </c>
      <c r="B2833" s="15" t="s">
        <v>4290</v>
      </c>
      <c r="C2833" s="54">
        <v>196.560081</v>
      </c>
      <c r="D2833" s="26">
        <v>0.15902777777777777</v>
      </c>
      <c r="E2833" s="55">
        <v>-22.884747999999998</v>
      </c>
      <c r="F2833" s="55">
        <v>-48.461787000000001</v>
      </c>
      <c r="G2833" s="55" t="s">
        <v>7289</v>
      </c>
      <c r="H2833" s="55">
        <v>-48.147584000000002</v>
      </c>
      <c r="I2833" s="55">
        <v>-23.438727</v>
      </c>
      <c r="J2833" s="55">
        <v>-47.114165999999997</v>
      </c>
      <c r="L2833" s="61" t="str">
        <f t="shared" si="44"/>
        <v>Cliente50-Cliente20</v>
      </c>
      <c r="M2833">
        <v>196.560081</v>
      </c>
    </row>
    <row r="2834" spans="1:13" x14ac:dyDescent="0.25">
      <c r="A2834" s="15" t="s">
        <v>4320</v>
      </c>
      <c r="B2834" s="15" t="s">
        <v>4291</v>
      </c>
      <c r="C2834" s="52">
        <v>197.10253900000001</v>
      </c>
      <c r="D2834" s="25">
        <v>0.15902777777777777</v>
      </c>
      <c r="E2834" s="53">
        <v>-22.886900000000001</v>
      </c>
      <c r="F2834" s="53">
        <v>-48.459547999999998</v>
      </c>
      <c r="G2834" s="53">
        <v>-23.246105</v>
      </c>
      <c r="H2834" s="53">
        <v>-48.050141000000004</v>
      </c>
      <c r="I2834" s="53">
        <v>-23.436395999999998</v>
      </c>
      <c r="J2834" s="53">
        <v>-47.076810000000002</v>
      </c>
      <c r="L2834" s="61" t="str">
        <f t="shared" ref="L2834:L2897" si="45">_xlfn.CONCAT(A2834,"-",B2834)</f>
        <v>Cliente50-Cliente21</v>
      </c>
      <c r="M2834">
        <v>197.10253900000001</v>
      </c>
    </row>
    <row r="2835" spans="1:13" x14ac:dyDescent="0.25">
      <c r="A2835" s="15" t="s">
        <v>4320</v>
      </c>
      <c r="B2835" s="15" t="s">
        <v>4292</v>
      </c>
      <c r="C2835" s="54">
        <v>198.36579</v>
      </c>
      <c r="D2835" s="26">
        <v>0.16250000000000001</v>
      </c>
      <c r="E2835" s="55">
        <v>-22.907454000000001</v>
      </c>
      <c r="F2835" s="55">
        <v>-48.456066999999997</v>
      </c>
      <c r="G2835" s="55">
        <v>-23.274083000000001</v>
      </c>
      <c r="H2835" s="55">
        <v>-47.828597000000002</v>
      </c>
      <c r="I2835" s="55">
        <v>-23.463502999999999</v>
      </c>
      <c r="J2835" s="55">
        <v>-47.031528999999999</v>
      </c>
      <c r="L2835" s="61" t="str">
        <f t="shared" si="45"/>
        <v>Cliente50-Cliente22</v>
      </c>
      <c r="M2835">
        <v>198.36579</v>
      </c>
    </row>
    <row r="2836" spans="1:13" x14ac:dyDescent="0.25">
      <c r="A2836" s="15" t="s">
        <v>4320</v>
      </c>
      <c r="B2836" s="15" t="s">
        <v>4293</v>
      </c>
      <c r="C2836" s="52">
        <v>202.11018200000001</v>
      </c>
      <c r="D2836" s="25">
        <v>0.16458333333333333</v>
      </c>
      <c r="E2836" s="53">
        <v>-22.941573999999999</v>
      </c>
      <c r="F2836" s="53">
        <v>-48.477615999999998</v>
      </c>
      <c r="G2836" s="53">
        <v>-23.302197</v>
      </c>
      <c r="H2836" s="53">
        <v>-47.662967000000002</v>
      </c>
      <c r="I2836" s="53">
        <v>-23.516988000000001</v>
      </c>
      <c r="J2836" s="53">
        <v>-46.929679</v>
      </c>
      <c r="L2836" s="61" t="str">
        <f t="shared" si="45"/>
        <v>Cliente50-Cliente23</v>
      </c>
      <c r="M2836">
        <v>202.11018200000001</v>
      </c>
    </row>
    <row r="2837" spans="1:13" x14ac:dyDescent="0.25">
      <c r="A2837" s="15" t="s">
        <v>4320</v>
      </c>
      <c r="B2837" s="15" t="s">
        <v>4294</v>
      </c>
      <c r="C2837" s="54">
        <v>203.08946499999999</v>
      </c>
      <c r="D2837" s="26">
        <v>0.16666666666666666</v>
      </c>
      <c r="E2837" s="55">
        <v>-23.070262</v>
      </c>
      <c r="F2837" s="55">
        <v>-48.531444</v>
      </c>
      <c r="G2837" s="55">
        <v>-23.303920000000002</v>
      </c>
      <c r="H2837" s="55">
        <v>-47.659005999999998</v>
      </c>
      <c r="I2837" s="55">
        <v>-23.511438999999999</v>
      </c>
      <c r="J2837" s="55">
        <v>-46.915070999999998</v>
      </c>
      <c r="L2837" s="61" t="str">
        <f t="shared" si="45"/>
        <v>Cliente50-Cliente24</v>
      </c>
      <c r="M2837">
        <v>203.08946499999999</v>
      </c>
    </row>
    <row r="2838" spans="1:13" x14ac:dyDescent="0.25">
      <c r="A2838" s="15" t="s">
        <v>4320</v>
      </c>
      <c r="B2838" s="15" t="s">
        <v>4295</v>
      </c>
      <c r="C2838" s="52">
        <v>205.909876</v>
      </c>
      <c r="D2838" s="25">
        <v>0.16944444444444443</v>
      </c>
      <c r="E2838" s="53">
        <v>-23.070772999999999</v>
      </c>
      <c r="F2838" s="53">
        <v>-48.531654000000003</v>
      </c>
      <c r="G2838" s="53">
        <v>-23.312138000000001</v>
      </c>
      <c r="H2838" s="53">
        <v>-47.646306000000003</v>
      </c>
      <c r="I2838" s="53">
        <v>-23.505400000000002</v>
      </c>
      <c r="J2838" s="53">
        <v>-46.886744</v>
      </c>
      <c r="L2838" s="61" t="str">
        <f t="shared" si="45"/>
        <v>Cliente50-Cliente25</v>
      </c>
      <c r="M2838">
        <v>205.909876</v>
      </c>
    </row>
    <row r="2839" spans="1:13" x14ac:dyDescent="0.25">
      <c r="A2839" s="15" t="s">
        <v>4320</v>
      </c>
      <c r="B2839" s="15" t="s">
        <v>4296</v>
      </c>
      <c r="C2839" s="54">
        <v>197.57229699999999</v>
      </c>
      <c r="D2839" s="26">
        <v>0.15972222222222224</v>
      </c>
      <c r="E2839" s="55">
        <v>-22.929275000000001</v>
      </c>
      <c r="F2839" s="55">
        <v>-48.471521000000003</v>
      </c>
      <c r="G2839" s="55">
        <v>-23.295788000000002</v>
      </c>
      <c r="H2839" s="55">
        <v>-47.711630999999997</v>
      </c>
      <c r="I2839" s="55">
        <v>-23.507238999999998</v>
      </c>
      <c r="J2839" s="55">
        <v>-46.976838000000001</v>
      </c>
      <c r="L2839" s="61" t="str">
        <f t="shared" si="45"/>
        <v>Cliente50-Cliente26</v>
      </c>
      <c r="M2839">
        <v>197.57229699999999</v>
      </c>
    </row>
    <row r="2840" spans="1:13" x14ac:dyDescent="0.25">
      <c r="A2840" s="15" t="s">
        <v>4320</v>
      </c>
      <c r="B2840" s="15" t="s">
        <v>4297</v>
      </c>
      <c r="C2840" s="52">
        <v>203.889172</v>
      </c>
      <c r="D2840" s="25">
        <v>0.1673611111111111</v>
      </c>
      <c r="E2840" s="53">
        <v>-23.070772999999999</v>
      </c>
      <c r="F2840" s="53">
        <v>-48.531654000000003</v>
      </c>
      <c r="G2840" s="53">
        <v>-23.312138000000001</v>
      </c>
      <c r="H2840" s="53">
        <v>-47.646306000000003</v>
      </c>
      <c r="I2840" s="53">
        <v>-23.505400000000002</v>
      </c>
      <c r="J2840" s="53">
        <v>-46.886744</v>
      </c>
      <c r="L2840" s="61" t="str">
        <f t="shared" si="45"/>
        <v>Cliente50-Cliente27</v>
      </c>
      <c r="M2840">
        <v>203.889172</v>
      </c>
    </row>
    <row r="2841" spans="1:13" x14ac:dyDescent="0.25">
      <c r="A2841" s="15" t="s">
        <v>4320</v>
      </c>
      <c r="B2841" s="15" t="s">
        <v>4298</v>
      </c>
      <c r="C2841" s="54">
        <v>207.57266999999999</v>
      </c>
      <c r="D2841" s="26">
        <v>0.17500000000000002</v>
      </c>
      <c r="E2841" s="55">
        <v>-22.937947999999999</v>
      </c>
      <c r="F2841" s="55">
        <v>-48.476033999999999</v>
      </c>
      <c r="G2841" s="55">
        <v>-23.295521000000001</v>
      </c>
      <c r="H2841" s="55">
        <v>-47.687151</v>
      </c>
      <c r="I2841" s="55">
        <v>-23.51859</v>
      </c>
      <c r="J2841" s="55">
        <v>-46.940645000000004</v>
      </c>
      <c r="L2841" s="61" t="str">
        <f t="shared" si="45"/>
        <v>Cliente50-Cliente28</v>
      </c>
      <c r="M2841">
        <v>207.57266999999999</v>
      </c>
    </row>
    <row r="2842" spans="1:13" x14ac:dyDescent="0.25">
      <c r="A2842" s="15" t="s">
        <v>4320</v>
      </c>
      <c r="B2842" s="15" t="s">
        <v>4299</v>
      </c>
      <c r="C2842" s="52">
        <v>214.10391799999999</v>
      </c>
      <c r="D2842" s="25">
        <v>0.18263888888888891</v>
      </c>
      <c r="E2842" s="53">
        <v>-23.074522999999999</v>
      </c>
      <c r="F2842" s="53">
        <v>-48.534897999999998</v>
      </c>
      <c r="G2842" s="53">
        <v>-23.355052000000001</v>
      </c>
      <c r="H2842" s="53">
        <v>-47.506810000000002</v>
      </c>
      <c r="I2842" s="53">
        <v>-23.519535999999999</v>
      </c>
      <c r="J2842" s="53">
        <v>-46.783617999999997</v>
      </c>
      <c r="L2842" s="61" t="str">
        <f t="shared" si="45"/>
        <v>Cliente50-Cliente29</v>
      </c>
      <c r="M2842">
        <v>214.10391799999999</v>
      </c>
    </row>
    <row r="2843" spans="1:13" x14ac:dyDescent="0.25">
      <c r="A2843" s="15" t="s">
        <v>4320</v>
      </c>
      <c r="B2843" s="15" t="s">
        <v>4300</v>
      </c>
      <c r="C2843" s="54">
        <v>218.92017799999999</v>
      </c>
      <c r="D2843" s="26">
        <v>0.19305555555555554</v>
      </c>
      <c r="E2843" s="55">
        <v>-23.090012000000002</v>
      </c>
      <c r="F2843" s="55">
        <v>-48.506588000000001</v>
      </c>
      <c r="G2843" s="55">
        <v>-23.422502999999999</v>
      </c>
      <c r="H2843" s="55">
        <v>-47.246068999999999</v>
      </c>
      <c r="I2843" s="55">
        <v>-23.516221000000002</v>
      </c>
      <c r="J2843" s="55">
        <v>-46.664245000000001</v>
      </c>
      <c r="L2843" s="61" t="str">
        <f t="shared" si="45"/>
        <v>Cliente50-Cliente30</v>
      </c>
      <c r="M2843">
        <v>218.92017799999999</v>
      </c>
    </row>
    <row r="2844" spans="1:13" x14ac:dyDescent="0.25">
      <c r="A2844" s="15" t="s">
        <v>4320</v>
      </c>
      <c r="B2844" s="15" t="s">
        <v>4301</v>
      </c>
      <c r="C2844" s="52">
        <v>196.06546800000001</v>
      </c>
      <c r="D2844" s="25">
        <v>0.16805555555555554</v>
      </c>
      <c r="E2844" s="53">
        <v>-23.074356000000002</v>
      </c>
      <c r="F2844" s="53">
        <v>-48.533299</v>
      </c>
      <c r="G2844" s="53">
        <v>-23.317527999999999</v>
      </c>
      <c r="H2844" s="53">
        <v>-47.636862999999998</v>
      </c>
      <c r="I2844" s="53">
        <v>-23.505538999999999</v>
      </c>
      <c r="J2844" s="53">
        <v>-46.872118</v>
      </c>
      <c r="L2844" s="61" t="str">
        <f t="shared" si="45"/>
        <v>Cliente50-Cliente31</v>
      </c>
      <c r="M2844">
        <v>196.06546800000001</v>
      </c>
    </row>
    <row r="2845" spans="1:13" x14ac:dyDescent="0.25">
      <c r="A2845" s="15" t="s">
        <v>4320</v>
      </c>
      <c r="B2845" s="15" t="s">
        <v>4302</v>
      </c>
      <c r="C2845" s="54">
        <v>198.92751100000001</v>
      </c>
      <c r="D2845" s="26">
        <v>0.16250000000000001</v>
      </c>
      <c r="E2845" s="55">
        <v>-22.909828000000001</v>
      </c>
      <c r="F2845" s="55">
        <v>-48.457337000000003</v>
      </c>
      <c r="G2845" s="55">
        <v>-23.283186000000001</v>
      </c>
      <c r="H2845" s="55">
        <v>-47.805304</v>
      </c>
      <c r="I2845" s="55">
        <v>-23.473520000000001</v>
      </c>
      <c r="J2845" s="55">
        <v>-47.005355000000002</v>
      </c>
      <c r="L2845" s="61" t="str">
        <f t="shared" si="45"/>
        <v>Cliente50-Cliente32</v>
      </c>
      <c r="M2845">
        <v>198.92751100000001</v>
      </c>
    </row>
    <row r="2846" spans="1:13" x14ac:dyDescent="0.25">
      <c r="A2846" s="15" t="s">
        <v>4320</v>
      </c>
      <c r="B2846" s="15" t="s">
        <v>4303</v>
      </c>
      <c r="C2846" s="52">
        <v>212.93946600000001</v>
      </c>
      <c r="D2846" s="25">
        <v>0.17708333333333334</v>
      </c>
      <c r="E2846" s="53">
        <v>-23.074705000000002</v>
      </c>
      <c r="F2846" s="53">
        <v>-48.534435000000002</v>
      </c>
      <c r="G2846" s="53">
        <v>-23.321503</v>
      </c>
      <c r="H2846" s="53">
        <v>-47.578045000000003</v>
      </c>
      <c r="I2846" s="53">
        <v>-23.512172</v>
      </c>
      <c r="J2846" s="53">
        <v>-46.802804000000002</v>
      </c>
      <c r="L2846" s="61" t="str">
        <f t="shared" si="45"/>
        <v>Cliente50-Cliente33</v>
      </c>
      <c r="M2846">
        <v>212.93946600000001</v>
      </c>
    </row>
    <row r="2847" spans="1:13" x14ac:dyDescent="0.25">
      <c r="A2847" s="15" t="s">
        <v>4320</v>
      </c>
      <c r="B2847" s="15" t="s">
        <v>4304</v>
      </c>
      <c r="C2847" s="54">
        <v>200.050331</v>
      </c>
      <c r="D2847" s="26">
        <v>0.17222222222222225</v>
      </c>
      <c r="E2847" s="55">
        <v>-23.098103999999999</v>
      </c>
      <c r="F2847" s="55">
        <v>-48.507061</v>
      </c>
      <c r="G2847" s="55">
        <v>-23.418626</v>
      </c>
      <c r="H2847" s="55">
        <v>-47.216392999999997</v>
      </c>
      <c r="I2847" s="55">
        <v>-23.458963000000001</v>
      </c>
      <c r="J2847" s="55">
        <v>-46.910159</v>
      </c>
      <c r="L2847" s="61" t="str">
        <f t="shared" si="45"/>
        <v>Cliente50-Cliente34</v>
      </c>
      <c r="M2847">
        <v>200.050331</v>
      </c>
    </row>
    <row r="2848" spans="1:13" x14ac:dyDescent="0.25">
      <c r="A2848" s="15" t="s">
        <v>4320</v>
      </c>
      <c r="B2848" s="15" t="s">
        <v>4305</v>
      </c>
      <c r="C2848" s="52">
        <v>197.01616799999999</v>
      </c>
      <c r="D2848" s="25">
        <v>0.16666666666666666</v>
      </c>
      <c r="E2848" s="53">
        <v>-23.076018999999999</v>
      </c>
      <c r="F2848" s="53">
        <v>-48.525312</v>
      </c>
      <c r="G2848" s="53">
        <v>-23.406276999999999</v>
      </c>
      <c r="H2848" s="53">
        <v>-47.300808000000004</v>
      </c>
      <c r="I2848" s="53">
        <v>-23.481773</v>
      </c>
      <c r="J2848" s="53">
        <v>-46.884428999999997</v>
      </c>
      <c r="L2848" s="61" t="str">
        <f t="shared" si="45"/>
        <v>Cliente50-Cliente35</v>
      </c>
      <c r="M2848">
        <v>197.01616799999999</v>
      </c>
    </row>
    <row r="2849" spans="1:13" x14ac:dyDescent="0.25">
      <c r="A2849" s="15" t="s">
        <v>4320</v>
      </c>
      <c r="B2849" s="15" t="s">
        <v>4306</v>
      </c>
      <c r="C2849" s="54">
        <v>94.750642999999997</v>
      </c>
      <c r="D2849" s="26">
        <v>8.4722222222222213E-2</v>
      </c>
      <c r="E2849" s="55">
        <v>-22.326965999999999</v>
      </c>
      <c r="F2849" s="55">
        <v>-48.738897000000001</v>
      </c>
      <c r="G2849" s="55">
        <v>-22.166459</v>
      </c>
      <c r="H2849" s="55">
        <v>-48.478158999999998</v>
      </c>
      <c r="I2849" s="55">
        <v>-22.105049999999999</v>
      </c>
      <c r="J2849" s="55">
        <v>-48.314419000000001</v>
      </c>
      <c r="L2849" s="61" t="str">
        <f t="shared" si="45"/>
        <v>Cliente50-Cliente36</v>
      </c>
      <c r="M2849">
        <v>94.750642999999997</v>
      </c>
    </row>
    <row r="2850" spans="1:13" x14ac:dyDescent="0.25">
      <c r="A2850" s="15" t="s">
        <v>4320</v>
      </c>
      <c r="B2850" s="15" t="s">
        <v>4307</v>
      </c>
      <c r="C2850" s="52">
        <v>97.423788999999999</v>
      </c>
      <c r="D2850" s="25">
        <v>8.7500000000000008E-2</v>
      </c>
      <c r="E2850" s="53">
        <v>-22.311275999999999</v>
      </c>
      <c r="F2850" s="53">
        <v>-48.712212999999998</v>
      </c>
      <c r="G2850" s="53">
        <v>-22.117118000000001</v>
      </c>
      <c r="H2850" s="53">
        <v>-48.455661999999997</v>
      </c>
      <c r="I2850" s="53">
        <v>-22.080034999999999</v>
      </c>
      <c r="J2850" s="53">
        <v>-48.125235000000004</v>
      </c>
      <c r="L2850" s="61" t="str">
        <f t="shared" si="45"/>
        <v>Cliente50-Cliente37</v>
      </c>
      <c r="M2850">
        <v>97.423788999999999</v>
      </c>
    </row>
    <row r="2851" spans="1:13" x14ac:dyDescent="0.25">
      <c r="A2851" s="15" t="s">
        <v>4320</v>
      </c>
      <c r="B2851" s="15" t="s">
        <v>4308</v>
      </c>
      <c r="C2851" s="54">
        <v>95.647283999999999</v>
      </c>
      <c r="D2851" s="26">
        <v>8.4722222222222213E-2</v>
      </c>
      <c r="E2851" s="55">
        <v>-22.315332999999999</v>
      </c>
      <c r="F2851" s="55">
        <v>-48.721353999999998</v>
      </c>
      <c r="G2851" s="55">
        <v>-22.153925000000001</v>
      </c>
      <c r="H2851" s="55">
        <v>-48.471913000000001</v>
      </c>
      <c r="I2851" s="55">
        <v>-22.111664999999999</v>
      </c>
      <c r="J2851" s="55">
        <v>-48.292498000000002</v>
      </c>
      <c r="L2851" s="61" t="str">
        <f t="shared" si="45"/>
        <v>Cliente50-Cliente38</v>
      </c>
      <c r="M2851">
        <v>95.647283999999999</v>
      </c>
    </row>
    <row r="2852" spans="1:13" x14ac:dyDescent="0.25">
      <c r="A2852" s="15" t="s">
        <v>4320</v>
      </c>
      <c r="B2852" s="15" t="s">
        <v>4309</v>
      </c>
      <c r="C2852" s="52">
        <v>284.22396800000001</v>
      </c>
      <c r="D2852" s="25">
        <v>0.23472222222222219</v>
      </c>
      <c r="E2852" s="53">
        <v>-22.246065000000002</v>
      </c>
      <c r="F2852" s="53">
        <v>-47.831049999999998</v>
      </c>
      <c r="G2852" s="53">
        <v>-22.859463999999999</v>
      </c>
      <c r="H2852" s="53">
        <v>-47.145769000000001</v>
      </c>
      <c r="I2852" s="53">
        <v>-23.188037000000001</v>
      </c>
      <c r="J2852" s="53">
        <v>-46.333573999999999</v>
      </c>
      <c r="L2852" s="61" t="str">
        <f t="shared" si="45"/>
        <v>Cliente50-Cliente39</v>
      </c>
      <c r="M2852">
        <v>284.22396800000001</v>
      </c>
    </row>
    <row r="2853" spans="1:13" x14ac:dyDescent="0.25">
      <c r="A2853" s="15" t="s">
        <v>4320</v>
      </c>
      <c r="B2853" s="15" t="s">
        <v>4310</v>
      </c>
      <c r="C2853" s="54">
        <v>297.710241</v>
      </c>
      <c r="D2853" s="26">
        <v>0.24513888888888888</v>
      </c>
      <c r="E2853" s="55">
        <v>-22.225929000000001</v>
      </c>
      <c r="F2853" s="55">
        <v>-47.779421999999997</v>
      </c>
      <c r="G2853" s="55">
        <v>-22.845597000000001</v>
      </c>
      <c r="H2853" s="55">
        <v>-47.034610000000001</v>
      </c>
      <c r="I2853" s="55">
        <v>-23.181151</v>
      </c>
      <c r="J2853" s="55">
        <v>-46.290692</v>
      </c>
      <c r="L2853" s="61" t="str">
        <f t="shared" si="45"/>
        <v>Cliente50-Cliente40</v>
      </c>
      <c r="M2853">
        <v>297.710241</v>
      </c>
    </row>
    <row r="2854" spans="1:13" x14ac:dyDescent="0.25">
      <c r="A2854" s="15" t="s">
        <v>4320</v>
      </c>
      <c r="B2854" s="15" t="s">
        <v>4311</v>
      </c>
      <c r="C2854" s="52">
        <v>288.24735600000002</v>
      </c>
      <c r="D2854" s="25">
        <v>0.23819444444444446</v>
      </c>
      <c r="E2854" s="53">
        <v>-22.246388</v>
      </c>
      <c r="F2854" s="53">
        <v>-47.818367000000002</v>
      </c>
      <c r="G2854" s="53">
        <v>-22.843935999999999</v>
      </c>
      <c r="H2854" s="53">
        <v>-47.045411000000001</v>
      </c>
      <c r="I2854" s="53">
        <v>-23.181813999999999</v>
      </c>
      <c r="J2854" s="53">
        <v>-46.303246999999999</v>
      </c>
      <c r="L2854" s="61" t="str">
        <f t="shared" si="45"/>
        <v>Cliente50-Cliente41</v>
      </c>
      <c r="M2854">
        <v>288.24735600000002</v>
      </c>
    </row>
    <row r="2855" spans="1:13" x14ac:dyDescent="0.25">
      <c r="A2855" s="15" t="s">
        <v>4320</v>
      </c>
      <c r="B2855" s="15" t="s">
        <v>4312</v>
      </c>
      <c r="C2855" s="54">
        <v>271.79154199999999</v>
      </c>
      <c r="D2855" s="26">
        <v>0.22152777777777777</v>
      </c>
      <c r="E2855" s="55">
        <v>-22.264139</v>
      </c>
      <c r="F2855" s="55">
        <v>-47.905425000000001</v>
      </c>
      <c r="G2855" s="55">
        <v>-22.814119000000002</v>
      </c>
      <c r="H2855" s="55">
        <v>-47.208675999999997</v>
      </c>
      <c r="I2855" s="55">
        <v>-23.170774000000002</v>
      </c>
      <c r="J2855" s="55">
        <v>-46.390999000000001</v>
      </c>
      <c r="L2855" s="61" t="str">
        <f t="shared" si="45"/>
        <v>Cliente50-Cliente42</v>
      </c>
      <c r="M2855">
        <v>271.79154199999999</v>
      </c>
    </row>
    <row r="2856" spans="1:13" x14ac:dyDescent="0.25">
      <c r="A2856" s="15" t="s">
        <v>4320</v>
      </c>
      <c r="B2856" s="15" t="s">
        <v>4313</v>
      </c>
      <c r="C2856" s="52">
        <v>294.44430599999998</v>
      </c>
      <c r="D2856" s="25">
        <v>0.24166666666666667</v>
      </c>
      <c r="E2856" s="53">
        <v>-22.245906000000002</v>
      </c>
      <c r="F2856" s="53">
        <v>-47.817059999999998</v>
      </c>
      <c r="G2856" s="53">
        <v>-22.844450999999999</v>
      </c>
      <c r="H2856" s="53">
        <v>-47.037080000000003</v>
      </c>
      <c r="I2856" s="53">
        <v>-23.182459999999999</v>
      </c>
      <c r="J2856" s="53">
        <v>-46.293764000000003</v>
      </c>
      <c r="L2856" s="61" t="str">
        <f t="shared" si="45"/>
        <v>Cliente50-Cliente43</v>
      </c>
      <c r="M2856">
        <v>294.44430599999998</v>
      </c>
    </row>
    <row r="2857" spans="1:13" x14ac:dyDescent="0.25">
      <c r="A2857" s="15" t="s">
        <v>4320</v>
      </c>
      <c r="B2857" s="15" t="s">
        <v>4314</v>
      </c>
      <c r="C2857" s="54">
        <v>150.39208600000001</v>
      </c>
      <c r="D2857" s="26">
        <v>0.12361111111111112</v>
      </c>
      <c r="E2857" s="55">
        <v>-22.810955</v>
      </c>
      <c r="F2857" s="55">
        <v>-48.532310000000003</v>
      </c>
      <c r="G2857" s="55">
        <v>-23.145669999999999</v>
      </c>
      <c r="H2857" s="55">
        <v>-48.407187999999998</v>
      </c>
      <c r="I2857" s="55">
        <v>-23.303920000000002</v>
      </c>
      <c r="J2857" s="55">
        <v>-47.659005999999998</v>
      </c>
      <c r="L2857" s="61" t="str">
        <f t="shared" si="45"/>
        <v>Cliente50-Cliente44</v>
      </c>
      <c r="M2857">
        <v>150.39208600000001</v>
      </c>
    </row>
    <row r="2858" spans="1:13" x14ac:dyDescent="0.25">
      <c r="A2858" s="15" t="s">
        <v>4320</v>
      </c>
      <c r="B2858" s="15" t="s">
        <v>4315</v>
      </c>
      <c r="C2858" s="52">
        <v>154.68514999999999</v>
      </c>
      <c r="D2858" s="25">
        <v>0.13333333333333333</v>
      </c>
      <c r="E2858" s="53">
        <v>-22.845410999999999</v>
      </c>
      <c r="F2858" s="53">
        <v>-48.508668999999998</v>
      </c>
      <c r="G2858" s="53">
        <v>-23.200168999999999</v>
      </c>
      <c r="H2858" s="53">
        <v>-48.253762000000002</v>
      </c>
      <c r="I2858" s="53">
        <v>-23.369985</v>
      </c>
      <c r="J2858" s="53">
        <v>-47.532485999999999</v>
      </c>
      <c r="L2858" s="61" t="str">
        <f t="shared" si="45"/>
        <v>Cliente50-Cliente45</v>
      </c>
      <c r="M2858">
        <v>154.68514999999999</v>
      </c>
    </row>
    <row r="2859" spans="1:13" x14ac:dyDescent="0.25">
      <c r="A2859" s="15" t="s">
        <v>4320</v>
      </c>
      <c r="B2859" s="15" t="s">
        <v>4316</v>
      </c>
      <c r="C2859" s="54">
        <v>152.792449</v>
      </c>
      <c r="D2859" s="26">
        <v>0.12916666666666668</v>
      </c>
      <c r="E2859" s="55">
        <v>-22.824057</v>
      </c>
      <c r="F2859" s="55">
        <v>-48.529674</v>
      </c>
      <c r="G2859" s="55">
        <v>-23.156679</v>
      </c>
      <c r="H2859" s="55">
        <v>-48.376840000000001</v>
      </c>
      <c r="I2859" s="55">
        <v>-23.317527999999999</v>
      </c>
      <c r="J2859" s="55">
        <v>-47.636862999999998</v>
      </c>
      <c r="L2859" s="61" t="str">
        <f t="shared" si="45"/>
        <v>Cliente50-Cliente46</v>
      </c>
      <c r="M2859">
        <v>152.792449</v>
      </c>
    </row>
    <row r="2860" spans="1:13" x14ac:dyDescent="0.25">
      <c r="A2860" s="15" t="s">
        <v>4320</v>
      </c>
      <c r="B2860" s="15" t="s">
        <v>4317</v>
      </c>
      <c r="C2860" s="52">
        <v>133.20615900000001</v>
      </c>
      <c r="D2860" s="25">
        <v>0.11875000000000001</v>
      </c>
      <c r="E2860" s="53">
        <v>-22.311275999999999</v>
      </c>
      <c r="F2860" s="53">
        <v>-48.712212999999998</v>
      </c>
      <c r="G2860" s="53">
        <v>-22.115005</v>
      </c>
      <c r="H2860" s="53">
        <v>-48.455477999999999</v>
      </c>
      <c r="I2860" s="53">
        <v>-21.713961000000001</v>
      </c>
      <c r="J2860" s="53">
        <v>-48.034852999999998</v>
      </c>
      <c r="L2860" s="61" t="str">
        <f t="shared" si="45"/>
        <v>Cliente50-Cliente47</v>
      </c>
      <c r="M2860">
        <v>133.20615900000001</v>
      </c>
    </row>
    <row r="2861" spans="1:13" x14ac:dyDescent="0.25">
      <c r="A2861" s="15" t="s">
        <v>4320</v>
      </c>
      <c r="B2861" s="15" t="s">
        <v>4318</v>
      </c>
      <c r="C2861" s="54">
        <v>142.31734700000001</v>
      </c>
      <c r="D2861" s="26">
        <v>0.12708333333333333</v>
      </c>
      <c r="E2861" s="55">
        <v>-22.303087000000001</v>
      </c>
      <c r="F2861" s="55">
        <v>-48.575280999999997</v>
      </c>
      <c r="G2861" s="55">
        <v>-21.817789999999999</v>
      </c>
      <c r="H2861" s="55">
        <v>-48.207901999999997</v>
      </c>
      <c r="I2861" s="55">
        <v>-21.207134</v>
      </c>
      <c r="J2861" s="55">
        <v>-47.760308000000002</v>
      </c>
      <c r="L2861" s="61" t="str">
        <f t="shared" si="45"/>
        <v>Cliente50-Cliente48</v>
      </c>
      <c r="M2861">
        <v>142.31734700000001</v>
      </c>
    </row>
    <row r="2862" spans="1:13" x14ac:dyDescent="0.25">
      <c r="A2862" s="15" t="s">
        <v>4320</v>
      </c>
      <c r="B2862" s="15" t="s">
        <v>4319</v>
      </c>
      <c r="C2862" s="52">
        <v>135.23556199999999</v>
      </c>
      <c r="D2862" s="25">
        <v>0.12222222222222223</v>
      </c>
      <c r="E2862" s="53">
        <v>-22.310469000000001</v>
      </c>
      <c r="F2862" s="53">
        <v>-48.707061000000003</v>
      </c>
      <c r="G2862" s="53">
        <v>-22.099536000000001</v>
      </c>
      <c r="H2862" s="53">
        <v>-48.454825999999997</v>
      </c>
      <c r="I2862" s="53">
        <v>-21.6312</v>
      </c>
      <c r="J2862" s="53">
        <v>-47.968499999999999</v>
      </c>
      <c r="L2862" s="61" t="str">
        <f t="shared" si="45"/>
        <v>Cliente50-Cliente49</v>
      </c>
      <c r="M2862">
        <v>135.23556199999999</v>
      </c>
    </row>
    <row r="2863" spans="1:13" x14ac:dyDescent="0.25">
      <c r="A2863" s="15" t="s">
        <v>4320</v>
      </c>
      <c r="B2863" s="15" t="s">
        <v>4320</v>
      </c>
      <c r="C2863" s="54">
        <v>0</v>
      </c>
      <c r="D2863" s="26">
        <v>0</v>
      </c>
      <c r="E2863" s="55">
        <f>'1. Locais'!D54</f>
        <v>-22.312100000000001</v>
      </c>
      <c r="F2863" s="55">
        <f>'1. Locais'!E54</f>
        <v>-49.057459999999999</v>
      </c>
      <c r="G2863" s="55">
        <f>'1. Locais'!D54</f>
        <v>-22.312100000000001</v>
      </c>
      <c r="H2863" s="55">
        <f>'1. Locais'!E54</f>
        <v>-49.057459999999999</v>
      </c>
      <c r="I2863" s="55">
        <f>'1. Locais'!D54</f>
        <v>-22.312100000000001</v>
      </c>
      <c r="J2863" s="55">
        <f>'1. Locais'!E54</f>
        <v>-49.057459999999999</v>
      </c>
      <c r="L2863" s="61" t="str">
        <f t="shared" si="45"/>
        <v>Cliente50-Cliente50</v>
      </c>
      <c r="M2863">
        <v>0</v>
      </c>
    </row>
    <row r="2864" spans="1:13" x14ac:dyDescent="0.25">
      <c r="A2864" s="15" t="s">
        <v>4320</v>
      </c>
      <c r="B2864" s="15" t="s">
        <v>4321</v>
      </c>
      <c r="C2864" s="52">
        <v>1.2402599999999999</v>
      </c>
      <c r="D2864" s="25">
        <v>4.8611111111111112E-3</v>
      </c>
      <c r="E2864" s="53">
        <v>-22.313168999999998</v>
      </c>
      <c r="F2864" s="53">
        <v>-49.062168999999997</v>
      </c>
      <c r="G2864" s="53">
        <v>-22.315966</v>
      </c>
      <c r="H2864" s="53">
        <v>-49.064532</v>
      </c>
      <c r="I2864" s="53">
        <v>-22.316837</v>
      </c>
      <c r="J2864" s="53">
        <v>-49.065682000000002</v>
      </c>
      <c r="L2864" s="61" t="str">
        <f t="shared" si="45"/>
        <v>Cliente50-Cliente51</v>
      </c>
      <c r="M2864">
        <v>1.2402599999999999</v>
      </c>
    </row>
    <row r="2865" spans="1:13" x14ac:dyDescent="0.25">
      <c r="A2865" s="15" t="s">
        <v>4321</v>
      </c>
      <c r="B2865" s="15" t="s">
        <v>4268</v>
      </c>
      <c r="C2865" s="54">
        <v>157.03021100000001</v>
      </c>
      <c r="D2865" s="26">
        <v>0.13263888888888889</v>
      </c>
      <c r="E2865" s="55">
        <v>-22.856290999999999</v>
      </c>
      <c r="F2865" s="55">
        <v>-48.492066000000001</v>
      </c>
      <c r="G2865" s="55">
        <v>-23.194362000000002</v>
      </c>
      <c r="H2865" s="55">
        <v>-48.231971999999999</v>
      </c>
      <c r="I2865" s="55">
        <v>-23.228100000000001</v>
      </c>
      <c r="J2865" s="55">
        <v>-47.564864</v>
      </c>
      <c r="L2865" s="61" t="str">
        <f t="shared" si="45"/>
        <v>Cliente51-depósito A</v>
      </c>
      <c r="M2865">
        <v>157.03021100000001</v>
      </c>
    </row>
    <row r="2866" spans="1:13" x14ac:dyDescent="0.25">
      <c r="A2866" s="15" t="s">
        <v>4321</v>
      </c>
      <c r="B2866" s="15" t="s">
        <v>4269</v>
      </c>
      <c r="C2866" s="52">
        <v>81.927374</v>
      </c>
      <c r="D2866" s="25">
        <v>7.3611111111111113E-2</v>
      </c>
      <c r="E2866" s="53">
        <v>-22.329516999999999</v>
      </c>
      <c r="F2866" s="53">
        <v>-48.925789000000002</v>
      </c>
      <c r="G2866" s="53">
        <v>-22.280631</v>
      </c>
      <c r="H2866" s="53">
        <v>-48.567917999999999</v>
      </c>
      <c r="I2866" s="53">
        <v>-22.093751000000001</v>
      </c>
      <c r="J2866" s="53">
        <v>-48.451413000000002</v>
      </c>
      <c r="L2866" s="61" t="str">
        <f t="shared" si="45"/>
        <v>Cliente51-depósito B</v>
      </c>
      <c r="M2866">
        <v>81.927374</v>
      </c>
    </row>
    <row r="2867" spans="1:13" x14ac:dyDescent="0.25">
      <c r="A2867" s="15" t="s">
        <v>4321</v>
      </c>
      <c r="B2867" s="15" t="s">
        <v>4270</v>
      </c>
      <c r="C2867" s="54">
        <v>250.30074400000001</v>
      </c>
      <c r="D2867" s="26">
        <v>0.20555555555555557</v>
      </c>
      <c r="E2867" s="55">
        <v>-23.098103999999999</v>
      </c>
      <c r="F2867" s="55">
        <v>-48.507061</v>
      </c>
      <c r="G2867" s="55">
        <v>-23.418626</v>
      </c>
      <c r="H2867" s="55">
        <v>-47.216392999999997</v>
      </c>
      <c r="I2867" s="55">
        <v>-23.523713999999998</v>
      </c>
      <c r="J2867" s="55">
        <v>-46.610359000000003</v>
      </c>
      <c r="L2867" s="61" t="str">
        <f t="shared" si="45"/>
        <v>Cliente51-depósito C</v>
      </c>
      <c r="M2867">
        <v>250.30074400000001</v>
      </c>
    </row>
    <row r="2868" spans="1:13" x14ac:dyDescent="0.25">
      <c r="A2868" s="15" t="s">
        <v>4321</v>
      </c>
      <c r="B2868" s="15" t="s">
        <v>4271</v>
      </c>
      <c r="C2868" s="52">
        <v>173.02061699999999</v>
      </c>
      <c r="D2868" s="25">
        <v>0.14444444444444446</v>
      </c>
      <c r="E2868" s="53">
        <v>-22.247230999999999</v>
      </c>
      <c r="F2868" s="53">
        <v>-48.352221999999998</v>
      </c>
      <c r="G2868" s="53">
        <v>-22.274964000000001</v>
      </c>
      <c r="H2868" s="53">
        <v>-47.697674999999997</v>
      </c>
      <c r="I2868" s="53">
        <v>-22.677091999999998</v>
      </c>
      <c r="J2868" s="53">
        <v>-47.310966999999998</v>
      </c>
      <c r="L2868" s="61" t="str">
        <f t="shared" si="45"/>
        <v>Cliente51-Cliente1</v>
      </c>
      <c r="M2868">
        <v>173.02061699999999</v>
      </c>
    </row>
    <row r="2869" spans="1:13" x14ac:dyDescent="0.25">
      <c r="A2869" s="15" t="s">
        <v>4321</v>
      </c>
      <c r="B2869" s="15" t="s">
        <v>4272</v>
      </c>
      <c r="C2869" s="54">
        <v>166.377521</v>
      </c>
      <c r="D2869" s="26">
        <v>0.14027777777777778</v>
      </c>
      <c r="E2869" s="55">
        <v>-22.247230999999999</v>
      </c>
      <c r="F2869" s="55">
        <v>-48.352221999999998</v>
      </c>
      <c r="G2869" s="55">
        <v>-22.274964000000001</v>
      </c>
      <c r="H2869" s="55">
        <v>-47.697674999999997</v>
      </c>
      <c r="I2869" s="55">
        <v>-22.677091999999998</v>
      </c>
      <c r="J2869" s="55">
        <v>-47.310966999999998</v>
      </c>
      <c r="L2869" s="61" t="str">
        <f t="shared" si="45"/>
        <v>Cliente51-Cliente2</v>
      </c>
      <c r="M2869">
        <v>166.377521</v>
      </c>
    </row>
    <row r="2870" spans="1:13" x14ac:dyDescent="0.25">
      <c r="A2870" s="15" t="s">
        <v>4321</v>
      </c>
      <c r="B2870" s="15" t="s">
        <v>4273</v>
      </c>
      <c r="C2870" s="52">
        <v>167.932817</v>
      </c>
      <c r="D2870" s="25">
        <v>0.14375000000000002</v>
      </c>
      <c r="E2870" s="53">
        <v>-22.248871999999999</v>
      </c>
      <c r="F2870" s="53">
        <v>-48.344833000000001</v>
      </c>
      <c r="G2870" s="53">
        <v>-22.279879999999999</v>
      </c>
      <c r="H2870" s="53">
        <v>-47.683371999999999</v>
      </c>
      <c r="I2870" s="53">
        <v>-22.742453999999999</v>
      </c>
      <c r="J2870" s="53">
        <v>-47.269818000000001</v>
      </c>
      <c r="L2870" s="61" t="str">
        <f t="shared" si="45"/>
        <v>Cliente51-Cliente3</v>
      </c>
      <c r="M2870">
        <v>167.932817</v>
      </c>
    </row>
    <row r="2871" spans="1:13" x14ac:dyDescent="0.25">
      <c r="A2871" s="15" t="s">
        <v>4321</v>
      </c>
      <c r="B2871" s="15" t="s">
        <v>4274</v>
      </c>
      <c r="C2871" s="54">
        <v>164.91294600000001</v>
      </c>
      <c r="D2871" s="26">
        <v>0.13749999999999998</v>
      </c>
      <c r="E2871" s="55">
        <v>-22.256055</v>
      </c>
      <c r="F2871" s="55">
        <v>-48.364564999999999</v>
      </c>
      <c r="G2871" s="55">
        <v>-22.219687</v>
      </c>
      <c r="H2871" s="55">
        <v>-47.764225000000003</v>
      </c>
      <c r="I2871" s="55">
        <v>-22.561537999999999</v>
      </c>
      <c r="J2871" s="55">
        <v>-47.366228999999997</v>
      </c>
      <c r="L2871" s="61" t="str">
        <f t="shared" si="45"/>
        <v>Cliente51-Cliente4</v>
      </c>
      <c r="M2871">
        <v>164.91294600000001</v>
      </c>
    </row>
    <row r="2872" spans="1:13" x14ac:dyDescent="0.25">
      <c r="A2872" s="15" t="s">
        <v>4321</v>
      </c>
      <c r="B2872" s="15" t="s">
        <v>4275</v>
      </c>
      <c r="C2872" s="52">
        <v>165.00615199999999</v>
      </c>
      <c r="D2872" s="25">
        <v>0.13749999999999998</v>
      </c>
      <c r="E2872" s="53">
        <v>-22.256747000000001</v>
      </c>
      <c r="F2872" s="53">
        <v>-48.365307999999999</v>
      </c>
      <c r="G2872" s="53">
        <v>-22.218862000000001</v>
      </c>
      <c r="H2872" s="53">
        <v>-47.764994000000002</v>
      </c>
      <c r="I2872" s="53">
        <v>-22.559846</v>
      </c>
      <c r="J2872" s="53">
        <v>-47.366737999999998</v>
      </c>
      <c r="L2872" s="61" t="str">
        <f t="shared" si="45"/>
        <v>Cliente51-Cliente5</v>
      </c>
      <c r="M2872">
        <v>165.00615199999999</v>
      </c>
    </row>
    <row r="2873" spans="1:13" x14ac:dyDescent="0.25">
      <c r="A2873" s="15" t="s">
        <v>4321</v>
      </c>
      <c r="B2873" s="15" t="s">
        <v>4276</v>
      </c>
      <c r="C2873" s="54">
        <v>173.71158399999999</v>
      </c>
      <c r="D2873" s="26">
        <v>0.14444444444444446</v>
      </c>
      <c r="E2873" s="55">
        <v>-22.247230999999999</v>
      </c>
      <c r="F2873" s="55">
        <v>-48.352221999999998</v>
      </c>
      <c r="G2873" s="55">
        <v>-22.274964000000001</v>
      </c>
      <c r="H2873" s="55">
        <v>-47.697674999999997</v>
      </c>
      <c r="I2873" s="55">
        <v>-22.677091999999998</v>
      </c>
      <c r="J2873" s="55">
        <v>-47.310966999999998</v>
      </c>
      <c r="L2873" s="61" t="str">
        <f t="shared" si="45"/>
        <v>Cliente51-Cliente6</v>
      </c>
      <c r="M2873">
        <v>173.71158399999999</v>
      </c>
    </row>
    <row r="2874" spans="1:13" x14ac:dyDescent="0.25">
      <c r="A2874" s="15" t="s">
        <v>4321</v>
      </c>
      <c r="B2874" s="15" t="s">
        <v>4277</v>
      </c>
      <c r="C2874" s="52">
        <v>167.18592699999999</v>
      </c>
      <c r="D2874" s="25">
        <v>0.13958333333333334</v>
      </c>
      <c r="E2874" s="53">
        <v>-22.249510000000001</v>
      </c>
      <c r="F2874" s="53">
        <v>-48.358114</v>
      </c>
      <c r="G2874" s="53">
        <v>-22.251729000000001</v>
      </c>
      <c r="H2874" s="53">
        <v>-47.703429</v>
      </c>
      <c r="I2874" s="53">
        <v>-22.631270000000001</v>
      </c>
      <c r="J2874" s="53">
        <v>-47.336255999999999</v>
      </c>
      <c r="L2874" s="61" t="str">
        <f t="shared" si="45"/>
        <v>Cliente51-Cliente7</v>
      </c>
      <c r="M2874">
        <v>167.18592699999999</v>
      </c>
    </row>
    <row r="2875" spans="1:13" x14ac:dyDescent="0.25">
      <c r="A2875" s="15" t="s">
        <v>4321</v>
      </c>
      <c r="B2875" s="15" t="s">
        <v>4278</v>
      </c>
      <c r="C2875" s="54">
        <v>174.749897</v>
      </c>
      <c r="D2875" s="26">
        <v>0.14583333333333334</v>
      </c>
      <c r="E2875" s="55">
        <v>-22.247230999999999</v>
      </c>
      <c r="F2875" s="55">
        <v>-48.352221999999998</v>
      </c>
      <c r="G2875" s="55">
        <v>-22.274964000000001</v>
      </c>
      <c r="H2875" s="55">
        <v>-47.697674999999997</v>
      </c>
      <c r="I2875" s="55">
        <v>-22.677091999999998</v>
      </c>
      <c r="J2875" s="55">
        <v>-47.310966999999998</v>
      </c>
      <c r="L2875" s="61" t="str">
        <f t="shared" si="45"/>
        <v>Cliente51-Cliente8</v>
      </c>
      <c r="M2875">
        <v>174.749897</v>
      </c>
    </row>
    <row r="2876" spans="1:13" x14ac:dyDescent="0.25">
      <c r="A2876" s="15" t="s">
        <v>4321</v>
      </c>
      <c r="B2876" s="15" t="s">
        <v>4279</v>
      </c>
      <c r="C2876" s="52">
        <v>146.560081</v>
      </c>
      <c r="D2876" s="25">
        <v>0.12222222222222223</v>
      </c>
      <c r="E2876" s="53">
        <v>-22.271068</v>
      </c>
      <c r="F2876" s="53">
        <v>-48.469107000000001</v>
      </c>
      <c r="G2876" s="53">
        <v>-22.274097999999999</v>
      </c>
      <c r="H2876" s="53">
        <v>-47.945349999999998</v>
      </c>
      <c r="I2876" s="53">
        <v>-22.440109</v>
      </c>
      <c r="J2876" s="53">
        <v>-47.567121</v>
      </c>
      <c r="L2876" s="61" t="str">
        <f t="shared" si="45"/>
        <v>Cliente51-Cliente9</v>
      </c>
      <c r="M2876">
        <v>146.560081</v>
      </c>
    </row>
    <row r="2877" spans="1:13" x14ac:dyDescent="0.25">
      <c r="A2877" s="15" t="s">
        <v>4321</v>
      </c>
      <c r="B2877" s="15" t="s">
        <v>4280</v>
      </c>
      <c r="C2877" s="54">
        <v>204.05445700000001</v>
      </c>
      <c r="D2877" s="26">
        <v>0.17083333333333331</v>
      </c>
      <c r="E2877" s="55">
        <v>-22.931616999999999</v>
      </c>
      <c r="F2877" s="55">
        <v>-48.472830999999999</v>
      </c>
      <c r="G2877" s="55">
        <v>-23.295866</v>
      </c>
      <c r="H2877" s="55">
        <v>-47.709791000000003</v>
      </c>
      <c r="I2877" s="55">
        <v>-23.508092000000001</v>
      </c>
      <c r="J2877" s="55">
        <v>-46.975631</v>
      </c>
      <c r="L2877" s="61" t="str">
        <f t="shared" si="45"/>
        <v>Cliente51-Cliente10</v>
      </c>
      <c r="M2877">
        <v>204.05445700000001</v>
      </c>
    </row>
    <row r="2878" spans="1:13" x14ac:dyDescent="0.25">
      <c r="A2878" s="15" t="s">
        <v>4321</v>
      </c>
      <c r="B2878" s="15" t="s">
        <v>4281</v>
      </c>
      <c r="C2878" s="52">
        <v>138.812805</v>
      </c>
      <c r="D2878" s="25">
        <v>0.11527777777777777</v>
      </c>
      <c r="E2878" s="53">
        <v>-22.257792999999999</v>
      </c>
      <c r="F2878" s="53">
        <v>-48.547778999999998</v>
      </c>
      <c r="G2878" s="53">
        <v>-22.282537000000001</v>
      </c>
      <c r="H2878" s="53">
        <v>-47.989534999999997</v>
      </c>
      <c r="I2878" s="53">
        <v>-22.338709000000001</v>
      </c>
      <c r="J2878" s="53">
        <v>-47.651142999999998</v>
      </c>
      <c r="L2878" s="61" t="str">
        <f t="shared" si="45"/>
        <v>Cliente51-Cliente11</v>
      </c>
      <c r="M2878">
        <v>138.812805</v>
      </c>
    </row>
    <row r="2879" spans="1:13" x14ac:dyDescent="0.25">
      <c r="A2879" s="15" t="s">
        <v>4321</v>
      </c>
      <c r="B2879" s="15" t="s">
        <v>4282</v>
      </c>
      <c r="C2879" s="54">
        <v>249.34196600000001</v>
      </c>
      <c r="D2879" s="26">
        <v>0.20486111111111113</v>
      </c>
      <c r="E2879" s="55">
        <v>-23.099163999999998</v>
      </c>
      <c r="F2879" s="55">
        <v>-48.507314999999998</v>
      </c>
      <c r="G2879" s="55">
        <v>-23.423338000000001</v>
      </c>
      <c r="H2879" s="55">
        <v>-47.151088999999999</v>
      </c>
      <c r="I2879" s="55">
        <v>-23.523396999999999</v>
      </c>
      <c r="J2879" s="55">
        <v>-46.606462999999998</v>
      </c>
      <c r="L2879" s="61" t="str">
        <f t="shared" si="45"/>
        <v>Cliente51-Cliente12</v>
      </c>
      <c r="M2879">
        <v>249.34196600000001</v>
      </c>
    </row>
    <row r="2880" spans="1:13" x14ac:dyDescent="0.25">
      <c r="A2880" s="15" t="s">
        <v>4321</v>
      </c>
      <c r="B2880" s="15" t="s">
        <v>4283</v>
      </c>
      <c r="C2880" s="52">
        <v>258.77316200000001</v>
      </c>
      <c r="D2880" s="25">
        <v>0.21111111111111111</v>
      </c>
      <c r="E2880" s="53">
        <v>-22.259996999999998</v>
      </c>
      <c r="F2880" s="53">
        <v>-47.877431999999999</v>
      </c>
      <c r="G2880" s="53">
        <v>-22.835021000000001</v>
      </c>
      <c r="H2880" s="53">
        <v>-47.175165</v>
      </c>
      <c r="I2880" s="53">
        <v>-23.184141</v>
      </c>
      <c r="J2880" s="53">
        <v>-46.372525000000003</v>
      </c>
      <c r="L2880" s="61" t="str">
        <f t="shared" si="45"/>
        <v>Cliente51-Cliente13</v>
      </c>
      <c r="M2880">
        <v>258.77316200000001</v>
      </c>
    </row>
    <row r="2881" spans="1:13" x14ac:dyDescent="0.25">
      <c r="A2881" s="15" t="s">
        <v>4321</v>
      </c>
      <c r="B2881" s="15" t="s">
        <v>4284</v>
      </c>
      <c r="C2881" s="54">
        <v>256.83572099999998</v>
      </c>
      <c r="D2881" s="26">
        <v>0.20833333333333334</v>
      </c>
      <c r="E2881" s="55">
        <v>-22.273641999999999</v>
      </c>
      <c r="F2881" s="55">
        <v>-47.944367</v>
      </c>
      <c r="G2881" s="55">
        <v>-22.776426000000001</v>
      </c>
      <c r="H2881" s="55">
        <v>-47.234369999999998</v>
      </c>
      <c r="I2881" s="55">
        <v>-23.168984999999999</v>
      </c>
      <c r="J2881" s="55">
        <v>-46.442438000000003</v>
      </c>
      <c r="L2881" s="61" t="str">
        <f t="shared" si="45"/>
        <v>Cliente51-Cliente14</v>
      </c>
      <c r="M2881">
        <v>256.83572099999998</v>
      </c>
    </row>
    <row r="2882" spans="1:13" x14ac:dyDescent="0.25">
      <c r="A2882" s="15" t="s">
        <v>4321</v>
      </c>
      <c r="B2882" s="15" t="s">
        <v>4285</v>
      </c>
      <c r="C2882" s="52">
        <v>259.02108900000002</v>
      </c>
      <c r="D2882" s="25">
        <v>0.21597222222222223</v>
      </c>
      <c r="E2882" s="53">
        <v>-23.144663999999999</v>
      </c>
      <c r="F2882" s="53">
        <v>-48.41151</v>
      </c>
      <c r="G2882" s="53">
        <v>-23.438984000000001</v>
      </c>
      <c r="H2882" s="53">
        <v>-47.066175999999999</v>
      </c>
      <c r="I2882" s="53">
        <v>-23.403324000000001</v>
      </c>
      <c r="J2882" s="53">
        <v>-46.32985</v>
      </c>
      <c r="L2882" s="61" t="str">
        <f t="shared" si="45"/>
        <v>Cliente51-Cliente15</v>
      </c>
      <c r="M2882">
        <v>259.02108900000002</v>
      </c>
    </row>
    <row r="2883" spans="1:13" x14ac:dyDescent="0.25">
      <c r="A2883" s="15" t="s">
        <v>4321</v>
      </c>
      <c r="B2883" s="15" t="s">
        <v>4286</v>
      </c>
      <c r="C2883" s="54">
        <v>256.597736</v>
      </c>
      <c r="D2883" s="26">
        <v>0.21180555555555555</v>
      </c>
      <c r="E2883" s="55">
        <v>-23.110287</v>
      </c>
      <c r="F2883" s="55">
        <v>-48.500718999999997</v>
      </c>
      <c r="G2883" s="55">
        <v>-23.430693999999999</v>
      </c>
      <c r="H2883" s="55">
        <v>-47.127971000000002</v>
      </c>
      <c r="I2883" s="55">
        <v>-23.495360999999999</v>
      </c>
      <c r="J2883" s="55">
        <v>-46.555112000000001</v>
      </c>
      <c r="L2883" s="61" t="str">
        <f t="shared" si="45"/>
        <v>Cliente51-Cliente16</v>
      </c>
      <c r="M2883">
        <v>256.597736</v>
      </c>
    </row>
    <row r="2884" spans="1:13" x14ac:dyDescent="0.25">
      <c r="A2884" s="15" t="s">
        <v>4321</v>
      </c>
      <c r="B2884" s="15" t="s">
        <v>4287</v>
      </c>
      <c r="C2884" s="52">
        <v>259.20066600000001</v>
      </c>
      <c r="D2884" s="25">
        <v>0.21111111111111111</v>
      </c>
      <c r="E2884" s="53">
        <v>-22.259996999999998</v>
      </c>
      <c r="F2884" s="53">
        <v>-47.877431999999999</v>
      </c>
      <c r="G2884" s="53">
        <v>-22.835021000000001</v>
      </c>
      <c r="H2884" s="53">
        <v>-47.175165</v>
      </c>
      <c r="I2884" s="53">
        <v>-23.184141</v>
      </c>
      <c r="J2884" s="53">
        <v>-46.372525000000003</v>
      </c>
      <c r="L2884" s="61" t="str">
        <f t="shared" si="45"/>
        <v>Cliente51-Cliente17</v>
      </c>
      <c r="M2884">
        <v>259.20066600000001</v>
      </c>
    </row>
    <row r="2885" spans="1:13" x14ac:dyDescent="0.25">
      <c r="A2885" s="15" t="s">
        <v>4321</v>
      </c>
      <c r="B2885" s="15" t="s">
        <v>4288</v>
      </c>
      <c r="C2885" s="54">
        <v>264.02873199999999</v>
      </c>
      <c r="D2885" s="26">
        <v>0.21597222222222223</v>
      </c>
      <c r="E2885" s="55">
        <v>-22.264004</v>
      </c>
      <c r="F2885" s="55">
        <v>-47.902408000000001</v>
      </c>
      <c r="G2885" s="55">
        <v>-22.815078</v>
      </c>
      <c r="H2885" s="55">
        <v>-47.207166000000001</v>
      </c>
      <c r="I2885" s="55">
        <v>-23.171236</v>
      </c>
      <c r="J2885" s="55">
        <v>-46.390194999999999</v>
      </c>
      <c r="L2885" s="61" t="str">
        <f t="shared" si="45"/>
        <v>Cliente51-Cliente18</v>
      </c>
      <c r="M2885">
        <v>264.02873199999999</v>
      </c>
    </row>
    <row r="2886" spans="1:13" x14ac:dyDescent="0.25">
      <c r="A2886" s="15" t="s">
        <v>4321</v>
      </c>
      <c r="B2886" s="15" t="s">
        <v>4289</v>
      </c>
      <c r="C2886" s="52">
        <v>200.854388</v>
      </c>
      <c r="D2886" s="25">
        <v>0.16180555555555556</v>
      </c>
      <c r="E2886" s="53">
        <v>-22.902346999999999</v>
      </c>
      <c r="F2886" s="53">
        <v>-48.455294000000002</v>
      </c>
      <c r="G2886" s="53">
        <v>-23.260476000000001</v>
      </c>
      <c r="H2886" s="53">
        <v>-47.852204999999998</v>
      </c>
      <c r="I2886" s="53">
        <v>-23.454015999999999</v>
      </c>
      <c r="J2886" s="53">
        <v>-47.054217999999999</v>
      </c>
      <c r="L2886" s="61" t="str">
        <f t="shared" si="45"/>
        <v>Cliente51-Cliente19</v>
      </c>
      <c r="M2886">
        <v>200.854388</v>
      </c>
    </row>
    <row r="2887" spans="1:13" x14ac:dyDescent="0.25">
      <c r="A2887" s="15" t="s">
        <v>4321</v>
      </c>
      <c r="B2887" s="15" t="s">
        <v>4290</v>
      </c>
      <c r="C2887" s="54">
        <v>197.37097199999999</v>
      </c>
      <c r="D2887" s="26">
        <v>0.15972222222222224</v>
      </c>
      <c r="E2887" s="55">
        <v>-22.884747999999998</v>
      </c>
      <c r="F2887" s="55">
        <v>-48.461787000000001</v>
      </c>
      <c r="G2887" s="55">
        <v>-23.230969000000002</v>
      </c>
      <c r="H2887" s="55">
        <v>-48.160442000000003</v>
      </c>
      <c r="I2887" s="55">
        <v>-23.436955000000001</v>
      </c>
      <c r="J2887" s="55">
        <v>-47.118451999999998</v>
      </c>
      <c r="L2887" s="61" t="str">
        <f t="shared" si="45"/>
        <v>Cliente51-Cliente20</v>
      </c>
      <c r="M2887">
        <v>197.37097199999999</v>
      </c>
    </row>
    <row r="2888" spans="1:13" x14ac:dyDescent="0.25">
      <c r="A2888" s="15" t="s">
        <v>4321</v>
      </c>
      <c r="B2888" s="15" t="s">
        <v>4291</v>
      </c>
      <c r="C2888" s="52">
        <v>197.91343000000001</v>
      </c>
      <c r="D2888" s="25">
        <v>0.16041666666666668</v>
      </c>
      <c r="E2888" s="53">
        <v>-22.886900000000001</v>
      </c>
      <c r="F2888" s="53">
        <v>-48.459547999999998</v>
      </c>
      <c r="G2888" s="53">
        <v>-23.246338999999999</v>
      </c>
      <c r="H2888" s="53">
        <v>-48.082675000000002</v>
      </c>
      <c r="I2888" s="53">
        <v>-23.436429</v>
      </c>
      <c r="J2888" s="53">
        <v>-47.094740999999999</v>
      </c>
      <c r="L2888" s="61" t="str">
        <f t="shared" si="45"/>
        <v>Cliente51-Cliente21</v>
      </c>
      <c r="M2888">
        <v>197.91343000000001</v>
      </c>
    </row>
    <row r="2889" spans="1:13" x14ac:dyDescent="0.25">
      <c r="A2889" s="15" t="s">
        <v>4321</v>
      </c>
      <c r="B2889" s="15" t="s">
        <v>4292</v>
      </c>
      <c r="C2889" s="54">
        <v>199.176681</v>
      </c>
      <c r="D2889" s="26">
        <v>0.16319444444444445</v>
      </c>
      <c r="E2889" s="55">
        <v>-22.908372</v>
      </c>
      <c r="F2889" s="55">
        <v>-48.456378000000001</v>
      </c>
      <c r="G2889" s="55">
        <v>-23.275479000000001</v>
      </c>
      <c r="H2889" s="55">
        <v>-47.826414</v>
      </c>
      <c r="I2889" s="55">
        <v>-23.463982000000001</v>
      </c>
      <c r="J2889" s="55">
        <v>-47.030192999999997</v>
      </c>
      <c r="L2889" s="61" t="str">
        <f t="shared" si="45"/>
        <v>Cliente51-Cliente22</v>
      </c>
      <c r="M2889">
        <v>199.176681</v>
      </c>
    </row>
    <row r="2890" spans="1:13" x14ac:dyDescent="0.25">
      <c r="A2890" s="15" t="s">
        <v>4321</v>
      </c>
      <c r="B2890" s="15" t="s">
        <v>4293</v>
      </c>
      <c r="C2890" s="52">
        <v>202.92107300000001</v>
      </c>
      <c r="D2890" s="25">
        <v>0.16527777777777777</v>
      </c>
      <c r="E2890" s="53">
        <v>-22.941573999999999</v>
      </c>
      <c r="F2890" s="53">
        <v>-48.477615999999998</v>
      </c>
      <c r="G2890" s="53">
        <v>-23.301629999999999</v>
      </c>
      <c r="H2890" s="53">
        <v>-47.664779000000003</v>
      </c>
      <c r="I2890" s="53">
        <v>-23.517932999999999</v>
      </c>
      <c r="J2890" s="53">
        <v>-46.937843000000001</v>
      </c>
      <c r="L2890" s="61" t="str">
        <f t="shared" si="45"/>
        <v>Cliente51-Cliente23</v>
      </c>
      <c r="M2890">
        <v>202.92107300000001</v>
      </c>
    </row>
    <row r="2891" spans="1:13" x14ac:dyDescent="0.25">
      <c r="A2891" s="15" t="s">
        <v>4321</v>
      </c>
      <c r="B2891" s="15" t="s">
        <v>4294</v>
      </c>
      <c r="C2891" s="54">
        <v>203.90035700000001</v>
      </c>
      <c r="D2891" s="26">
        <v>0.16805555555555554</v>
      </c>
      <c r="E2891" s="55">
        <v>-23.070262</v>
      </c>
      <c r="F2891" s="55">
        <v>-48.531444</v>
      </c>
      <c r="G2891" s="55">
        <v>-23.302976000000001</v>
      </c>
      <c r="H2891" s="55">
        <v>-47.660983000000002</v>
      </c>
      <c r="I2891" s="55">
        <v>-23.516065000000001</v>
      </c>
      <c r="J2891" s="55">
        <v>-46.926152999999999</v>
      </c>
      <c r="L2891" s="61" t="str">
        <f t="shared" si="45"/>
        <v>Cliente51-Cliente24</v>
      </c>
      <c r="M2891">
        <v>203.90035700000001</v>
      </c>
    </row>
    <row r="2892" spans="1:13" x14ac:dyDescent="0.25">
      <c r="A2892" s="15" t="s">
        <v>4321</v>
      </c>
      <c r="B2892" s="15" t="s">
        <v>4295</v>
      </c>
      <c r="C2892" s="52">
        <v>206.72076799999999</v>
      </c>
      <c r="D2892" s="25">
        <v>0.17013888888888887</v>
      </c>
      <c r="E2892" s="53">
        <v>-23.073801</v>
      </c>
      <c r="F2892" s="53">
        <v>-48.532938999999999</v>
      </c>
      <c r="G2892" s="53">
        <v>-23.314166</v>
      </c>
      <c r="H2892" s="53">
        <v>-47.643504999999998</v>
      </c>
      <c r="I2892" s="53">
        <v>-23.505195000000001</v>
      </c>
      <c r="J2892" s="53">
        <v>-46.883963999999999</v>
      </c>
      <c r="L2892" s="61" t="str">
        <f t="shared" si="45"/>
        <v>Cliente51-Cliente25</v>
      </c>
      <c r="M2892">
        <v>206.72076799999999</v>
      </c>
    </row>
    <row r="2893" spans="1:13" x14ac:dyDescent="0.25">
      <c r="A2893" s="15" t="s">
        <v>4321</v>
      </c>
      <c r="B2893" s="15" t="s">
        <v>4296</v>
      </c>
      <c r="C2893" s="54">
        <v>198.38318799999999</v>
      </c>
      <c r="D2893" s="26">
        <v>0.16111111111111112</v>
      </c>
      <c r="E2893" s="55">
        <v>-22.929275000000001</v>
      </c>
      <c r="F2893" s="55">
        <v>-48.471521000000003</v>
      </c>
      <c r="G2893" s="55">
        <v>-23.294543999999998</v>
      </c>
      <c r="H2893" s="55">
        <v>-47.722177000000002</v>
      </c>
      <c r="I2893" s="55">
        <v>-23.504429999999999</v>
      </c>
      <c r="J2893" s="55">
        <v>-46.979906999999997</v>
      </c>
      <c r="L2893" s="61" t="str">
        <f t="shared" si="45"/>
        <v>Cliente51-Cliente26</v>
      </c>
      <c r="M2893">
        <v>198.38318799999999</v>
      </c>
    </row>
    <row r="2894" spans="1:13" x14ac:dyDescent="0.25">
      <c r="A2894" s="15" t="s">
        <v>4321</v>
      </c>
      <c r="B2894" s="15" t="s">
        <v>4297</v>
      </c>
      <c r="C2894" s="52">
        <v>204.700063</v>
      </c>
      <c r="D2894" s="25">
        <v>0.16805555555555554</v>
      </c>
      <c r="E2894" s="53">
        <v>-23.070772999999999</v>
      </c>
      <c r="F2894" s="53">
        <v>-48.531654000000003</v>
      </c>
      <c r="G2894" s="53">
        <v>-23.305122000000001</v>
      </c>
      <c r="H2894" s="53">
        <v>-47.656945</v>
      </c>
      <c r="I2894" s="53">
        <v>-23.507104999999999</v>
      </c>
      <c r="J2894" s="53">
        <v>-46.900269000000002</v>
      </c>
      <c r="L2894" s="61" t="str">
        <f t="shared" si="45"/>
        <v>Cliente51-Cliente27</v>
      </c>
      <c r="M2894">
        <v>204.700063</v>
      </c>
    </row>
    <row r="2895" spans="1:13" x14ac:dyDescent="0.25">
      <c r="A2895" s="15" t="s">
        <v>4321</v>
      </c>
      <c r="B2895" s="15" t="s">
        <v>4298</v>
      </c>
      <c r="C2895" s="54">
        <v>208.38356099999999</v>
      </c>
      <c r="D2895" s="26">
        <v>0.17569444444444446</v>
      </c>
      <c r="E2895" s="55">
        <v>-22.941573999999999</v>
      </c>
      <c r="F2895" s="55">
        <v>-48.477615999999998</v>
      </c>
      <c r="G2895" s="55">
        <v>-23.301629999999999</v>
      </c>
      <c r="H2895" s="55">
        <v>-47.664779000000003</v>
      </c>
      <c r="I2895" s="55">
        <v>-23.517932999999999</v>
      </c>
      <c r="J2895" s="55">
        <v>-46.937843000000001</v>
      </c>
      <c r="L2895" s="61" t="str">
        <f t="shared" si="45"/>
        <v>Cliente51-Cliente28</v>
      </c>
      <c r="M2895">
        <v>208.38356099999999</v>
      </c>
    </row>
    <row r="2896" spans="1:13" x14ac:dyDescent="0.25">
      <c r="A2896" s="15" t="s">
        <v>4321</v>
      </c>
      <c r="B2896" s="15" t="s">
        <v>4299</v>
      </c>
      <c r="C2896" s="52">
        <v>214.91480999999999</v>
      </c>
      <c r="D2896" s="25">
        <v>0.18333333333333335</v>
      </c>
      <c r="E2896" s="53">
        <v>-23.074155000000001</v>
      </c>
      <c r="F2896" s="53">
        <v>-48.535266999999997</v>
      </c>
      <c r="G2896" s="53">
        <v>-23.356504999999999</v>
      </c>
      <c r="H2896" s="53">
        <v>-47.503287</v>
      </c>
      <c r="I2896" s="53">
        <v>-23.520524999999999</v>
      </c>
      <c r="J2896" s="53">
        <v>-46.777844999999999</v>
      </c>
      <c r="L2896" s="61" t="str">
        <f t="shared" si="45"/>
        <v>Cliente51-Cliente29</v>
      </c>
      <c r="M2896">
        <v>214.91480999999999</v>
      </c>
    </row>
    <row r="2897" spans="1:13" x14ac:dyDescent="0.25">
      <c r="A2897" s="15" t="s">
        <v>4321</v>
      </c>
      <c r="B2897" s="15" t="s">
        <v>4300</v>
      </c>
      <c r="C2897" s="54">
        <v>219.73106999999999</v>
      </c>
      <c r="D2897" s="26">
        <v>0.19375000000000001</v>
      </c>
      <c r="E2897" s="55">
        <v>-23.091063999999999</v>
      </c>
      <c r="F2897" s="55">
        <v>-48.506095999999999</v>
      </c>
      <c r="G2897" s="55">
        <v>-23.423196000000001</v>
      </c>
      <c r="H2897" s="55">
        <v>-47.243878000000002</v>
      </c>
      <c r="I2897" s="55">
        <v>-23.517925999999999</v>
      </c>
      <c r="J2897" s="55">
        <v>-46.651291999999998</v>
      </c>
      <c r="L2897" s="61" t="str">
        <f t="shared" si="45"/>
        <v>Cliente51-Cliente30</v>
      </c>
      <c r="M2897">
        <v>219.73106999999999</v>
      </c>
    </row>
    <row r="2898" spans="1:13" x14ac:dyDescent="0.25">
      <c r="A2898" s="15" t="s">
        <v>4321</v>
      </c>
      <c r="B2898" s="15" t="s">
        <v>4301</v>
      </c>
      <c r="C2898" s="52">
        <v>196.87635900000001</v>
      </c>
      <c r="D2898" s="25">
        <v>0.16874999999999998</v>
      </c>
      <c r="E2898" s="53">
        <v>-23.074556999999999</v>
      </c>
      <c r="F2898" s="53">
        <v>-48.533565000000003</v>
      </c>
      <c r="G2898" s="53">
        <v>-23.317785000000001</v>
      </c>
      <c r="H2898" s="53">
        <v>-47.635508000000002</v>
      </c>
      <c r="I2898" s="53">
        <v>-23.505528000000002</v>
      </c>
      <c r="J2898" s="53">
        <v>-46.872225</v>
      </c>
      <c r="L2898" s="61" t="str">
        <f t="shared" ref="L2898:L2918" si="46">_xlfn.CONCAT(A2898,"-",B2898)</f>
        <v>Cliente51-Cliente31</v>
      </c>
      <c r="M2898">
        <v>196.87635900000001</v>
      </c>
    </row>
    <row r="2899" spans="1:13" x14ac:dyDescent="0.25">
      <c r="A2899" s="15" t="s">
        <v>4321</v>
      </c>
      <c r="B2899" s="15" t="s">
        <v>4302</v>
      </c>
      <c r="C2899" s="54">
        <v>199.73840200000001</v>
      </c>
      <c r="D2899" s="26">
        <v>0.16319444444444445</v>
      </c>
      <c r="E2899" s="55">
        <v>-22.917923999999999</v>
      </c>
      <c r="F2899" s="55">
        <v>-48.463813999999999</v>
      </c>
      <c r="G2899" s="55">
        <v>-23.283391999999999</v>
      </c>
      <c r="H2899" s="55">
        <v>-47.803159000000001</v>
      </c>
      <c r="I2899" s="55">
        <v>-23.476136</v>
      </c>
      <c r="J2899" s="55">
        <v>-47.001500999999998</v>
      </c>
      <c r="L2899" s="61" t="str">
        <f t="shared" si="46"/>
        <v>Cliente51-Cliente32</v>
      </c>
      <c r="M2899">
        <v>199.73840200000001</v>
      </c>
    </row>
    <row r="2900" spans="1:13" x14ac:dyDescent="0.25">
      <c r="A2900" s="15" t="s">
        <v>4321</v>
      </c>
      <c r="B2900" s="15" t="s">
        <v>4303</v>
      </c>
      <c r="C2900" s="52">
        <v>213.75035700000001</v>
      </c>
      <c r="D2900" s="25">
        <v>0.17777777777777778</v>
      </c>
      <c r="E2900" s="53">
        <v>-23.074522999999999</v>
      </c>
      <c r="F2900" s="53">
        <v>-48.534897999999998</v>
      </c>
      <c r="G2900" s="53">
        <v>-23.322268000000001</v>
      </c>
      <c r="H2900" s="53">
        <v>-47.576251999999997</v>
      </c>
      <c r="I2900" s="53">
        <v>-23.513061</v>
      </c>
      <c r="J2900" s="53">
        <v>-46.800015999999999</v>
      </c>
      <c r="L2900" s="61" t="str">
        <f t="shared" si="46"/>
        <v>Cliente51-Cliente33</v>
      </c>
      <c r="M2900">
        <v>213.75035700000001</v>
      </c>
    </row>
    <row r="2901" spans="1:13" x14ac:dyDescent="0.25">
      <c r="A2901" s="15" t="s">
        <v>4321</v>
      </c>
      <c r="B2901" s="15" t="s">
        <v>4304</v>
      </c>
      <c r="C2901" s="54">
        <v>200.861223</v>
      </c>
      <c r="D2901" s="26">
        <v>0.17291666666666669</v>
      </c>
      <c r="E2901" s="55">
        <v>-23.099163999999998</v>
      </c>
      <c r="F2901" s="55">
        <v>-48.507314999999998</v>
      </c>
      <c r="G2901" s="55">
        <v>-23.423081</v>
      </c>
      <c r="H2901" s="55">
        <v>-47.153520999999998</v>
      </c>
      <c r="I2901" s="55">
        <v>-23.458811000000001</v>
      </c>
      <c r="J2901" s="55">
        <v>-46.910502000000001</v>
      </c>
      <c r="L2901" s="61" t="str">
        <f t="shared" si="46"/>
        <v>Cliente51-Cliente34</v>
      </c>
      <c r="M2901">
        <v>200.861223</v>
      </c>
    </row>
    <row r="2902" spans="1:13" x14ac:dyDescent="0.25">
      <c r="A2902" s="15" t="s">
        <v>4321</v>
      </c>
      <c r="B2902" s="15" t="s">
        <v>4305</v>
      </c>
      <c r="C2902" s="52">
        <v>197.82705999999999</v>
      </c>
      <c r="D2902" s="25">
        <v>0.1673611111111111</v>
      </c>
      <c r="E2902" s="53">
        <v>-23.076933</v>
      </c>
      <c r="F2902" s="53">
        <v>-48.523681000000003</v>
      </c>
      <c r="G2902" s="53">
        <v>-23.406517999999998</v>
      </c>
      <c r="H2902" s="53">
        <v>-47.299563999999997</v>
      </c>
      <c r="I2902" s="53">
        <v>-23.481967999999998</v>
      </c>
      <c r="J2902" s="53">
        <v>-46.885812999999999</v>
      </c>
      <c r="L2902" s="61" t="str">
        <f t="shared" si="46"/>
        <v>Cliente51-Cliente35</v>
      </c>
      <c r="M2902">
        <v>197.82705999999999</v>
      </c>
    </row>
    <row r="2903" spans="1:13" x14ac:dyDescent="0.25">
      <c r="A2903" s="15" t="s">
        <v>4321</v>
      </c>
      <c r="B2903" s="15" t="s">
        <v>4306</v>
      </c>
      <c r="C2903" s="54">
        <v>95.561535000000006</v>
      </c>
      <c r="D2903" s="26">
        <v>8.5416666666666655E-2</v>
      </c>
      <c r="E2903" s="55">
        <v>-22.325880000000002</v>
      </c>
      <c r="F2903" s="55">
        <v>-48.736511</v>
      </c>
      <c r="G2903" s="55">
        <v>-22.159614000000001</v>
      </c>
      <c r="H2903" s="55">
        <v>-48.475568000000003</v>
      </c>
      <c r="I2903" s="55">
        <v>-22.104983000000001</v>
      </c>
      <c r="J2903" s="55">
        <v>-48.314152999999997</v>
      </c>
      <c r="L2903" s="61" t="str">
        <f t="shared" si="46"/>
        <v>Cliente51-Cliente36</v>
      </c>
      <c r="M2903">
        <v>95.561535000000006</v>
      </c>
    </row>
    <row r="2904" spans="1:13" x14ac:dyDescent="0.25">
      <c r="A2904" s="15" t="s">
        <v>4321</v>
      </c>
      <c r="B2904" s="15" t="s">
        <v>4307</v>
      </c>
      <c r="C2904" s="52">
        <v>98.234679999999997</v>
      </c>
      <c r="D2904" s="25">
        <v>8.819444444444445E-2</v>
      </c>
      <c r="E2904" s="53">
        <v>-22.310722999999999</v>
      </c>
      <c r="F2904" s="53">
        <v>-48.709429999999998</v>
      </c>
      <c r="G2904" s="53">
        <v>-22.115755</v>
      </c>
      <c r="H2904" s="53">
        <v>-48.455513000000003</v>
      </c>
      <c r="I2904" s="53">
        <v>-22.079713999999999</v>
      </c>
      <c r="J2904" s="53">
        <v>-48.124153999999997</v>
      </c>
      <c r="L2904" s="61" t="str">
        <f t="shared" si="46"/>
        <v>Cliente51-Cliente37</v>
      </c>
      <c r="M2904">
        <v>98.234679999999997</v>
      </c>
    </row>
    <row r="2905" spans="1:13" x14ac:dyDescent="0.25">
      <c r="A2905" s="15" t="s">
        <v>4321</v>
      </c>
      <c r="B2905" s="15" t="s">
        <v>4308</v>
      </c>
      <c r="C2905" s="54">
        <v>96.458174999999997</v>
      </c>
      <c r="D2905" s="26">
        <v>8.6111111111111124E-2</v>
      </c>
      <c r="E2905" s="55">
        <v>-22.314623999999998</v>
      </c>
      <c r="F2905" s="55">
        <v>-48.720243000000004</v>
      </c>
      <c r="G2905" s="55">
        <v>-22.153086999999999</v>
      </c>
      <c r="H2905" s="55">
        <v>-48.471544000000002</v>
      </c>
      <c r="I2905" s="55">
        <v>-22.107849999999999</v>
      </c>
      <c r="J2905" s="55">
        <v>-48.269024000000002</v>
      </c>
      <c r="L2905" s="61" t="str">
        <f t="shared" si="46"/>
        <v>Cliente51-Cliente38</v>
      </c>
      <c r="M2905">
        <v>96.458174999999997</v>
      </c>
    </row>
    <row r="2906" spans="1:13" x14ac:dyDescent="0.25">
      <c r="A2906" s="15" t="s">
        <v>4321</v>
      </c>
      <c r="B2906" s="15" t="s">
        <v>4309</v>
      </c>
      <c r="C2906" s="52">
        <v>285.03485899999998</v>
      </c>
      <c r="D2906" s="25">
        <v>0.23541666666666669</v>
      </c>
      <c r="E2906" s="53">
        <v>-22.246065000000002</v>
      </c>
      <c r="F2906" s="53">
        <v>-47.831049999999998</v>
      </c>
      <c r="G2906" s="53">
        <v>-22.859276000000001</v>
      </c>
      <c r="H2906" s="53">
        <v>-47.146183000000001</v>
      </c>
      <c r="I2906" s="53">
        <v>-23.193764999999999</v>
      </c>
      <c r="J2906" s="53">
        <v>-46.343347999999999</v>
      </c>
      <c r="L2906" s="61" t="str">
        <f t="shared" si="46"/>
        <v>Cliente51-Cliente39</v>
      </c>
      <c r="M2906">
        <v>285.03485899999998</v>
      </c>
    </row>
    <row r="2907" spans="1:13" x14ac:dyDescent="0.25">
      <c r="A2907" s="15" t="s">
        <v>4321</v>
      </c>
      <c r="B2907" s="15" t="s">
        <v>4310</v>
      </c>
      <c r="C2907" s="54">
        <v>298.52113300000002</v>
      </c>
      <c r="D2907" s="26">
        <v>0.24652777777777779</v>
      </c>
      <c r="E2907" s="55">
        <v>-22.224582000000002</v>
      </c>
      <c r="F2907" s="55">
        <v>-47.777414999999998</v>
      </c>
      <c r="G2907" s="55">
        <v>-22.850580000000001</v>
      </c>
      <c r="H2907" s="55">
        <v>-47.028063000000003</v>
      </c>
      <c r="I2907" s="55">
        <v>-23.174486999999999</v>
      </c>
      <c r="J2907" s="55">
        <v>-46.280952999999997</v>
      </c>
      <c r="L2907" s="61" t="str">
        <f t="shared" si="46"/>
        <v>Cliente51-Cliente40</v>
      </c>
      <c r="M2907">
        <v>298.52113300000002</v>
      </c>
    </row>
    <row r="2908" spans="1:13" x14ac:dyDescent="0.25">
      <c r="A2908" s="15" t="s">
        <v>4321</v>
      </c>
      <c r="B2908" s="15" t="s">
        <v>4311</v>
      </c>
      <c r="C2908" s="52">
        <v>289.05824699999999</v>
      </c>
      <c r="D2908" s="25">
        <v>0.23958333333333334</v>
      </c>
      <c r="E2908" s="53">
        <v>-22.245906000000002</v>
      </c>
      <c r="F2908" s="53">
        <v>-47.817059999999998</v>
      </c>
      <c r="G2908" s="53">
        <v>-22.844296</v>
      </c>
      <c r="H2908" s="53">
        <v>-47.037902000000003</v>
      </c>
      <c r="I2908" s="53">
        <v>-23.181771999999999</v>
      </c>
      <c r="J2908" s="53">
        <v>-46.302263000000004</v>
      </c>
      <c r="L2908" s="61" t="str">
        <f t="shared" si="46"/>
        <v>Cliente51-Cliente41</v>
      </c>
      <c r="M2908">
        <v>289.05824699999999</v>
      </c>
    </row>
    <row r="2909" spans="1:13" x14ac:dyDescent="0.25">
      <c r="A2909" s="15" t="s">
        <v>4321</v>
      </c>
      <c r="B2909" s="15" t="s">
        <v>4312</v>
      </c>
      <c r="C2909" s="54">
        <v>272.60243300000002</v>
      </c>
      <c r="D2909" s="26">
        <v>0.22222222222222221</v>
      </c>
      <c r="E2909" s="55">
        <v>-22.264004</v>
      </c>
      <c r="F2909" s="55">
        <v>-47.902408000000001</v>
      </c>
      <c r="G2909" s="55">
        <v>-22.815078</v>
      </c>
      <c r="H2909" s="55">
        <v>-47.207166000000001</v>
      </c>
      <c r="I2909" s="55">
        <v>-23.171236</v>
      </c>
      <c r="J2909" s="55">
        <v>-46.390194999999999</v>
      </c>
      <c r="L2909" s="61" t="str">
        <f t="shared" si="46"/>
        <v>Cliente51-Cliente42</v>
      </c>
      <c r="M2909">
        <v>272.60243300000002</v>
      </c>
    </row>
    <row r="2910" spans="1:13" x14ac:dyDescent="0.25">
      <c r="A2910" s="15" t="s">
        <v>4321</v>
      </c>
      <c r="B2910" s="15" t="s">
        <v>4313</v>
      </c>
      <c r="C2910" s="52">
        <v>295.25519800000001</v>
      </c>
      <c r="D2910" s="25">
        <v>0.24305555555555555</v>
      </c>
      <c r="E2910" s="53">
        <v>-22.245906000000002</v>
      </c>
      <c r="F2910" s="53">
        <v>-47.817059999999998</v>
      </c>
      <c r="G2910" s="53">
        <v>-22.844296</v>
      </c>
      <c r="H2910" s="53">
        <v>-47.037902000000003</v>
      </c>
      <c r="I2910" s="53">
        <v>-23.181771999999999</v>
      </c>
      <c r="J2910" s="53">
        <v>-46.302263000000004</v>
      </c>
      <c r="L2910" s="61" t="str">
        <f t="shared" si="46"/>
        <v>Cliente51-Cliente43</v>
      </c>
      <c r="M2910">
        <v>295.25519800000001</v>
      </c>
    </row>
    <row r="2911" spans="1:13" x14ac:dyDescent="0.25">
      <c r="A2911" s="15" t="s">
        <v>4321</v>
      </c>
      <c r="B2911" s="15" t="s">
        <v>4314</v>
      </c>
      <c r="C2911" s="54">
        <v>151.202978</v>
      </c>
      <c r="D2911" s="26">
        <v>0.125</v>
      </c>
      <c r="E2911" s="55">
        <v>-22.812177999999999</v>
      </c>
      <c r="F2911" s="55">
        <v>-48.531897999999998</v>
      </c>
      <c r="G2911" s="55">
        <v>-23.146331</v>
      </c>
      <c r="H2911" s="55">
        <v>-48.404702999999998</v>
      </c>
      <c r="I2911" s="55">
        <v>-23.305122000000001</v>
      </c>
      <c r="J2911" s="55">
        <v>-47.656945</v>
      </c>
      <c r="L2911" s="61" t="str">
        <f t="shared" si="46"/>
        <v>Cliente51-Cliente44</v>
      </c>
      <c r="M2911">
        <v>151.202978</v>
      </c>
    </row>
    <row r="2912" spans="1:13" x14ac:dyDescent="0.25">
      <c r="A2912" s="15" t="s">
        <v>4321</v>
      </c>
      <c r="B2912" s="15" t="s">
        <v>4315</v>
      </c>
      <c r="C2912" s="52">
        <v>155.49604199999999</v>
      </c>
      <c r="D2912" s="25">
        <v>0.13402777777777777</v>
      </c>
      <c r="E2912" s="53">
        <v>-22.845410999999999</v>
      </c>
      <c r="F2912" s="53">
        <v>-48.508668999999998</v>
      </c>
      <c r="G2912" s="53">
        <v>-23.200672999999998</v>
      </c>
      <c r="H2912" s="53">
        <v>-48.255361999999998</v>
      </c>
      <c r="I2912" s="53">
        <v>-23.367232999999999</v>
      </c>
      <c r="J2912" s="53">
        <v>-47.533873999999997</v>
      </c>
      <c r="L2912" s="61" t="str">
        <f t="shared" si="46"/>
        <v>Cliente51-Cliente45</v>
      </c>
      <c r="M2912">
        <v>155.49604199999999</v>
      </c>
    </row>
    <row r="2913" spans="1:13" x14ac:dyDescent="0.25">
      <c r="A2913" s="15" t="s">
        <v>4321</v>
      </c>
      <c r="B2913" s="15" t="s">
        <v>4316</v>
      </c>
      <c r="C2913" s="54">
        <v>153.60334</v>
      </c>
      <c r="D2913" s="26">
        <v>0.13055555555555556</v>
      </c>
      <c r="E2913" s="55">
        <v>-22.825776999999999</v>
      </c>
      <c r="F2913" s="55">
        <v>-48.529063999999998</v>
      </c>
      <c r="G2913" s="55">
        <v>-23.157731999999999</v>
      </c>
      <c r="H2913" s="55">
        <v>-48.373818</v>
      </c>
      <c r="I2913" s="55">
        <v>-23.317785000000001</v>
      </c>
      <c r="J2913" s="55">
        <v>-47.635508000000002</v>
      </c>
      <c r="L2913" s="61" t="str">
        <f t="shared" si="46"/>
        <v>Cliente51-Cliente46</v>
      </c>
      <c r="M2913">
        <v>153.60334</v>
      </c>
    </row>
    <row r="2914" spans="1:13" x14ac:dyDescent="0.25">
      <c r="A2914" s="15" t="s">
        <v>4321</v>
      </c>
      <c r="B2914" s="15" t="s">
        <v>4317</v>
      </c>
      <c r="C2914" s="52">
        <v>134.01705000000001</v>
      </c>
      <c r="D2914" s="25">
        <v>0.11944444444444445</v>
      </c>
      <c r="E2914" s="53">
        <v>-22.311275999999999</v>
      </c>
      <c r="F2914" s="53">
        <v>-48.712212999999998</v>
      </c>
      <c r="G2914" s="53">
        <v>-22.117118000000001</v>
      </c>
      <c r="H2914" s="53">
        <v>-48.455661999999997</v>
      </c>
      <c r="I2914" s="53">
        <v>-21.746221999999999</v>
      </c>
      <c r="J2914" s="53">
        <v>-48.060980999999998</v>
      </c>
      <c r="L2914" s="61" t="str">
        <f t="shared" si="46"/>
        <v>Cliente51-Cliente47</v>
      </c>
      <c r="M2914">
        <v>134.01705000000001</v>
      </c>
    </row>
    <row r="2915" spans="1:13" x14ac:dyDescent="0.25">
      <c r="A2915" s="15" t="s">
        <v>4321</v>
      </c>
      <c r="B2915" s="15" t="s">
        <v>4318</v>
      </c>
      <c r="C2915" s="54">
        <v>143.12823900000001</v>
      </c>
      <c r="D2915" s="26">
        <v>0.1277777777777778</v>
      </c>
      <c r="E2915" s="55">
        <v>-22.302748999999999</v>
      </c>
      <c r="F2915" s="55">
        <v>-48.575136999999998</v>
      </c>
      <c r="G2915" s="55">
        <v>-21.817352</v>
      </c>
      <c r="H2915" s="55">
        <v>-48.206674999999997</v>
      </c>
      <c r="I2915" s="55">
        <v>-21.207160999999999</v>
      </c>
      <c r="J2915" s="55">
        <v>-47.760041999999999</v>
      </c>
      <c r="L2915" s="61" t="str">
        <f t="shared" si="46"/>
        <v>Cliente51-Cliente48</v>
      </c>
      <c r="M2915">
        <v>143.12823900000001</v>
      </c>
    </row>
    <row r="2916" spans="1:13" x14ac:dyDescent="0.25">
      <c r="A2916" s="15" t="s">
        <v>4321</v>
      </c>
      <c r="B2916" s="15" t="s">
        <v>4319</v>
      </c>
      <c r="C2916" s="52">
        <v>136.04645400000001</v>
      </c>
      <c r="D2916" s="25">
        <v>0.12291666666666667</v>
      </c>
      <c r="E2916" s="53">
        <v>-22.309964999999998</v>
      </c>
      <c r="F2916" s="53">
        <v>-48.698340000000002</v>
      </c>
      <c r="G2916" s="53">
        <v>-22.097104000000002</v>
      </c>
      <c r="H2916" s="53">
        <v>-48.453212999999998</v>
      </c>
      <c r="I2916" s="53">
        <v>-21.628043000000002</v>
      </c>
      <c r="J2916" s="53">
        <v>-47.966748000000003</v>
      </c>
      <c r="L2916" s="61" t="str">
        <f t="shared" si="46"/>
        <v>Cliente51-Cliente49</v>
      </c>
      <c r="M2916">
        <v>136.04645400000001</v>
      </c>
    </row>
    <row r="2917" spans="1:13" x14ac:dyDescent="0.25">
      <c r="A2917" s="15" t="s">
        <v>4321</v>
      </c>
      <c r="B2917" s="15" t="s">
        <v>4320</v>
      </c>
      <c r="C2917" s="54">
        <v>1.2004919999999999</v>
      </c>
      <c r="D2917" s="26">
        <v>2.7777777777777779E-3</v>
      </c>
      <c r="E2917" s="55">
        <v>-22.316687000000002</v>
      </c>
      <c r="F2917" s="55">
        <v>-49.068871999999999</v>
      </c>
      <c r="G2917" s="55">
        <v>-22.312677000000001</v>
      </c>
      <c r="H2917" s="55">
        <v>-49.069443</v>
      </c>
      <c r="I2917" s="55">
        <v>-22.311893000000001</v>
      </c>
      <c r="J2917" s="55">
        <v>-49.069085000000001</v>
      </c>
      <c r="L2917" s="61" t="str">
        <f t="shared" si="46"/>
        <v>Cliente51-Cliente50</v>
      </c>
      <c r="M2917">
        <v>1.2004919999999999</v>
      </c>
    </row>
    <row r="2918" spans="1:13" x14ac:dyDescent="0.25">
      <c r="A2918" s="6" t="s">
        <v>4321</v>
      </c>
      <c r="B2918" s="6" t="s">
        <v>4321</v>
      </c>
      <c r="C2918" s="50">
        <v>0</v>
      </c>
      <c r="D2918" s="23">
        <v>0</v>
      </c>
      <c r="E2918" s="51">
        <f>'1. Locais'!D55</f>
        <v>-22.316279999999999</v>
      </c>
      <c r="F2918" s="51">
        <f>'1. Locais'!E55</f>
        <v>-49.068150000000003</v>
      </c>
      <c r="G2918" s="51">
        <f>'1. Locais'!D55</f>
        <v>-22.316279999999999</v>
      </c>
      <c r="H2918" s="51">
        <f>'1. Locais'!E55</f>
        <v>-49.068150000000003</v>
      </c>
      <c r="I2918" s="51">
        <f>'1. Locais'!D55</f>
        <v>-22.316279999999999</v>
      </c>
      <c r="J2918" s="51">
        <f>'1. Locais'!E55</f>
        <v>-49.068150000000003</v>
      </c>
      <c r="L2918" s="61" t="str">
        <f t="shared" si="46"/>
        <v>Cliente51-Cliente51</v>
      </c>
      <c r="M2918">
        <v>0</v>
      </c>
    </row>
  </sheetData>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57DEA-614F-4EA7-A82D-7B821E769DF0}">
  <dimension ref="A3:F2918"/>
  <sheetViews>
    <sheetView workbookViewId="0">
      <selection activeCell="J6" sqref="J6"/>
    </sheetView>
  </sheetViews>
  <sheetFormatPr defaultRowHeight="15" x14ac:dyDescent="0.25"/>
  <cols>
    <col min="1" max="2" width="10.5703125" bestFit="1" customWidth="1"/>
  </cols>
  <sheetData>
    <row r="3" spans="1:6" x14ac:dyDescent="0.25">
      <c r="A3" s="16">
        <v>3423909</v>
      </c>
      <c r="B3" s="16">
        <v>3423909</v>
      </c>
      <c r="C3" s="48">
        <v>0</v>
      </c>
      <c r="D3" s="21">
        <v>0</v>
      </c>
      <c r="F3" s="61" t="s">
        <v>6964</v>
      </c>
    </row>
    <row r="4" spans="1:6" x14ac:dyDescent="0.25">
      <c r="A4" s="15">
        <v>3423909</v>
      </c>
      <c r="B4" s="15">
        <v>3403208</v>
      </c>
      <c r="C4" s="52">
        <v>128.49988200000001</v>
      </c>
      <c r="D4" s="25">
        <v>0.1076388888888889</v>
      </c>
      <c r="F4" s="61" t="s">
        <v>7067</v>
      </c>
    </row>
    <row r="5" spans="1:6" x14ac:dyDescent="0.25">
      <c r="A5" s="15">
        <v>3423909</v>
      </c>
      <c r="B5" s="15">
        <v>3424402</v>
      </c>
      <c r="C5" s="54">
        <v>109.457914</v>
      </c>
      <c r="D5" s="26">
        <v>9.7222222222222224E-2</v>
      </c>
      <c r="F5" s="61" t="s">
        <v>7172</v>
      </c>
    </row>
    <row r="6" spans="1:6" x14ac:dyDescent="0.25">
      <c r="A6" s="15">
        <v>3423909</v>
      </c>
      <c r="B6" s="15" t="s">
        <v>4271</v>
      </c>
      <c r="C6" s="52">
        <v>36.971055999999997</v>
      </c>
      <c r="D6" s="25">
        <v>3.4722222222222224E-2</v>
      </c>
      <c r="F6" s="61" t="s">
        <v>6965</v>
      </c>
    </row>
    <row r="7" spans="1:6" x14ac:dyDescent="0.25">
      <c r="A7" s="15">
        <v>3423909</v>
      </c>
      <c r="B7" s="15" t="s">
        <v>4272</v>
      </c>
      <c r="C7" s="54">
        <v>36.501919999999998</v>
      </c>
      <c r="D7" s="26">
        <v>3.6805555555555557E-2</v>
      </c>
      <c r="F7" s="61" t="s">
        <v>6966</v>
      </c>
    </row>
    <row r="8" spans="1:6" x14ac:dyDescent="0.25">
      <c r="A8" s="15">
        <v>3423909</v>
      </c>
      <c r="B8" s="15" t="s">
        <v>4273</v>
      </c>
      <c r="C8" s="52">
        <v>36.019734999999997</v>
      </c>
      <c r="D8" s="25">
        <v>3.6805555555555557E-2</v>
      </c>
      <c r="F8" s="61" t="s">
        <v>6967</v>
      </c>
    </row>
    <row r="9" spans="1:6" x14ac:dyDescent="0.25">
      <c r="A9" s="15">
        <v>3423909</v>
      </c>
      <c r="B9" s="15" t="s">
        <v>4274</v>
      </c>
      <c r="C9" s="54">
        <v>44.231175999999998</v>
      </c>
      <c r="D9" s="26">
        <v>4.1666666666666664E-2</v>
      </c>
      <c r="F9" s="61" t="s">
        <v>6968</v>
      </c>
    </row>
    <row r="10" spans="1:6" x14ac:dyDescent="0.25">
      <c r="A10" s="15">
        <v>3423909</v>
      </c>
      <c r="B10" s="15" t="s">
        <v>4275</v>
      </c>
      <c r="C10" s="52">
        <v>44.324381000000002</v>
      </c>
      <c r="D10" s="25">
        <v>4.1666666666666664E-2</v>
      </c>
      <c r="F10" s="61" t="s">
        <v>6969</v>
      </c>
    </row>
    <row r="11" spans="1:6" x14ac:dyDescent="0.25">
      <c r="A11" s="15">
        <v>3423909</v>
      </c>
      <c r="B11" s="15" t="s">
        <v>4276</v>
      </c>
      <c r="C11" s="54">
        <v>37.662022999999998</v>
      </c>
      <c r="D11" s="26">
        <v>3.4722222222222224E-2</v>
      </c>
      <c r="F11" s="61" t="s">
        <v>6970</v>
      </c>
    </row>
    <row r="12" spans="1:6" x14ac:dyDescent="0.25">
      <c r="A12" s="15">
        <v>3423909</v>
      </c>
      <c r="B12" s="15" t="s">
        <v>4277</v>
      </c>
      <c r="C12" s="52">
        <v>31.824846999999998</v>
      </c>
      <c r="D12" s="25">
        <v>3.0555555555555555E-2</v>
      </c>
      <c r="F12" s="61" t="s">
        <v>6971</v>
      </c>
    </row>
    <row r="13" spans="1:6" x14ac:dyDescent="0.25">
      <c r="A13" s="15">
        <v>3423909</v>
      </c>
      <c r="B13" s="15" t="s">
        <v>4278</v>
      </c>
      <c r="C13" s="54">
        <v>45.091777</v>
      </c>
      <c r="D13" s="26">
        <v>4.1666666666666664E-2</v>
      </c>
      <c r="F13" s="61" t="s">
        <v>6972</v>
      </c>
    </row>
    <row r="14" spans="1:6" x14ac:dyDescent="0.25">
      <c r="A14" s="15">
        <v>3423909</v>
      </c>
      <c r="B14" s="15" t="s">
        <v>4279</v>
      </c>
      <c r="C14" s="52">
        <v>52.82911</v>
      </c>
      <c r="D14" s="25">
        <v>4.9305555555555554E-2</v>
      </c>
      <c r="F14" s="61" t="s">
        <v>6973</v>
      </c>
    </row>
    <row r="15" spans="1:6" x14ac:dyDescent="0.25">
      <c r="A15" s="15">
        <v>3423909</v>
      </c>
      <c r="B15" s="15" t="s">
        <v>4280</v>
      </c>
      <c r="C15" s="54">
        <v>63.211627</v>
      </c>
      <c r="D15" s="26">
        <v>6.25E-2</v>
      </c>
      <c r="F15" s="61" t="s">
        <v>6974</v>
      </c>
    </row>
    <row r="16" spans="1:6" x14ac:dyDescent="0.25">
      <c r="A16" s="15">
        <v>3423909</v>
      </c>
      <c r="B16" s="15" t="s">
        <v>4281</v>
      </c>
      <c r="C16" s="52">
        <v>44.166553</v>
      </c>
      <c r="D16" s="25">
        <v>4.0972222222222222E-2</v>
      </c>
      <c r="F16" s="61" t="s">
        <v>6975</v>
      </c>
    </row>
    <row r="17" spans="1:6" x14ac:dyDescent="0.25">
      <c r="A17" s="15">
        <v>3423909</v>
      </c>
      <c r="B17" s="15" t="s">
        <v>4282</v>
      </c>
      <c r="C17" s="54">
        <v>108.49913599999999</v>
      </c>
      <c r="D17" s="26">
        <v>9.7222222222222224E-2</v>
      </c>
      <c r="F17" s="61" t="s">
        <v>6976</v>
      </c>
    </row>
    <row r="18" spans="1:6" x14ac:dyDescent="0.25">
      <c r="A18" s="15">
        <v>3423909</v>
      </c>
      <c r="B18" s="15" t="s">
        <v>4283</v>
      </c>
      <c r="C18" s="52">
        <v>116.38311400000001</v>
      </c>
      <c r="D18" s="25">
        <v>0.10277777777777779</v>
      </c>
      <c r="F18" s="61" t="s">
        <v>6977</v>
      </c>
    </row>
    <row r="19" spans="1:6" x14ac:dyDescent="0.25">
      <c r="A19" s="15">
        <v>3423909</v>
      </c>
      <c r="B19" s="15" t="s">
        <v>4284</v>
      </c>
      <c r="C19" s="54">
        <v>114.445673</v>
      </c>
      <c r="D19" s="26">
        <v>9.930555555555555E-2</v>
      </c>
      <c r="F19" s="61" t="s">
        <v>6978</v>
      </c>
    </row>
    <row r="20" spans="1:6" x14ac:dyDescent="0.25">
      <c r="A20" s="15">
        <v>3423909</v>
      </c>
      <c r="B20" s="15" t="s">
        <v>4285</v>
      </c>
      <c r="C20" s="52">
        <v>116.824288</v>
      </c>
      <c r="D20" s="25">
        <v>0.10555555555555556</v>
      </c>
      <c r="F20" s="61" t="s">
        <v>6979</v>
      </c>
    </row>
    <row r="21" spans="1:6" x14ac:dyDescent="0.25">
      <c r="A21" s="15">
        <v>3423909</v>
      </c>
      <c r="B21" s="15" t="s">
        <v>4286</v>
      </c>
      <c r="C21" s="54">
        <v>115.75490600000001</v>
      </c>
      <c r="D21" s="26">
        <v>0.10416666666666667</v>
      </c>
      <c r="F21" s="61" t="s">
        <v>6980</v>
      </c>
    </row>
    <row r="22" spans="1:6" x14ac:dyDescent="0.25">
      <c r="A22" s="15">
        <v>3423909</v>
      </c>
      <c r="B22" s="15" t="s">
        <v>4287</v>
      </c>
      <c r="C22" s="52">
        <v>116.81061800000001</v>
      </c>
      <c r="D22" s="25">
        <v>0.10208333333333335</v>
      </c>
      <c r="F22" s="61" t="s">
        <v>6981</v>
      </c>
    </row>
    <row r="23" spans="1:6" x14ac:dyDescent="0.25">
      <c r="A23" s="15">
        <v>3423909</v>
      </c>
      <c r="B23" s="15" t="s">
        <v>4288</v>
      </c>
      <c r="C23" s="54">
        <v>121.638684</v>
      </c>
      <c r="D23" s="26">
        <v>0.10694444444444444</v>
      </c>
      <c r="F23" s="61" t="s">
        <v>6982</v>
      </c>
    </row>
    <row r="24" spans="1:6" x14ac:dyDescent="0.25">
      <c r="A24" s="15">
        <v>3423909</v>
      </c>
      <c r="B24" s="15" t="s">
        <v>4289</v>
      </c>
      <c r="C24" s="52">
        <v>60.011558000000001</v>
      </c>
      <c r="D24" s="25">
        <v>5.347222222222222E-2</v>
      </c>
      <c r="F24" s="61" t="s">
        <v>6983</v>
      </c>
    </row>
    <row r="25" spans="1:6" x14ac:dyDescent="0.25">
      <c r="A25" s="15">
        <v>3423909</v>
      </c>
      <c r="B25" s="15" t="s">
        <v>4290</v>
      </c>
      <c r="C25" s="54">
        <v>56.528142000000003</v>
      </c>
      <c r="D25" s="26">
        <v>5.1388888888888894E-2</v>
      </c>
      <c r="F25" s="61" t="s">
        <v>6984</v>
      </c>
    </row>
    <row r="26" spans="1:6" x14ac:dyDescent="0.25">
      <c r="A26" s="15">
        <v>3423909</v>
      </c>
      <c r="B26" s="15" t="s">
        <v>4291</v>
      </c>
      <c r="C26" s="52">
        <v>57.070599999999999</v>
      </c>
      <c r="D26" s="25">
        <v>5.2083333333333336E-2</v>
      </c>
      <c r="F26" s="61" t="s">
        <v>6985</v>
      </c>
    </row>
    <row r="27" spans="1:6" x14ac:dyDescent="0.25">
      <c r="A27" s="15">
        <v>3423909</v>
      </c>
      <c r="B27" s="15" t="s">
        <v>4292</v>
      </c>
      <c r="C27" s="54">
        <v>58.333851000000003</v>
      </c>
      <c r="D27" s="26">
        <v>5.486111111111111E-2</v>
      </c>
      <c r="F27" s="61" t="s">
        <v>6986</v>
      </c>
    </row>
    <row r="28" spans="1:6" x14ac:dyDescent="0.25">
      <c r="A28" s="15">
        <v>3423909</v>
      </c>
      <c r="B28" s="15" t="s">
        <v>4293</v>
      </c>
      <c r="C28" s="52">
        <v>62.078243000000001</v>
      </c>
      <c r="D28" s="25">
        <v>5.6944444444444443E-2</v>
      </c>
      <c r="F28" s="61" t="s">
        <v>6987</v>
      </c>
    </row>
    <row r="29" spans="1:6" x14ac:dyDescent="0.25">
      <c r="A29" s="15">
        <v>3423909</v>
      </c>
      <c r="B29" s="15" t="s">
        <v>4294</v>
      </c>
      <c r="C29" s="54">
        <v>63.057527</v>
      </c>
      <c r="D29" s="26">
        <v>5.9722222222222225E-2</v>
      </c>
      <c r="F29" s="61" t="s">
        <v>6988</v>
      </c>
    </row>
    <row r="30" spans="1:6" x14ac:dyDescent="0.25">
      <c r="A30" s="15">
        <v>3423909</v>
      </c>
      <c r="B30" s="15" t="s">
        <v>4295</v>
      </c>
      <c r="C30" s="52">
        <v>65.877938</v>
      </c>
      <c r="D30" s="25">
        <v>6.1805555555555558E-2</v>
      </c>
      <c r="F30" s="61" t="s">
        <v>6989</v>
      </c>
    </row>
    <row r="31" spans="1:6" x14ac:dyDescent="0.25">
      <c r="A31" s="15">
        <v>3423909</v>
      </c>
      <c r="B31" s="15" t="s">
        <v>4296</v>
      </c>
      <c r="C31" s="54">
        <v>57.540357999999998</v>
      </c>
      <c r="D31" s="26">
        <v>5.2777777777777778E-2</v>
      </c>
      <c r="F31" s="61" t="s">
        <v>6990</v>
      </c>
    </row>
    <row r="32" spans="1:6" x14ac:dyDescent="0.25">
      <c r="A32" s="15">
        <v>3423909</v>
      </c>
      <c r="B32" s="15" t="s">
        <v>4297</v>
      </c>
      <c r="C32" s="52">
        <v>63.857233000000001</v>
      </c>
      <c r="D32" s="25">
        <v>6.0416666666666667E-2</v>
      </c>
      <c r="F32" s="61" t="s">
        <v>6991</v>
      </c>
    </row>
    <row r="33" spans="1:6" x14ac:dyDescent="0.25">
      <c r="A33" s="15">
        <v>3423909</v>
      </c>
      <c r="B33" s="15" t="s">
        <v>4298</v>
      </c>
      <c r="C33" s="54">
        <v>67.540730999999994</v>
      </c>
      <c r="D33" s="26">
        <v>6.7361111111111108E-2</v>
      </c>
      <c r="F33" s="61" t="s">
        <v>6992</v>
      </c>
    </row>
    <row r="34" spans="1:6" x14ac:dyDescent="0.25">
      <c r="A34" s="15">
        <v>3423909</v>
      </c>
      <c r="B34" s="15" t="s">
        <v>4299</v>
      </c>
      <c r="C34" s="52">
        <v>72.960965000000002</v>
      </c>
      <c r="D34" s="25">
        <v>7.4305555555555555E-2</v>
      </c>
      <c r="F34" s="61" t="s">
        <v>6993</v>
      </c>
    </row>
    <row r="35" spans="1:6" x14ac:dyDescent="0.25">
      <c r="A35" s="15">
        <v>3423909</v>
      </c>
      <c r="B35" s="15" t="s">
        <v>4300</v>
      </c>
      <c r="C35" s="54">
        <v>78.888239999999996</v>
      </c>
      <c r="D35" s="26">
        <v>8.5416666666666655E-2</v>
      </c>
      <c r="F35" s="61" t="s">
        <v>6994</v>
      </c>
    </row>
    <row r="36" spans="1:6" x14ac:dyDescent="0.25">
      <c r="A36" s="15">
        <v>3423909</v>
      </c>
      <c r="B36" s="15" t="s">
        <v>4301</v>
      </c>
      <c r="C36" s="52">
        <v>54.439087000000001</v>
      </c>
      <c r="D36" s="25">
        <v>5.1388888888888894E-2</v>
      </c>
      <c r="F36" s="61" t="s">
        <v>6995</v>
      </c>
    </row>
    <row r="37" spans="1:6" x14ac:dyDescent="0.25">
      <c r="A37" s="15">
        <v>3423909</v>
      </c>
      <c r="B37" s="15" t="s">
        <v>4302</v>
      </c>
      <c r="C37" s="54">
        <v>58.895572000000001</v>
      </c>
      <c r="D37" s="26">
        <v>5.486111111111111E-2</v>
      </c>
      <c r="F37" s="61" t="s">
        <v>6996</v>
      </c>
    </row>
    <row r="38" spans="1:6" x14ac:dyDescent="0.25">
      <c r="A38" s="15">
        <v>3423909</v>
      </c>
      <c r="B38" s="15" t="s">
        <v>4303</v>
      </c>
      <c r="C38" s="52">
        <v>72.907527000000002</v>
      </c>
      <c r="D38" s="25">
        <v>6.9444444444444434E-2</v>
      </c>
      <c r="F38" s="61" t="s">
        <v>6997</v>
      </c>
    </row>
    <row r="39" spans="1:6" x14ac:dyDescent="0.25">
      <c r="A39" s="15">
        <v>3423909</v>
      </c>
      <c r="B39" s="15" t="s">
        <v>4304</v>
      </c>
      <c r="C39" s="54">
        <v>53.693440000000002</v>
      </c>
      <c r="D39" s="26">
        <v>5.1388888888888894E-2</v>
      </c>
      <c r="F39" s="61" t="s">
        <v>6998</v>
      </c>
    </row>
    <row r="40" spans="1:6" x14ac:dyDescent="0.25">
      <c r="A40" s="15">
        <v>3423909</v>
      </c>
      <c r="B40" s="15" t="s">
        <v>4305</v>
      </c>
      <c r="C40" s="52">
        <v>52.417140000000003</v>
      </c>
      <c r="D40" s="25">
        <v>4.9305555555555554E-2</v>
      </c>
      <c r="F40" s="61" t="s">
        <v>6999</v>
      </c>
    </row>
    <row r="41" spans="1:6" x14ac:dyDescent="0.25">
      <c r="A41" s="15">
        <v>3423909</v>
      </c>
      <c r="B41" s="15" t="s">
        <v>4306</v>
      </c>
      <c r="C41" s="54">
        <v>105.43576899999999</v>
      </c>
      <c r="D41" s="26">
        <v>9.2361111111111116E-2</v>
      </c>
      <c r="F41" s="61" t="s">
        <v>7000</v>
      </c>
    </row>
    <row r="42" spans="1:6" x14ac:dyDescent="0.25">
      <c r="A42" s="15">
        <v>3423909</v>
      </c>
      <c r="B42" s="15" t="s">
        <v>4307</v>
      </c>
      <c r="C42" s="52">
        <v>104.339046</v>
      </c>
      <c r="D42" s="25">
        <v>9.0972222222222218E-2</v>
      </c>
      <c r="F42" s="61" t="s">
        <v>7001</v>
      </c>
    </row>
    <row r="43" spans="1:6" x14ac:dyDescent="0.25">
      <c r="A43" s="15">
        <v>3423909</v>
      </c>
      <c r="B43" s="15" t="s">
        <v>4308</v>
      </c>
      <c r="C43" s="54">
        <v>102.562541</v>
      </c>
      <c r="D43" s="26">
        <v>8.8888888888888892E-2</v>
      </c>
      <c r="F43" s="61" t="s">
        <v>7002</v>
      </c>
    </row>
    <row r="44" spans="1:6" x14ac:dyDescent="0.25">
      <c r="A44" s="15">
        <v>3423909</v>
      </c>
      <c r="B44" s="15" t="s">
        <v>4309</v>
      </c>
      <c r="C44" s="52">
        <v>142.644811</v>
      </c>
      <c r="D44" s="25">
        <v>0.12638888888888888</v>
      </c>
      <c r="F44" s="61" t="s">
        <v>7003</v>
      </c>
    </row>
    <row r="45" spans="1:6" x14ac:dyDescent="0.25">
      <c r="A45" s="15">
        <v>3423909</v>
      </c>
      <c r="B45" s="15" t="s">
        <v>4310</v>
      </c>
      <c r="C45" s="54">
        <v>144.206321</v>
      </c>
      <c r="D45" s="26">
        <v>0.12986111111111112</v>
      </c>
      <c r="F45" s="61" t="s">
        <v>7004</v>
      </c>
    </row>
    <row r="46" spans="1:6" x14ac:dyDescent="0.25">
      <c r="A46" s="15">
        <v>3423909</v>
      </c>
      <c r="B46" s="15" t="s">
        <v>4311</v>
      </c>
      <c r="C46" s="52">
        <v>133.68337299999999</v>
      </c>
      <c r="D46" s="25">
        <v>0.12083333333333333</v>
      </c>
      <c r="F46" s="61" t="s">
        <v>7005</v>
      </c>
    </row>
    <row r="47" spans="1:6" x14ac:dyDescent="0.25">
      <c r="A47" s="15">
        <v>3423909</v>
      </c>
      <c r="B47" s="15" t="s">
        <v>4312</v>
      </c>
      <c r="C47" s="54">
        <v>130.21238500000001</v>
      </c>
      <c r="D47" s="26">
        <v>0.11319444444444444</v>
      </c>
      <c r="F47" s="61" t="s">
        <v>7006</v>
      </c>
    </row>
    <row r="48" spans="1:6" x14ac:dyDescent="0.25">
      <c r="A48" s="15">
        <v>3423909</v>
      </c>
      <c r="B48" s="15" t="s">
        <v>4313</v>
      </c>
      <c r="C48" s="52">
        <v>152.86515</v>
      </c>
      <c r="D48" s="25">
        <v>0.13402777777777777</v>
      </c>
      <c r="F48" s="61" t="s">
        <v>7007</v>
      </c>
    </row>
    <row r="49" spans="1:6" x14ac:dyDescent="0.25">
      <c r="A49" s="15">
        <v>3423909</v>
      </c>
      <c r="B49" s="15" t="s">
        <v>4314</v>
      </c>
      <c r="C49" s="54">
        <v>26.677396000000002</v>
      </c>
      <c r="D49" s="26">
        <v>3.1944444444444449E-2</v>
      </c>
      <c r="F49" s="61" t="s">
        <v>7008</v>
      </c>
    </row>
    <row r="50" spans="1:6" x14ac:dyDescent="0.25">
      <c r="A50" s="15">
        <v>3423909</v>
      </c>
      <c r="B50" s="15" t="s">
        <v>4315</v>
      </c>
      <c r="C50" s="52">
        <v>27.455354</v>
      </c>
      <c r="D50" s="25">
        <v>3.4722222222222224E-2</v>
      </c>
      <c r="F50" s="61" t="s">
        <v>7009</v>
      </c>
    </row>
    <row r="51" spans="1:6" x14ac:dyDescent="0.25">
      <c r="A51" s="15">
        <v>3423909</v>
      </c>
      <c r="B51" s="15" t="s">
        <v>4316</v>
      </c>
      <c r="C51" s="54">
        <v>24.749897000000001</v>
      </c>
      <c r="D51" s="26">
        <v>2.9166666666666664E-2</v>
      </c>
      <c r="F51" s="61" t="s">
        <v>7010</v>
      </c>
    </row>
    <row r="52" spans="1:6" x14ac:dyDescent="0.25">
      <c r="A52" s="15">
        <v>3423909</v>
      </c>
      <c r="B52" s="15" t="s">
        <v>4317</v>
      </c>
      <c r="C52" s="52">
        <v>163.53536199999999</v>
      </c>
      <c r="D52" s="25">
        <v>0.13472222222222222</v>
      </c>
      <c r="F52" s="61" t="s">
        <v>7011</v>
      </c>
    </row>
    <row r="53" spans="1:6" x14ac:dyDescent="0.25">
      <c r="A53" s="15">
        <v>3423909</v>
      </c>
      <c r="B53" s="15" t="s">
        <v>4318</v>
      </c>
      <c r="C53" s="54">
        <v>172.64655099999999</v>
      </c>
      <c r="D53" s="26">
        <v>0.14305555555555557</v>
      </c>
      <c r="F53" s="61" t="s">
        <v>7012</v>
      </c>
    </row>
    <row r="54" spans="1:6" x14ac:dyDescent="0.25">
      <c r="A54" s="15">
        <v>3423909</v>
      </c>
      <c r="B54" s="15" t="s">
        <v>4319</v>
      </c>
      <c r="C54" s="52">
        <v>166.28431499999999</v>
      </c>
      <c r="D54" s="25">
        <v>0.1388888888888889</v>
      </c>
      <c r="F54" s="61" t="s">
        <v>7013</v>
      </c>
    </row>
    <row r="55" spans="1:6" x14ac:dyDescent="0.25">
      <c r="A55" s="15">
        <v>3423909</v>
      </c>
      <c r="B55" s="15" t="s">
        <v>4320</v>
      </c>
      <c r="C55" s="54">
        <v>156.588415</v>
      </c>
      <c r="D55" s="26">
        <v>0.13680555555555554</v>
      </c>
      <c r="F55" s="61" t="s">
        <v>7014</v>
      </c>
    </row>
    <row r="56" spans="1:6" x14ac:dyDescent="0.25">
      <c r="A56" s="15">
        <v>3423909</v>
      </c>
      <c r="B56" s="15" t="s">
        <v>4321</v>
      </c>
      <c r="C56" s="52">
        <v>155.48734300000001</v>
      </c>
      <c r="D56" s="25">
        <v>0.13472222222222222</v>
      </c>
      <c r="F56" s="61" t="s">
        <v>7015</v>
      </c>
    </row>
    <row r="57" spans="1:6" x14ac:dyDescent="0.25">
      <c r="A57" s="15">
        <v>3403208</v>
      </c>
      <c r="B57" s="15">
        <v>3423909</v>
      </c>
      <c r="C57" s="54">
        <v>127.89404399999999</v>
      </c>
      <c r="D57" s="26">
        <v>0.11180555555555556</v>
      </c>
      <c r="F57" s="61" t="s">
        <v>7068</v>
      </c>
    </row>
    <row r="58" spans="1:6" x14ac:dyDescent="0.25">
      <c r="A58" s="15">
        <v>3403208</v>
      </c>
      <c r="B58" s="15">
        <v>3403208</v>
      </c>
      <c r="C58" s="52">
        <v>0</v>
      </c>
      <c r="D58" s="25">
        <v>0</v>
      </c>
      <c r="F58" s="61" t="s">
        <v>7069</v>
      </c>
    </row>
    <row r="59" spans="1:6" x14ac:dyDescent="0.25">
      <c r="A59" s="15">
        <v>3403208</v>
      </c>
      <c r="B59" s="15">
        <v>3424402</v>
      </c>
      <c r="C59" s="54">
        <v>198.84921800000001</v>
      </c>
      <c r="D59" s="26">
        <v>0.16250000000000001</v>
      </c>
      <c r="F59" s="61" t="s">
        <v>7173</v>
      </c>
    </row>
    <row r="60" spans="1:6" x14ac:dyDescent="0.25">
      <c r="A60" s="15">
        <v>3403208</v>
      </c>
      <c r="B60" s="15" t="s">
        <v>4271</v>
      </c>
      <c r="C60" s="52">
        <v>120.021872</v>
      </c>
      <c r="D60" s="25">
        <v>0.1013888888888889</v>
      </c>
      <c r="F60" s="61" t="s">
        <v>7070</v>
      </c>
    </row>
    <row r="61" spans="1:6" x14ac:dyDescent="0.25">
      <c r="A61" s="15">
        <v>3403208</v>
      </c>
      <c r="B61" s="15" t="s">
        <v>4272</v>
      </c>
      <c r="C61" s="54">
        <v>113.378776</v>
      </c>
      <c r="D61" s="26">
        <v>9.7222222222222224E-2</v>
      </c>
      <c r="F61" s="61" t="s">
        <v>7071</v>
      </c>
    </row>
    <row r="62" spans="1:6" x14ac:dyDescent="0.25">
      <c r="A62" s="15">
        <v>3403208</v>
      </c>
      <c r="B62" s="15" t="s">
        <v>4273</v>
      </c>
      <c r="C62" s="52">
        <v>114.934072</v>
      </c>
      <c r="D62" s="25">
        <v>0.10069444444444443</v>
      </c>
      <c r="F62" s="61" t="s">
        <v>7072</v>
      </c>
    </row>
    <row r="63" spans="1:6" x14ac:dyDescent="0.25">
      <c r="A63" s="15">
        <v>3403208</v>
      </c>
      <c r="B63" s="15" t="s">
        <v>4274</v>
      </c>
      <c r="C63" s="54">
        <v>111.91420100000001</v>
      </c>
      <c r="D63" s="26">
        <v>9.4444444444444442E-2</v>
      </c>
      <c r="F63" s="61" t="s">
        <v>7073</v>
      </c>
    </row>
    <row r="64" spans="1:6" x14ac:dyDescent="0.25">
      <c r="A64" s="15">
        <v>3403208</v>
      </c>
      <c r="B64" s="15" t="s">
        <v>4275</v>
      </c>
      <c r="C64" s="52">
        <v>112.007407</v>
      </c>
      <c r="D64" s="25">
        <v>9.4444444444444442E-2</v>
      </c>
      <c r="F64" s="61" t="s">
        <v>7074</v>
      </c>
    </row>
    <row r="65" spans="1:6" x14ac:dyDescent="0.25">
      <c r="A65" s="15">
        <v>3403208</v>
      </c>
      <c r="B65" s="15" t="s">
        <v>4276</v>
      </c>
      <c r="C65" s="54">
        <v>120.712839</v>
      </c>
      <c r="D65" s="26">
        <v>0.1013888888888889</v>
      </c>
      <c r="F65" s="61" t="s">
        <v>7075</v>
      </c>
    </row>
    <row r="66" spans="1:6" x14ac:dyDescent="0.25">
      <c r="A66" s="15">
        <v>3403208</v>
      </c>
      <c r="B66" s="15" t="s">
        <v>4277</v>
      </c>
      <c r="C66" s="52">
        <v>114.18718200000001</v>
      </c>
      <c r="D66" s="25">
        <v>9.5833333333333326E-2</v>
      </c>
      <c r="F66" s="61" t="s">
        <v>7076</v>
      </c>
    </row>
    <row r="67" spans="1:6" x14ac:dyDescent="0.25">
      <c r="A67" s="15">
        <v>3403208</v>
      </c>
      <c r="B67" s="15" t="s">
        <v>4278</v>
      </c>
      <c r="C67" s="54">
        <v>121.751153</v>
      </c>
      <c r="D67" s="26">
        <v>0.10277777777777779</v>
      </c>
      <c r="F67" s="61" t="s">
        <v>7077</v>
      </c>
    </row>
    <row r="68" spans="1:6" x14ac:dyDescent="0.25">
      <c r="A68" s="15">
        <v>3403208</v>
      </c>
      <c r="B68" s="15" t="s">
        <v>4279</v>
      </c>
      <c r="C68" s="52">
        <v>93.561335999999997</v>
      </c>
      <c r="D68" s="25">
        <v>7.9166666666666663E-2</v>
      </c>
      <c r="F68" s="61" t="s">
        <v>7078</v>
      </c>
    </row>
    <row r="69" spans="1:6" x14ac:dyDescent="0.25">
      <c r="A69" s="15">
        <v>3403208</v>
      </c>
      <c r="B69" s="15" t="s">
        <v>4280</v>
      </c>
      <c r="C69" s="54">
        <v>167.60721799999999</v>
      </c>
      <c r="D69" s="26">
        <v>0.1423611111111111</v>
      </c>
      <c r="F69" s="61" t="s">
        <v>7079</v>
      </c>
    </row>
    <row r="70" spans="1:6" x14ac:dyDescent="0.25">
      <c r="A70" s="15">
        <v>3403208</v>
      </c>
      <c r="B70" s="15" t="s">
        <v>4281</v>
      </c>
      <c r="C70" s="52">
        <v>85.814059999999998</v>
      </c>
      <c r="D70" s="25">
        <v>7.1527777777777787E-2</v>
      </c>
      <c r="F70" s="61" t="s">
        <v>7080</v>
      </c>
    </row>
    <row r="71" spans="1:6" x14ac:dyDescent="0.25">
      <c r="A71" s="15">
        <v>3403208</v>
      </c>
      <c r="B71" s="15" t="s">
        <v>4282</v>
      </c>
      <c r="C71" s="54">
        <v>197.89044000000001</v>
      </c>
      <c r="D71" s="26">
        <v>0.16250000000000001</v>
      </c>
      <c r="F71" s="61" t="s">
        <v>7081</v>
      </c>
    </row>
    <row r="72" spans="1:6" x14ac:dyDescent="0.25">
      <c r="A72" s="15">
        <v>3403208</v>
      </c>
      <c r="B72" s="15" t="s">
        <v>4283</v>
      </c>
      <c r="C72" s="52">
        <v>205.774417</v>
      </c>
      <c r="D72" s="25">
        <v>0.16805555555555554</v>
      </c>
      <c r="F72" s="61" t="s">
        <v>7082</v>
      </c>
    </row>
    <row r="73" spans="1:6" x14ac:dyDescent="0.25">
      <c r="A73" s="15">
        <v>3403208</v>
      </c>
      <c r="B73" s="15" t="s">
        <v>4284</v>
      </c>
      <c r="C73" s="54">
        <v>203.83697699999999</v>
      </c>
      <c r="D73" s="26">
        <v>0.16527777777777777</v>
      </c>
      <c r="F73" s="61" t="s">
        <v>7083</v>
      </c>
    </row>
    <row r="74" spans="1:6" x14ac:dyDescent="0.25">
      <c r="A74" s="15">
        <v>3403208</v>
      </c>
      <c r="B74" s="15" t="s">
        <v>4285</v>
      </c>
      <c r="C74" s="52">
        <v>207.56956299999999</v>
      </c>
      <c r="D74" s="25">
        <v>0.17361111111111113</v>
      </c>
      <c r="F74" s="61" t="s">
        <v>7084</v>
      </c>
    </row>
    <row r="75" spans="1:6" x14ac:dyDescent="0.25">
      <c r="A75" s="15">
        <v>3403208</v>
      </c>
      <c r="B75" s="15" t="s">
        <v>4286</v>
      </c>
      <c r="C75" s="54">
        <v>205.146209</v>
      </c>
      <c r="D75" s="26">
        <v>0.16944444444444443</v>
      </c>
      <c r="F75" s="61" t="s">
        <v>7085</v>
      </c>
    </row>
    <row r="76" spans="1:6" x14ac:dyDescent="0.25">
      <c r="A76" s="15">
        <v>3403208</v>
      </c>
      <c r="B76" s="15" t="s">
        <v>4287</v>
      </c>
      <c r="C76" s="52">
        <v>206.201921</v>
      </c>
      <c r="D76" s="25">
        <v>0.16805555555555554</v>
      </c>
      <c r="F76" s="61" t="s">
        <v>7086</v>
      </c>
    </row>
    <row r="77" spans="1:6" x14ac:dyDescent="0.25">
      <c r="A77" s="15">
        <v>3403208</v>
      </c>
      <c r="B77" s="15" t="s">
        <v>4288</v>
      </c>
      <c r="C77" s="54">
        <v>211.02998700000001</v>
      </c>
      <c r="D77" s="26">
        <v>0.17291666666666669</v>
      </c>
      <c r="F77" s="61" t="s">
        <v>7087</v>
      </c>
    </row>
    <row r="78" spans="1:6" x14ac:dyDescent="0.25">
      <c r="A78" s="15">
        <v>3403208</v>
      </c>
      <c r="B78" s="15" t="s">
        <v>4289</v>
      </c>
      <c r="C78" s="52">
        <v>164.38726399999999</v>
      </c>
      <c r="D78" s="25">
        <v>0.13333333333333333</v>
      </c>
      <c r="F78" s="61" t="s">
        <v>7088</v>
      </c>
    </row>
    <row r="79" spans="1:6" x14ac:dyDescent="0.25">
      <c r="A79" s="15">
        <v>3403208</v>
      </c>
      <c r="B79" s="15" t="s">
        <v>4290</v>
      </c>
      <c r="C79" s="54">
        <v>165.959337</v>
      </c>
      <c r="D79" s="26">
        <v>0.13680555555555554</v>
      </c>
      <c r="F79" s="61" t="s">
        <v>7089</v>
      </c>
    </row>
    <row r="80" spans="1:6" x14ac:dyDescent="0.25">
      <c r="A80" s="15">
        <v>3403208</v>
      </c>
      <c r="B80" s="15" t="s">
        <v>4291</v>
      </c>
      <c r="C80" s="52">
        <v>165.561037</v>
      </c>
      <c r="D80" s="25">
        <v>0.13749999999999998</v>
      </c>
      <c r="F80" s="61" t="s">
        <v>7090</v>
      </c>
    </row>
    <row r="81" spans="1:6" x14ac:dyDescent="0.25">
      <c r="A81" s="15">
        <v>3403208</v>
      </c>
      <c r="B81" s="15" t="s">
        <v>4292</v>
      </c>
      <c r="C81" s="54">
        <v>164.684281</v>
      </c>
      <c r="D81" s="26">
        <v>0.1361111111111111</v>
      </c>
      <c r="F81" s="61" t="s">
        <v>7091</v>
      </c>
    </row>
    <row r="82" spans="1:6" x14ac:dyDescent="0.25">
      <c r="A82" s="15">
        <v>3403208</v>
      </c>
      <c r="B82" s="15" t="s">
        <v>4293</v>
      </c>
      <c r="C82" s="52">
        <v>173.83461500000001</v>
      </c>
      <c r="D82" s="25">
        <v>0.14375000000000002</v>
      </c>
      <c r="F82" s="61" t="s">
        <v>7092</v>
      </c>
    </row>
    <row r="83" spans="1:6" x14ac:dyDescent="0.25">
      <c r="A83" s="15">
        <v>3403208</v>
      </c>
      <c r="B83" s="15" t="s">
        <v>4294</v>
      </c>
      <c r="C83" s="54">
        <v>174.81389899999999</v>
      </c>
      <c r="D83" s="26">
        <v>0.14583333333333334</v>
      </c>
      <c r="F83" s="61" t="s">
        <v>7093</v>
      </c>
    </row>
    <row r="84" spans="1:6" x14ac:dyDescent="0.25">
      <c r="A84" s="15">
        <v>3403208</v>
      </c>
      <c r="B84" s="15" t="s">
        <v>4295</v>
      </c>
      <c r="C84" s="52">
        <v>177.63431</v>
      </c>
      <c r="D84" s="25">
        <v>0.14861111111111111</v>
      </c>
      <c r="F84" s="61" t="s">
        <v>7094</v>
      </c>
    </row>
    <row r="85" spans="1:6" x14ac:dyDescent="0.25">
      <c r="A85" s="15">
        <v>3403208</v>
      </c>
      <c r="B85" s="15" t="s">
        <v>4296</v>
      </c>
      <c r="C85" s="54">
        <v>169.29673</v>
      </c>
      <c r="D85" s="26">
        <v>0.1388888888888889</v>
      </c>
      <c r="F85" s="61" t="s">
        <v>7095</v>
      </c>
    </row>
    <row r="86" spans="1:6" x14ac:dyDescent="0.25">
      <c r="A86" s="15">
        <v>3403208</v>
      </c>
      <c r="B86" s="15" t="s">
        <v>4297</v>
      </c>
      <c r="C86" s="52">
        <v>175.613606</v>
      </c>
      <c r="D86" s="25">
        <v>0.14652777777777778</v>
      </c>
      <c r="F86" s="61" t="s">
        <v>7096</v>
      </c>
    </row>
    <row r="87" spans="1:6" x14ac:dyDescent="0.25">
      <c r="A87" s="15">
        <v>3403208</v>
      </c>
      <c r="B87" s="15" t="s">
        <v>4298</v>
      </c>
      <c r="C87" s="54">
        <v>176.94520700000001</v>
      </c>
      <c r="D87" s="26">
        <v>0.15277777777777776</v>
      </c>
      <c r="F87" s="61" t="s">
        <v>7097</v>
      </c>
    </row>
    <row r="88" spans="1:6" x14ac:dyDescent="0.25">
      <c r="A88" s="15">
        <v>3403208</v>
      </c>
      <c r="B88" s="15" t="s">
        <v>4299</v>
      </c>
      <c r="C88" s="52">
        <v>179.20762500000001</v>
      </c>
      <c r="D88" s="25">
        <v>0.15694444444444444</v>
      </c>
      <c r="F88" s="61" t="s">
        <v>7098</v>
      </c>
    </row>
    <row r="89" spans="1:6" x14ac:dyDescent="0.25">
      <c r="A89" s="15">
        <v>3403208</v>
      </c>
      <c r="B89" s="15" t="s">
        <v>4300</v>
      </c>
      <c r="C89" s="54">
        <v>183.267054</v>
      </c>
      <c r="D89" s="26">
        <v>0.16597222222222222</v>
      </c>
      <c r="F89" s="61" t="s">
        <v>7099</v>
      </c>
    </row>
    <row r="90" spans="1:6" x14ac:dyDescent="0.25">
      <c r="A90" s="15">
        <v>3403208</v>
      </c>
      <c r="B90" s="15" t="s">
        <v>4301</v>
      </c>
      <c r="C90" s="52">
        <v>174.571563</v>
      </c>
      <c r="D90" s="25">
        <v>0.15347222222222223</v>
      </c>
      <c r="F90" s="61" t="s">
        <v>7100</v>
      </c>
    </row>
    <row r="91" spans="1:6" x14ac:dyDescent="0.25">
      <c r="A91" s="15">
        <v>3403208</v>
      </c>
      <c r="B91" s="15" t="s">
        <v>4302</v>
      </c>
      <c r="C91" s="54">
        <v>164.13312300000001</v>
      </c>
      <c r="D91" s="26">
        <v>0.13749999999999998</v>
      </c>
      <c r="F91" s="61" t="s">
        <v>7101</v>
      </c>
    </row>
    <row r="92" spans="1:6" x14ac:dyDescent="0.25">
      <c r="A92" s="15">
        <v>3403208</v>
      </c>
      <c r="B92" s="15" t="s">
        <v>4303</v>
      </c>
      <c r="C92" s="52">
        <v>177.29069100000001</v>
      </c>
      <c r="D92" s="25">
        <v>0.15</v>
      </c>
      <c r="F92" s="61" t="s">
        <v>7102</v>
      </c>
    </row>
    <row r="93" spans="1:6" x14ac:dyDescent="0.25">
      <c r="A93" s="15">
        <v>3403208</v>
      </c>
      <c r="B93" s="15" t="s">
        <v>4304</v>
      </c>
      <c r="C93" s="54">
        <v>164.79488499999999</v>
      </c>
      <c r="D93" s="26">
        <v>0.15138888888888888</v>
      </c>
      <c r="F93" s="61" t="s">
        <v>7103</v>
      </c>
    </row>
    <row r="94" spans="1:6" x14ac:dyDescent="0.25">
      <c r="A94" s="15">
        <v>3403208</v>
      </c>
      <c r="B94" s="15" t="s">
        <v>4305</v>
      </c>
      <c r="C94" s="52">
        <v>161.76072199999999</v>
      </c>
      <c r="D94" s="25">
        <v>0.14583333333333334</v>
      </c>
      <c r="F94" s="61" t="s">
        <v>7104</v>
      </c>
    </row>
    <row r="95" spans="1:6" x14ac:dyDescent="0.25">
      <c r="A95" s="15">
        <v>3403208</v>
      </c>
      <c r="B95" s="15" t="s">
        <v>4306</v>
      </c>
      <c r="C95" s="54">
        <v>30.136578</v>
      </c>
      <c r="D95" s="26">
        <v>2.7777777777777776E-2</v>
      </c>
      <c r="F95" s="61" t="s">
        <v>7105</v>
      </c>
    </row>
    <row r="96" spans="1:6" x14ac:dyDescent="0.25">
      <c r="A96" s="15">
        <v>3403208</v>
      </c>
      <c r="B96" s="15" t="s">
        <v>4307</v>
      </c>
      <c r="C96" s="52">
        <v>29.080864999999999</v>
      </c>
      <c r="D96" s="25">
        <v>2.5694444444444447E-2</v>
      </c>
      <c r="F96" s="61" t="s">
        <v>7106</v>
      </c>
    </row>
    <row r="97" spans="1:6" x14ac:dyDescent="0.25">
      <c r="A97" s="15">
        <v>3403208</v>
      </c>
      <c r="B97" s="15" t="s">
        <v>4308</v>
      </c>
      <c r="C97" s="54">
        <v>27.731244</v>
      </c>
      <c r="D97" s="26">
        <v>2.361111111111111E-2</v>
      </c>
      <c r="F97" s="61" t="s">
        <v>7107</v>
      </c>
    </row>
    <row r="98" spans="1:6" x14ac:dyDescent="0.25">
      <c r="A98" s="15">
        <v>3403208</v>
      </c>
      <c r="B98" s="15" t="s">
        <v>4309</v>
      </c>
      <c r="C98" s="52">
        <v>232.036114</v>
      </c>
      <c r="D98" s="25">
        <v>0.19236111111111112</v>
      </c>
      <c r="F98" s="61" t="s">
        <v>7108</v>
      </c>
    </row>
    <row r="99" spans="1:6" x14ac:dyDescent="0.25">
      <c r="A99" s="15">
        <v>3403208</v>
      </c>
      <c r="B99" s="15" t="s">
        <v>4310</v>
      </c>
      <c r="C99" s="54">
        <v>233.597624</v>
      </c>
      <c r="D99" s="26">
        <v>0.19583333333333333</v>
      </c>
      <c r="F99" s="61" t="s">
        <v>7109</v>
      </c>
    </row>
    <row r="100" spans="1:6" x14ac:dyDescent="0.25">
      <c r="A100" s="15">
        <v>3403208</v>
      </c>
      <c r="B100" s="15" t="s">
        <v>4311</v>
      </c>
      <c r="C100" s="52">
        <v>223.07467700000001</v>
      </c>
      <c r="D100" s="25">
        <v>0.18680555555555556</v>
      </c>
      <c r="F100" s="61" t="s">
        <v>7110</v>
      </c>
    </row>
    <row r="101" spans="1:6" x14ac:dyDescent="0.25">
      <c r="A101" s="15">
        <v>3403208</v>
      </c>
      <c r="B101" s="15" t="s">
        <v>4312</v>
      </c>
      <c r="C101" s="54">
        <v>219.60368800000001</v>
      </c>
      <c r="D101" s="26">
        <v>0.17916666666666667</v>
      </c>
      <c r="F101" s="61" t="s">
        <v>7111</v>
      </c>
    </row>
    <row r="102" spans="1:6" x14ac:dyDescent="0.25">
      <c r="A102" s="15">
        <v>3403208</v>
      </c>
      <c r="B102" s="15" t="s">
        <v>4313</v>
      </c>
      <c r="C102" s="52">
        <v>242.25645299999999</v>
      </c>
      <c r="D102" s="25">
        <v>0.19999999999999998</v>
      </c>
      <c r="F102" s="61" t="s">
        <v>7112</v>
      </c>
    </row>
    <row r="103" spans="1:6" x14ac:dyDescent="0.25">
      <c r="A103" s="15">
        <v>3403208</v>
      </c>
      <c r="B103" s="15" t="s">
        <v>4314</v>
      </c>
      <c r="C103" s="54">
        <v>159.57038299999999</v>
      </c>
      <c r="D103" s="26">
        <v>0.13958333333333334</v>
      </c>
      <c r="F103" s="61" t="s">
        <v>7113</v>
      </c>
    </row>
    <row r="104" spans="1:6" x14ac:dyDescent="0.25">
      <c r="A104" s="15">
        <v>3403208</v>
      </c>
      <c r="B104" s="15" t="s">
        <v>4315</v>
      </c>
      <c r="C104" s="52">
        <v>163.86344700000001</v>
      </c>
      <c r="D104" s="25">
        <v>0.14861111111111111</v>
      </c>
      <c r="F104" s="61" t="s">
        <v>7114</v>
      </c>
    </row>
    <row r="105" spans="1:6" x14ac:dyDescent="0.25">
      <c r="A105" s="15">
        <v>3403208</v>
      </c>
      <c r="B105" s="15" t="s">
        <v>4316</v>
      </c>
      <c r="C105" s="54">
        <v>161.97074599999999</v>
      </c>
      <c r="D105" s="26">
        <v>0.1451388888888889</v>
      </c>
      <c r="F105" s="61" t="s">
        <v>7115</v>
      </c>
    </row>
    <row r="106" spans="1:6" x14ac:dyDescent="0.25">
      <c r="A106" s="15">
        <v>3403208</v>
      </c>
      <c r="B106" s="15" t="s">
        <v>4317</v>
      </c>
      <c r="C106" s="52">
        <v>53.272148999999999</v>
      </c>
      <c r="D106" s="25">
        <v>4.8611111111111112E-2</v>
      </c>
      <c r="F106" s="61" t="s">
        <v>7116</v>
      </c>
    </row>
    <row r="107" spans="1:6" x14ac:dyDescent="0.25">
      <c r="A107" s="15">
        <v>3403208</v>
      </c>
      <c r="B107" s="15" t="s">
        <v>4318</v>
      </c>
      <c r="C107" s="54">
        <v>59.779786000000001</v>
      </c>
      <c r="D107" s="26">
        <v>5.6944444444444443E-2</v>
      </c>
      <c r="F107" s="61" t="s">
        <v>7117</v>
      </c>
    </row>
    <row r="108" spans="1:6" x14ac:dyDescent="0.25">
      <c r="A108" s="15">
        <v>3403208</v>
      </c>
      <c r="B108" s="15" t="s">
        <v>4319</v>
      </c>
      <c r="C108" s="52">
        <v>55.301552000000001</v>
      </c>
      <c r="D108" s="25">
        <v>5.2083333333333336E-2</v>
      </c>
      <c r="F108" s="61" t="s">
        <v>7118</v>
      </c>
    </row>
    <row r="109" spans="1:6" x14ac:dyDescent="0.25">
      <c r="A109" s="15">
        <v>3403208</v>
      </c>
      <c r="B109" s="15" t="s">
        <v>4320</v>
      </c>
      <c r="C109" s="54">
        <v>77.56223</v>
      </c>
      <c r="D109" s="26">
        <v>7.4305555555555555E-2</v>
      </c>
      <c r="F109" s="61" t="s">
        <v>7119</v>
      </c>
    </row>
    <row r="110" spans="1:6" x14ac:dyDescent="0.25">
      <c r="A110" s="15">
        <v>3403208</v>
      </c>
      <c r="B110" s="15" t="s">
        <v>4321</v>
      </c>
      <c r="C110" s="52">
        <v>77.381411</v>
      </c>
      <c r="D110" s="25">
        <v>7.3611111111111113E-2</v>
      </c>
      <c r="F110" s="61" t="s">
        <v>7120</v>
      </c>
    </row>
    <row r="111" spans="1:6" x14ac:dyDescent="0.25">
      <c r="A111" s="15">
        <v>3424402</v>
      </c>
      <c r="B111" s="15">
        <v>3423909</v>
      </c>
      <c r="C111" s="54">
        <v>107.885841</v>
      </c>
      <c r="D111" s="26">
        <v>9.4444444444444442E-2</v>
      </c>
      <c r="F111" s="61" t="s">
        <v>7174</v>
      </c>
    </row>
    <row r="112" spans="1:6" x14ac:dyDescent="0.25">
      <c r="A112" s="15">
        <v>3424402</v>
      </c>
      <c r="B112" s="15">
        <v>3403208</v>
      </c>
      <c r="C112" s="52">
        <v>197.973704</v>
      </c>
      <c r="D112" s="25">
        <v>0.15972222222222224</v>
      </c>
      <c r="F112" s="61" t="s">
        <v>7175</v>
      </c>
    </row>
    <row r="113" spans="1:6" x14ac:dyDescent="0.25">
      <c r="A113" s="15">
        <v>3424402</v>
      </c>
      <c r="B113" s="15">
        <v>3424402</v>
      </c>
      <c r="C113" s="54">
        <v>0</v>
      </c>
      <c r="D113" s="26">
        <v>0</v>
      </c>
      <c r="F113" s="61" t="s">
        <v>7176</v>
      </c>
    </row>
    <row r="114" spans="1:6" x14ac:dyDescent="0.25">
      <c r="A114" s="15">
        <v>3424402</v>
      </c>
      <c r="B114" s="15" t="s">
        <v>4271</v>
      </c>
      <c r="C114" s="52">
        <v>89.214832999999999</v>
      </c>
      <c r="D114" s="25">
        <v>7.5694444444444439E-2</v>
      </c>
      <c r="F114" s="61" t="s">
        <v>7177</v>
      </c>
    </row>
    <row r="115" spans="1:6" x14ac:dyDescent="0.25">
      <c r="A115" s="15">
        <v>3424402</v>
      </c>
      <c r="B115" s="15" t="s">
        <v>4272</v>
      </c>
      <c r="C115" s="54">
        <v>86.812606000000002</v>
      </c>
      <c r="D115" s="26">
        <v>7.5694444444444439E-2</v>
      </c>
      <c r="F115" s="61" t="s">
        <v>7178</v>
      </c>
    </row>
    <row r="116" spans="1:6" x14ac:dyDescent="0.25">
      <c r="A116" s="15">
        <v>3424402</v>
      </c>
      <c r="B116" s="15" t="s">
        <v>4273</v>
      </c>
      <c r="C116" s="52">
        <v>86.879092999999997</v>
      </c>
      <c r="D116" s="25">
        <v>7.6388888888888895E-2</v>
      </c>
      <c r="F116" s="61" t="s">
        <v>7179</v>
      </c>
    </row>
    <row r="117" spans="1:6" x14ac:dyDescent="0.25">
      <c r="A117" s="15">
        <v>3424402</v>
      </c>
      <c r="B117" s="15" t="s">
        <v>4274</v>
      </c>
      <c r="C117" s="54">
        <v>90.728497000000004</v>
      </c>
      <c r="D117" s="26">
        <v>7.6388888888888895E-2</v>
      </c>
      <c r="F117" s="61" t="s">
        <v>7180</v>
      </c>
    </row>
    <row r="118" spans="1:6" x14ac:dyDescent="0.25">
      <c r="A118" s="15">
        <v>3424402</v>
      </c>
      <c r="B118" s="15" t="s">
        <v>4275</v>
      </c>
      <c r="C118" s="52">
        <v>90.821702999999999</v>
      </c>
      <c r="D118" s="25">
        <v>7.7083333333333337E-2</v>
      </c>
      <c r="F118" s="61" t="s">
        <v>7181</v>
      </c>
    </row>
    <row r="119" spans="1:6" x14ac:dyDescent="0.25">
      <c r="A119" s="15">
        <v>3424402</v>
      </c>
      <c r="B119" s="15" t="s">
        <v>4276</v>
      </c>
      <c r="C119" s="54">
        <v>85.224378000000002</v>
      </c>
      <c r="D119" s="26">
        <v>7.5694444444444439E-2</v>
      </c>
      <c r="F119" s="61" t="s">
        <v>7182</v>
      </c>
    </row>
    <row r="120" spans="1:6" x14ac:dyDescent="0.25">
      <c r="A120" s="15">
        <v>3424402</v>
      </c>
      <c r="B120" s="15" t="s">
        <v>4277</v>
      </c>
      <c r="C120" s="52">
        <v>89.874730999999997</v>
      </c>
      <c r="D120" s="25">
        <v>7.9166666666666663E-2</v>
      </c>
      <c r="F120" s="61" t="s">
        <v>7183</v>
      </c>
    </row>
    <row r="121" spans="1:6" x14ac:dyDescent="0.25">
      <c r="A121" s="15">
        <v>3424402</v>
      </c>
      <c r="B121" s="15" t="s">
        <v>4278</v>
      </c>
      <c r="C121" s="54">
        <v>84.611082999999994</v>
      </c>
      <c r="D121" s="26">
        <v>7.1527777777777787E-2</v>
      </c>
      <c r="F121" s="61" t="s">
        <v>7184</v>
      </c>
    </row>
    <row r="122" spans="1:6" x14ac:dyDescent="0.25">
      <c r="A122" s="15">
        <v>3424402</v>
      </c>
      <c r="B122" s="15" t="s">
        <v>4279</v>
      </c>
      <c r="C122" s="52">
        <v>108.192178</v>
      </c>
      <c r="D122" s="25">
        <v>9.2361111111111116E-2</v>
      </c>
      <c r="F122" s="61" t="s">
        <v>7185</v>
      </c>
    </row>
    <row r="123" spans="1:6" x14ac:dyDescent="0.25">
      <c r="A123" s="15">
        <v>3424402</v>
      </c>
      <c r="B123" s="15" t="s">
        <v>4280</v>
      </c>
      <c r="C123" s="54">
        <v>55.465595</v>
      </c>
      <c r="D123" s="26">
        <v>5.7638888888888885E-2</v>
      </c>
      <c r="F123" s="61" t="s">
        <v>7186</v>
      </c>
    </row>
    <row r="124" spans="1:6" x14ac:dyDescent="0.25">
      <c r="A124" s="15">
        <v>3424402</v>
      </c>
      <c r="B124" s="15" t="s">
        <v>4281</v>
      </c>
      <c r="C124" s="52">
        <v>128.74221700000001</v>
      </c>
      <c r="D124" s="25">
        <v>0.10625</v>
      </c>
      <c r="F124" s="61" t="s">
        <v>7187</v>
      </c>
    </row>
    <row r="125" spans="1:6" x14ac:dyDescent="0.25">
      <c r="A125" s="15">
        <v>3424402</v>
      </c>
      <c r="B125" s="15" t="s">
        <v>4282</v>
      </c>
      <c r="C125" s="54">
        <v>2.6190859999999998</v>
      </c>
      <c r="D125" s="26">
        <v>8.3333333333333332E-3</v>
      </c>
      <c r="F125" s="61" t="s">
        <v>7188</v>
      </c>
    </row>
    <row r="126" spans="1:6" x14ac:dyDescent="0.25">
      <c r="A126" s="15">
        <v>3424402</v>
      </c>
      <c r="B126" s="15" t="s">
        <v>4283</v>
      </c>
      <c r="C126" s="52">
        <v>8.9732439999999993</v>
      </c>
      <c r="D126" s="25">
        <v>1.2499999999999999E-2</v>
      </c>
      <c r="F126" s="61" t="s">
        <v>7189</v>
      </c>
    </row>
    <row r="127" spans="1:6" x14ac:dyDescent="0.25">
      <c r="A127" s="15">
        <v>3424402</v>
      </c>
      <c r="B127" s="15" t="s">
        <v>4284</v>
      </c>
      <c r="C127" s="54">
        <v>7.0358029999999996</v>
      </c>
      <c r="D127" s="26">
        <v>9.7222222222222224E-3</v>
      </c>
      <c r="F127" s="61" t="s">
        <v>7190</v>
      </c>
    </row>
    <row r="128" spans="1:6" x14ac:dyDescent="0.25">
      <c r="A128" s="15">
        <v>3424402</v>
      </c>
      <c r="B128" s="15" t="s">
        <v>4285</v>
      </c>
      <c r="C128" s="52">
        <v>9.4144179999999995</v>
      </c>
      <c r="D128" s="25">
        <v>1.5277777777777777E-2</v>
      </c>
      <c r="F128" s="61" t="s">
        <v>7191</v>
      </c>
    </row>
    <row r="129" spans="1:6" x14ac:dyDescent="0.25">
      <c r="A129" s="15">
        <v>3424402</v>
      </c>
      <c r="B129" s="15" t="s">
        <v>4286</v>
      </c>
      <c r="C129" s="54">
        <v>8.3450360000000003</v>
      </c>
      <c r="D129" s="26">
        <v>1.3888888888888888E-2</v>
      </c>
      <c r="F129" s="61" t="s">
        <v>7192</v>
      </c>
    </row>
    <row r="130" spans="1:6" x14ac:dyDescent="0.25">
      <c r="A130" s="15">
        <v>3424402</v>
      </c>
      <c r="B130" s="15" t="s">
        <v>4287</v>
      </c>
      <c r="C130" s="52">
        <v>9.4007480000000001</v>
      </c>
      <c r="D130" s="25">
        <v>1.2499999999999999E-2</v>
      </c>
      <c r="F130" s="61" t="s">
        <v>7193</v>
      </c>
    </row>
    <row r="131" spans="1:6" x14ac:dyDescent="0.25">
      <c r="A131" s="15">
        <v>3424402</v>
      </c>
      <c r="B131" s="15" t="s">
        <v>4288</v>
      </c>
      <c r="C131" s="54">
        <v>14.228814</v>
      </c>
      <c r="D131" s="26">
        <v>1.6666666666666666E-2</v>
      </c>
      <c r="F131" s="61" t="s">
        <v>7194</v>
      </c>
    </row>
    <row r="132" spans="1:6" x14ac:dyDescent="0.25">
      <c r="A132" s="15">
        <v>3424402</v>
      </c>
      <c r="B132" s="15" t="s">
        <v>4289</v>
      </c>
      <c r="C132" s="52">
        <v>50.638150000000003</v>
      </c>
      <c r="D132" s="25">
        <v>4.7916666666666663E-2</v>
      </c>
      <c r="F132" s="61" t="s">
        <v>7195</v>
      </c>
    </row>
    <row r="133" spans="1:6" x14ac:dyDescent="0.25">
      <c r="A133" s="15">
        <v>3424402</v>
      </c>
      <c r="B133" s="15" t="s">
        <v>4290</v>
      </c>
      <c r="C133" s="54">
        <v>58.190935000000003</v>
      </c>
      <c r="D133" s="26">
        <v>5.7638888888888885E-2</v>
      </c>
      <c r="F133" s="61" t="s">
        <v>7196</v>
      </c>
    </row>
    <row r="134" spans="1:6" x14ac:dyDescent="0.25">
      <c r="A134" s="15">
        <v>3424402</v>
      </c>
      <c r="B134" s="15" t="s">
        <v>4291</v>
      </c>
      <c r="C134" s="52">
        <v>57.797606000000002</v>
      </c>
      <c r="D134" s="25">
        <v>5.7638888888888885E-2</v>
      </c>
      <c r="F134" s="61" t="s">
        <v>7197</v>
      </c>
    </row>
    <row r="135" spans="1:6" x14ac:dyDescent="0.25">
      <c r="A135" s="15">
        <v>3424402</v>
      </c>
      <c r="B135" s="15" t="s">
        <v>4292</v>
      </c>
      <c r="C135" s="54">
        <v>54.508059000000003</v>
      </c>
      <c r="D135" s="26">
        <v>5.486111111111111E-2</v>
      </c>
      <c r="F135" s="61" t="s">
        <v>7198</v>
      </c>
    </row>
    <row r="136" spans="1:6" x14ac:dyDescent="0.25">
      <c r="A136" s="15">
        <v>3424402</v>
      </c>
      <c r="B136" s="15" t="s">
        <v>4293</v>
      </c>
      <c r="C136" s="52">
        <v>62.946922000000001</v>
      </c>
      <c r="D136" s="25">
        <v>6.3888888888888884E-2</v>
      </c>
      <c r="F136" s="61" t="s">
        <v>7199</v>
      </c>
    </row>
    <row r="137" spans="1:6" x14ac:dyDescent="0.25">
      <c r="A137" s="15">
        <v>3424402</v>
      </c>
      <c r="B137" s="15" t="s">
        <v>4294</v>
      </c>
      <c r="C137" s="54">
        <v>57.791392999999999</v>
      </c>
      <c r="D137" s="26">
        <v>6.6666666666666666E-2</v>
      </c>
      <c r="F137" s="61" t="s">
        <v>7200</v>
      </c>
    </row>
    <row r="138" spans="1:6" x14ac:dyDescent="0.25">
      <c r="A138" s="15">
        <v>3424402</v>
      </c>
      <c r="B138" s="15" t="s">
        <v>4295</v>
      </c>
      <c r="C138" s="52">
        <v>60.214745999999998</v>
      </c>
      <c r="D138" s="25">
        <v>7.2222222222222229E-2</v>
      </c>
      <c r="F138" s="61" t="s">
        <v>7201</v>
      </c>
    </row>
    <row r="139" spans="1:6" x14ac:dyDescent="0.25">
      <c r="A139" s="15">
        <v>3424402</v>
      </c>
      <c r="B139" s="15" t="s">
        <v>4296</v>
      </c>
      <c r="C139" s="54">
        <v>66.903824</v>
      </c>
      <c r="D139" s="26">
        <v>6.5972222222222224E-2</v>
      </c>
      <c r="F139" s="61" t="s">
        <v>7202</v>
      </c>
    </row>
    <row r="140" spans="1:6" x14ac:dyDescent="0.25">
      <c r="A140" s="15">
        <v>3424402</v>
      </c>
      <c r="B140" s="15" t="s">
        <v>4297</v>
      </c>
      <c r="C140" s="52">
        <v>59.618228999999999</v>
      </c>
      <c r="D140" s="25">
        <v>6.8749999999999992E-2</v>
      </c>
      <c r="F140" s="61" t="s">
        <v>7203</v>
      </c>
    </row>
    <row r="141" spans="1:6" x14ac:dyDescent="0.25">
      <c r="A141" s="15">
        <v>3424402</v>
      </c>
      <c r="B141" s="15" t="s">
        <v>4298</v>
      </c>
      <c r="C141" s="54">
        <v>59.405718999999998</v>
      </c>
      <c r="D141" s="26">
        <v>6.458333333333334E-2</v>
      </c>
      <c r="F141" s="61" t="s">
        <v>7204</v>
      </c>
    </row>
    <row r="142" spans="1:6" x14ac:dyDescent="0.25">
      <c r="A142" s="15">
        <v>3424402</v>
      </c>
      <c r="B142" s="15" t="s">
        <v>4299</v>
      </c>
      <c r="C142" s="52">
        <v>56.990442999999999</v>
      </c>
      <c r="D142" s="25">
        <v>5.9722222222222225E-2</v>
      </c>
      <c r="F142" s="61" t="s">
        <v>7205</v>
      </c>
    </row>
    <row r="143" spans="1:6" x14ac:dyDescent="0.25">
      <c r="A143" s="15">
        <v>3424402</v>
      </c>
      <c r="B143" s="15" t="s">
        <v>4300</v>
      </c>
      <c r="C143" s="54">
        <v>58.052368999999999</v>
      </c>
      <c r="D143" s="26">
        <v>5.347222222222222E-2</v>
      </c>
      <c r="F143" s="61" t="s">
        <v>7206</v>
      </c>
    </row>
    <row r="144" spans="1:6" x14ac:dyDescent="0.25">
      <c r="A144" s="15">
        <v>3424402</v>
      </c>
      <c r="B144" s="15" t="s">
        <v>4301</v>
      </c>
      <c r="C144" s="52">
        <v>60.906334000000001</v>
      </c>
      <c r="D144" s="25">
        <v>6.25E-2</v>
      </c>
      <c r="F144" s="61" t="s">
        <v>7207</v>
      </c>
    </row>
    <row r="145" spans="1:6" x14ac:dyDescent="0.25">
      <c r="A145" s="15">
        <v>3424402</v>
      </c>
      <c r="B145" s="15" t="s">
        <v>4302</v>
      </c>
      <c r="C145" s="54">
        <v>55.937215999999999</v>
      </c>
      <c r="D145" s="26">
        <v>5.5555555555555552E-2</v>
      </c>
      <c r="F145" s="61" t="s">
        <v>7208</v>
      </c>
    </row>
    <row r="146" spans="1:6" x14ac:dyDescent="0.25">
      <c r="A146" s="15">
        <v>3424402</v>
      </c>
      <c r="B146" s="15" t="s">
        <v>4303</v>
      </c>
      <c r="C146" s="52">
        <v>46.003331000000003</v>
      </c>
      <c r="D146" s="25">
        <v>4.5138888888888888E-2</v>
      </c>
      <c r="F146" s="61" t="s">
        <v>7209</v>
      </c>
    </row>
    <row r="147" spans="1:6" x14ac:dyDescent="0.25">
      <c r="A147" s="15">
        <v>3424402</v>
      </c>
      <c r="B147" s="15" t="s">
        <v>4304</v>
      </c>
      <c r="C147" s="54">
        <v>65.613854000000003</v>
      </c>
      <c r="D147" s="26">
        <v>6.7361111111111108E-2</v>
      </c>
      <c r="F147" s="61" t="s">
        <v>7210</v>
      </c>
    </row>
    <row r="148" spans="1:6" x14ac:dyDescent="0.25">
      <c r="A148" s="15">
        <v>3424402</v>
      </c>
      <c r="B148" s="15" t="s">
        <v>4305</v>
      </c>
      <c r="C148" s="52">
        <v>66.209750999999997</v>
      </c>
      <c r="D148" s="25">
        <v>6.6666666666666666E-2</v>
      </c>
      <c r="F148" s="61" t="s">
        <v>7211</v>
      </c>
    </row>
    <row r="149" spans="1:6" x14ac:dyDescent="0.25">
      <c r="A149" s="15">
        <v>3424402</v>
      </c>
      <c r="B149" s="15" t="s">
        <v>4306</v>
      </c>
      <c r="C149" s="54">
        <v>174.90959000000001</v>
      </c>
      <c r="D149" s="26">
        <v>0.14444444444444446</v>
      </c>
      <c r="F149" s="61" t="s">
        <v>7212</v>
      </c>
    </row>
    <row r="150" spans="1:6" x14ac:dyDescent="0.25">
      <c r="A150" s="15">
        <v>3424402</v>
      </c>
      <c r="B150" s="15" t="s">
        <v>4307</v>
      </c>
      <c r="C150" s="52">
        <v>173.81286700000001</v>
      </c>
      <c r="D150" s="25">
        <v>0.14305555555555557</v>
      </c>
      <c r="F150" s="61" t="s">
        <v>7213</v>
      </c>
    </row>
    <row r="151" spans="1:6" x14ac:dyDescent="0.25">
      <c r="A151" s="15">
        <v>3424402</v>
      </c>
      <c r="B151" s="15" t="s">
        <v>4308</v>
      </c>
      <c r="C151" s="54">
        <v>172.03636299999999</v>
      </c>
      <c r="D151" s="26">
        <v>0.14097222222222222</v>
      </c>
      <c r="F151" s="61" t="s">
        <v>7214</v>
      </c>
    </row>
    <row r="152" spans="1:6" x14ac:dyDescent="0.25">
      <c r="A152" s="15">
        <v>3424402</v>
      </c>
      <c r="B152" s="15" t="s">
        <v>4309</v>
      </c>
      <c r="C152" s="52">
        <v>35.234940999999999</v>
      </c>
      <c r="D152" s="25">
        <v>3.6111111111111115E-2</v>
      </c>
      <c r="F152" s="61" t="s">
        <v>7215</v>
      </c>
    </row>
    <row r="153" spans="1:6" x14ac:dyDescent="0.25">
      <c r="A153" s="15">
        <v>3424402</v>
      </c>
      <c r="B153" s="15" t="s">
        <v>4310</v>
      </c>
      <c r="C153" s="54">
        <v>36.796450999999998</v>
      </c>
      <c r="D153" s="26">
        <v>3.9583333333333331E-2</v>
      </c>
      <c r="F153" s="61" t="s">
        <v>7216</v>
      </c>
    </row>
    <row r="154" spans="1:6" x14ac:dyDescent="0.25">
      <c r="A154" s="15">
        <v>3424402</v>
      </c>
      <c r="B154" s="15" t="s">
        <v>4311</v>
      </c>
      <c r="C154" s="52">
        <v>26.090198000000001</v>
      </c>
      <c r="D154" s="25">
        <v>3.0555555555555555E-2</v>
      </c>
      <c r="F154" s="61" t="s">
        <v>7217</v>
      </c>
    </row>
    <row r="155" spans="1:6" x14ac:dyDescent="0.25">
      <c r="A155" s="15">
        <v>3424402</v>
      </c>
      <c r="B155" s="15" t="s">
        <v>4312</v>
      </c>
      <c r="C155" s="54">
        <v>22.802515</v>
      </c>
      <c r="D155" s="26">
        <v>2.361111111111111E-2</v>
      </c>
      <c r="F155" s="61" t="s">
        <v>7218</v>
      </c>
    </row>
    <row r="156" spans="1:6" x14ac:dyDescent="0.25">
      <c r="A156" s="15">
        <v>3424402</v>
      </c>
      <c r="B156" s="15" t="s">
        <v>4313</v>
      </c>
      <c r="C156" s="52">
        <v>41.47663</v>
      </c>
      <c r="D156" s="25">
        <v>4.2361111111111106E-2</v>
      </c>
      <c r="F156" s="61" t="s">
        <v>7219</v>
      </c>
    </row>
    <row r="157" spans="1:6" x14ac:dyDescent="0.25">
      <c r="A157" s="15">
        <v>3424402</v>
      </c>
      <c r="B157" s="15" t="s">
        <v>4314</v>
      </c>
      <c r="C157" s="54">
        <v>118.915829</v>
      </c>
      <c r="D157" s="26">
        <v>0.10625</v>
      </c>
      <c r="F157" s="61" t="s">
        <v>7220</v>
      </c>
    </row>
    <row r="158" spans="1:6" x14ac:dyDescent="0.25">
      <c r="A158" s="15">
        <v>3424402</v>
      </c>
      <c r="B158" s="15" t="s">
        <v>4315</v>
      </c>
      <c r="C158" s="52">
        <v>123.208893</v>
      </c>
      <c r="D158" s="25">
        <v>0.11527777777777777</v>
      </c>
      <c r="F158" s="61" t="s">
        <v>7221</v>
      </c>
    </row>
    <row r="159" spans="1:6" x14ac:dyDescent="0.25">
      <c r="A159" s="15">
        <v>3424402</v>
      </c>
      <c r="B159" s="15" t="s">
        <v>4316</v>
      </c>
      <c r="C159" s="54">
        <v>107.63791399999999</v>
      </c>
      <c r="D159" s="26">
        <v>9.9999999999999992E-2</v>
      </c>
      <c r="F159" s="61" t="s">
        <v>7222</v>
      </c>
    </row>
    <row r="160" spans="1:6" x14ac:dyDescent="0.25">
      <c r="A160" s="15">
        <v>3424402</v>
      </c>
      <c r="B160" s="15" t="s">
        <v>4317</v>
      </c>
      <c r="C160" s="52">
        <v>221.36590200000001</v>
      </c>
      <c r="D160" s="25">
        <v>0.17916666666666667</v>
      </c>
      <c r="F160" s="61" t="s">
        <v>7223</v>
      </c>
    </row>
    <row r="161" spans="1:6" x14ac:dyDescent="0.25">
      <c r="A161" s="15">
        <v>3424402</v>
      </c>
      <c r="B161" s="15" t="s">
        <v>4318</v>
      </c>
      <c r="C161" s="54">
        <v>230.47709</v>
      </c>
      <c r="D161" s="26">
        <v>0.18680555555555556</v>
      </c>
      <c r="F161" s="61" t="s">
        <v>7224</v>
      </c>
    </row>
    <row r="162" spans="1:6" x14ac:dyDescent="0.25">
      <c r="A162" s="15">
        <v>3424402</v>
      </c>
      <c r="B162" s="15" t="s">
        <v>4319</v>
      </c>
      <c r="C162" s="52">
        <v>224.11485500000001</v>
      </c>
      <c r="D162" s="25">
        <v>0.18263888888888891</v>
      </c>
      <c r="F162" s="61" t="s">
        <v>7225</v>
      </c>
    </row>
    <row r="163" spans="1:6" x14ac:dyDescent="0.25">
      <c r="A163" s="15">
        <v>3424402</v>
      </c>
      <c r="B163" s="15" t="s">
        <v>4320</v>
      </c>
      <c r="C163" s="54">
        <v>255.03684699999999</v>
      </c>
      <c r="D163" s="26">
        <v>0.20902777777777778</v>
      </c>
      <c r="F163" s="61" t="s">
        <v>7226</v>
      </c>
    </row>
    <row r="164" spans="1:6" x14ac:dyDescent="0.25">
      <c r="A164" s="15">
        <v>3424402</v>
      </c>
      <c r="B164" s="15" t="s">
        <v>4321</v>
      </c>
      <c r="C164" s="52">
        <v>248.69201000000001</v>
      </c>
      <c r="D164" s="25">
        <v>0.20486111111111113</v>
      </c>
      <c r="F164" s="61" t="s">
        <v>7227</v>
      </c>
    </row>
    <row r="165" spans="1:6" x14ac:dyDescent="0.25">
      <c r="A165" s="15" t="s">
        <v>4271</v>
      </c>
      <c r="B165" s="15">
        <v>3423909</v>
      </c>
      <c r="C165" s="54">
        <v>35.424460000000003</v>
      </c>
      <c r="D165" s="26">
        <v>3.1944444444444449E-2</v>
      </c>
      <c r="F165" s="61" t="s">
        <v>7016</v>
      </c>
    </row>
    <row r="166" spans="1:6" x14ac:dyDescent="0.25">
      <c r="A166" s="15" t="s">
        <v>4271</v>
      </c>
      <c r="B166" s="15">
        <v>3403208</v>
      </c>
      <c r="C166" s="52">
        <v>118.564753</v>
      </c>
      <c r="D166" s="25">
        <v>9.7916666666666666E-2</v>
      </c>
      <c r="F166" s="61" t="s">
        <v>7121</v>
      </c>
    </row>
    <row r="167" spans="1:6" x14ac:dyDescent="0.25">
      <c r="A167" s="15" t="s">
        <v>4271</v>
      </c>
      <c r="B167" s="15">
        <v>3424402</v>
      </c>
      <c r="C167" s="54">
        <v>87.406017000000006</v>
      </c>
      <c r="D167" s="26">
        <v>7.4305555555555555E-2</v>
      </c>
      <c r="F167" s="61" t="s">
        <v>7228</v>
      </c>
    </row>
    <row r="168" spans="1:6" x14ac:dyDescent="0.25">
      <c r="A168" s="15" t="s">
        <v>4271</v>
      </c>
      <c r="B168" s="15" t="s">
        <v>4271</v>
      </c>
      <c r="C168" s="52">
        <v>0</v>
      </c>
      <c r="D168" s="25">
        <v>0</v>
      </c>
      <c r="F168" s="61" t="s">
        <v>4363</v>
      </c>
    </row>
    <row r="169" spans="1:6" x14ac:dyDescent="0.25">
      <c r="A169" s="15" t="s">
        <v>4271</v>
      </c>
      <c r="B169" s="15" t="s">
        <v>4272</v>
      </c>
      <c r="C169" s="54">
        <v>5.3692820000000001</v>
      </c>
      <c r="D169" s="26">
        <v>1.3194444444444444E-2</v>
      </c>
      <c r="F169" s="61" t="s">
        <v>4364</v>
      </c>
    </row>
    <row r="170" spans="1:6" x14ac:dyDescent="0.25">
      <c r="A170" s="15" t="s">
        <v>4271</v>
      </c>
      <c r="B170" s="15" t="s">
        <v>4273</v>
      </c>
      <c r="C170" s="52">
        <v>2.3152349999999999</v>
      </c>
      <c r="D170" s="25">
        <v>7.6388888888888886E-3</v>
      </c>
      <c r="F170" s="61" t="s">
        <v>4365</v>
      </c>
    </row>
    <row r="171" spans="1:6" x14ac:dyDescent="0.25">
      <c r="A171" s="15" t="s">
        <v>4271</v>
      </c>
      <c r="B171" s="15" t="s">
        <v>4274</v>
      </c>
      <c r="C171" s="54">
        <v>14.091491</v>
      </c>
      <c r="D171" s="26">
        <v>1.6666666666666666E-2</v>
      </c>
      <c r="F171" s="61" t="s">
        <v>4366</v>
      </c>
    </row>
    <row r="172" spans="1:6" x14ac:dyDescent="0.25">
      <c r="A172" s="15" t="s">
        <v>4271</v>
      </c>
      <c r="B172" s="15" t="s">
        <v>4275</v>
      </c>
      <c r="C172" s="52">
        <v>14.184697</v>
      </c>
      <c r="D172" s="25">
        <v>1.7361111111111112E-2</v>
      </c>
      <c r="F172" s="61" t="s">
        <v>4367</v>
      </c>
    </row>
    <row r="173" spans="1:6" x14ac:dyDescent="0.25">
      <c r="A173" s="15" t="s">
        <v>4271</v>
      </c>
      <c r="B173" s="15" t="s">
        <v>4276</v>
      </c>
      <c r="C173" s="54">
        <v>2.7675939999999999</v>
      </c>
      <c r="D173" s="26">
        <v>6.2499999999999995E-3</v>
      </c>
      <c r="F173" s="61" t="s">
        <v>4368</v>
      </c>
    </row>
    <row r="174" spans="1:6" x14ac:dyDescent="0.25">
      <c r="A174" s="15" t="s">
        <v>4271</v>
      </c>
      <c r="B174" s="15" t="s">
        <v>4277</v>
      </c>
      <c r="C174" s="52">
        <v>9.0534009999999991</v>
      </c>
      <c r="D174" s="25">
        <v>1.3194444444444444E-2</v>
      </c>
      <c r="F174" s="61" t="s">
        <v>4369</v>
      </c>
    </row>
    <row r="175" spans="1:6" x14ac:dyDescent="0.25">
      <c r="A175" s="15" t="s">
        <v>4271</v>
      </c>
      <c r="B175" s="15" t="s">
        <v>4278</v>
      </c>
      <c r="C175" s="54">
        <v>10.307952</v>
      </c>
      <c r="D175" s="26">
        <v>1.3888888888888888E-2</v>
      </c>
      <c r="F175" s="61" t="s">
        <v>4370</v>
      </c>
    </row>
    <row r="176" spans="1:6" x14ac:dyDescent="0.25">
      <c r="A176" s="15" t="s">
        <v>4271</v>
      </c>
      <c r="B176" s="15" t="s">
        <v>4279</v>
      </c>
      <c r="C176" s="52">
        <v>28.783228000000001</v>
      </c>
      <c r="D176" s="25">
        <v>3.0555555555555555E-2</v>
      </c>
      <c r="F176" s="61" t="s">
        <v>4371</v>
      </c>
    </row>
    <row r="177" spans="1:6" x14ac:dyDescent="0.25">
      <c r="A177" s="15" t="s">
        <v>4271</v>
      </c>
      <c r="B177" s="15" t="s">
        <v>4280</v>
      </c>
      <c r="C177" s="54">
        <v>57.003492000000001</v>
      </c>
      <c r="D177" s="26">
        <v>5.5555555555555552E-2</v>
      </c>
      <c r="F177" s="61" t="s">
        <v>4372</v>
      </c>
    </row>
    <row r="178" spans="1:6" x14ac:dyDescent="0.25">
      <c r="A178" s="15" t="s">
        <v>4271</v>
      </c>
      <c r="B178" s="15" t="s">
        <v>4281</v>
      </c>
      <c r="C178" s="52">
        <v>51.135869</v>
      </c>
      <c r="D178" s="25">
        <v>4.3055555555555562E-2</v>
      </c>
      <c r="F178" s="61" t="s">
        <v>4373</v>
      </c>
    </row>
    <row r="179" spans="1:6" x14ac:dyDescent="0.25">
      <c r="A179" s="15" t="s">
        <v>4271</v>
      </c>
      <c r="B179" s="15" t="s">
        <v>4282</v>
      </c>
      <c r="C179" s="54">
        <v>86.447238999999996</v>
      </c>
      <c r="D179" s="26">
        <v>7.4305555555555555E-2</v>
      </c>
      <c r="F179" s="61" t="s">
        <v>4374</v>
      </c>
    </row>
    <row r="180" spans="1:6" x14ac:dyDescent="0.25">
      <c r="A180" s="15" t="s">
        <v>4271</v>
      </c>
      <c r="B180" s="15" t="s">
        <v>4283</v>
      </c>
      <c r="C180" s="52">
        <v>94.331216999999995</v>
      </c>
      <c r="D180" s="25">
        <v>7.9166666666666663E-2</v>
      </c>
      <c r="F180" s="61" t="s">
        <v>4375</v>
      </c>
    </row>
    <row r="181" spans="1:6" x14ac:dyDescent="0.25">
      <c r="A181" s="15" t="s">
        <v>4271</v>
      </c>
      <c r="B181" s="15" t="s">
        <v>4284</v>
      </c>
      <c r="C181" s="54">
        <v>92.393776000000003</v>
      </c>
      <c r="D181" s="26">
        <v>7.6388888888888895E-2</v>
      </c>
      <c r="F181" s="61" t="s">
        <v>4376</v>
      </c>
    </row>
    <row r="182" spans="1:6" x14ac:dyDescent="0.25">
      <c r="A182" s="15" t="s">
        <v>4271</v>
      </c>
      <c r="B182" s="15" t="s">
        <v>4285</v>
      </c>
      <c r="C182" s="52">
        <v>94.772390999999999</v>
      </c>
      <c r="D182" s="25">
        <v>8.2638888888888887E-2</v>
      </c>
      <c r="F182" s="61" t="s">
        <v>4377</v>
      </c>
    </row>
    <row r="183" spans="1:6" x14ac:dyDescent="0.25">
      <c r="A183" s="15" t="s">
        <v>4271</v>
      </c>
      <c r="B183" s="15" t="s">
        <v>4286</v>
      </c>
      <c r="C183" s="54">
        <v>93.703008999999994</v>
      </c>
      <c r="D183" s="26">
        <v>8.0555555555555561E-2</v>
      </c>
      <c r="F183" s="61" t="s">
        <v>4378</v>
      </c>
    </row>
    <row r="184" spans="1:6" x14ac:dyDescent="0.25">
      <c r="A184" s="15" t="s">
        <v>4271</v>
      </c>
      <c r="B184" s="15" t="s">
        <v>4287</v>
      </c>
      <c r="C184" s="52">
        <v>94.758720999999994</v>
      </c>
      <c r="D184" s="25">
        <v>7.9166666666666663E-2</v>
      </c>
      <c r="F184" s="61" t="s">
        <v>4379</v>
      </c>
    </row>
    <row r="185" spans="1:6" x14ac:dyDescent="0.25">
      <c r="A185" s="15" t="s">
        <v>4271</v>
      </c>
      <c r="B185" s="15" t="s">
        <v>4288</v>
      </c>
      <c r="C185" s="54">
        <v>99.586787000000001</v>
      </c>
      <c r="D185" s="26">
        <v>8.4027777777777771E-2</v>
      </c>
      <c r="F185" s="61" t="s">
        <v>4380</v>
      </c>
    </row>
    <row r="186" spans="1:6" x14ac:dyDescent="0.25">
      <c r="A186" s="15" t="s">
        <v>4271</v>
      </c>
      <c r="B186" s="15" t="s">
        <v>4289</v>
      </c>
      <c r="C186" s="52">
        <v>53.783538999999998</v>
      </c>
      <c r="D186" s="25">
        <v>4.7222222222222221E-2</v>
      </c>
      <c r="F186" s="61" t="s">
        <v>4381</v>
      </c>
    </row>
    <row r="187" spans="1:6" x14ac:dyDescent="0.25">
      <c r="A187" s="15" t="s">
        <v>4271</v>
      </c>
      <c r="B187" s="15" t="s">
        <v>4290</v>
      </c>
      <c r="C187" s="54">
        <v>55.355612000000001</v>
      </c>
      <c r="D187" s="26">
        <v>4.9999999999999996E-2</v>
      </c>
      <c r="F187" s="61" t="s">
        <v>4382</v>
      </c>
    </row>
    <row r="188" spans="1:6" x14ac:dyDescent="0.25">
      <c r="A188" s="15" t="s">
        <v>4271</v>
      </c>
      <c r="B188" s="15" t="s">
        <v>4291</v>
      </c>
      <c r="C188" s="52">
        <v>54.957312000000002</v>
      </c>
      <c r="D188" s="25">
        <v>5.0694444444444452E-2</v>
      </c>
      <c r="F188" s="61" t="s">
        <v>4383</v>
      </c>
    </row>
    <row r="189" spans="1:6" x14ac:dyDescent="0.25">
      <c r="A189" s="15" t="s">
        <v>4271</v>
      </c>
      <c r="B189" s="15" t="s">
        <v>4292</v>
      </c>
      <c r="C189" s="54">
        <v>54.080554999999997</v>
      </c>
      <c r="D189" s="26">
        <v>4.9305555555555554E-2</v>
      </c>
      <c r="F189" s="61" t="s">
        <v>4384</v>
      </c>
    </row>
    <row r="190" spans="1:6" x14ac:dyDescent="0.25">
      <c r="A190" s="15" t="s">
        <v>4271</v>
      </c>
      <c r="B190" s="15" t="s">
        <v>4293</v>
      </c>
      <c r="C190" s="52">
        <v>63.230890000000002</v>
      </c>
      <c r="D190" s="25">
        <v>5.6944444444444443E-2</v>
      </c>
      <c r="F190" s="61" t="s">
        <v>4385</v>
      </c>
    </row>
    <row r="191" spans="1:6" x14ac:dyDescent="0.25">
      <c r="A191" s="15" t="s">
        <v>4271</v>
      </c>
      <c r="B191" s="15" t="s">
        <v>4294</v>
      </c>
      <c r="C191" s="54">
        <v>64.210172999999998</v>
      </c>
      <c r="D191" s="26">
        <v>5.9027777777777783E-2</v>
      </c>
      <c r="F191" s="61" t="s">
        <v>4386</v>
      </c>
    </row>
    <row r="192" spans="1:6" x14ac:dyDescent="0.25">
      <c r="A192" s="15" t="s">
        <v>4271</v>
      </c>
      <c r="B192" s="15" t="s">
        <v>4295</v>
      </c>
      <c r="C192" s="52">
        <v>67.030584000000005</v>
      </c>
      <c r="D192" s="25">
        <v>6.1805555555555558E-2</v>
      </c>
      <c r="F192" s="61" t="s">
        <v>4387</v>
      </c>
    </row>
    <row r="193" spans="1:6" x14ac:dyDescent="0.25">
      <c r="A193" s="15" t="s">
        <v>4271</v>
      </c>
      <c r="B193" s="15" t="s">
        <v>4296</v>
      </c>
      <c r="C193" s="54">
        <v>58.693004999999999</v>
      </c>
      <c r="D193" s="26">
        <v>5.2083333333333336E-2</v>
      </c>
      <c r="F193" s="61" t="s">
        <v>4388</v>
      </c>
    </row>
    <row r="194" spans="1:6" x14ac:dyDescent="0.25">
      <c r="A194" s="15" t="s">
        <v>4271</v>
      </c>
      <c r="B194" s="15" t="s">
        <v>4297</v>
      </c>
      <c r="C194" s="52">
        <v>65.009879999999995</v>
      </c>
      <c r="D194" s="25">
        <v>5.9722222222222225E-2</v>
      </c>
      <c r="F194" s="61" t="s">
        <v>4389</v>
      </c>
    </row>
    <row r="195" spans="1:6" x14ac:dyDescent="0.25">
      <c r="A195" s="15" t="s">
        <v>4271</v>
      </c>
      <c r="B195" s="15" t="s">
        <v>4298</v>
      </c>
      <c r="C195" s="54">
        <v>66.341481999999999</v>
      </c>
      <c r="D195" s="26">
        <v>6.5972222222222224E-2</v>
      </c>
      <c r="F195" s="61" t="s">
        <v>4390</v>
      </c>
    </row>
    <row r="196" spans="1:6" x14ac:dyDescent="0.25">
      <c r="A196" s="15" t="s">
        <v>4271</v>
      </c>
      <c r="B196" s="15" t="s">
        <v>4299</v>
      </c>
      <c r="C196" s="52">
        <v>68.603899999999996</v>
      </c>
      <c r="D196" s="25">
        <v>7.013888888888889E-2</v>
      </c>
      <c r="F196" s="61" t="s">
        <v>4391</v>
      </c>
    </row>
    <row r="197" spans="1:6" x14ac:dyDescent="0.25">
      <c r="A197" s="15" t="s">
        <v>4271</v>
      </c>
      <c r="B197" s="15" t="s">
        <v>4300</v>
      </c>
      <c r="C197" s="54">
        <v>72.663328000000007</v>
      </c>
      <c r="D197" s="26">
        <v>7.9166666666666663E-2</v>
      </c>
      <c r="F197" s="61" t="s">
        <v>4392</v>
      </c>
    </row>
    <row r="198" spans="1:6" x14ac:dyDescent="0.25">
      <c r="A198" s="15" t="s">
        <v>4271</v>
      </c>
      <c r="B198" s="15" t="s">
        <v>4301</v>
      </c>
      <c r="C198" s="52">
        <v>58.066039000000004</v>
      </c>
      <c r="D198" s="25">
        <v>5.5555555555555552E-2</v>
      </c>
      <c r="F198" s="61" t="s">
        <v>4393</v>
      </c>
    </row>
    <row r="199" spans="1:6" x14ac:dyDescent="0.25">
      <c r="A199" s="15" t="s">
        <v>4271</v>
      </c>
      <c r="B199" s="15" t="s">
        <v>4302</v>
      </c>
      <c r="C199" s="54">
        <v>53.529397000000003</v>
      </c>
      <c r="D199" s="26">
        <v>5.1388888888888894E-2</v>
      </c>
      <c r="F199" s="61" t="s">
        <v>4394</v>
      </c>
    </row>
    <row r="200" spans="1:6" x14ac:dyDescent="0.25">
      <c r="A200" s="15" t="s">
        <v>4271</v>
      </c>
      <c r="B200" s="15" t="s">
        <v>4303</v>
      </c>
      <c r="C200" s="52">
        <v>66.686965000000001</v>
      </c>
      <c r="D200" s="25">
        <v>6.3194444444444442E-2</v>
      </c>
      <c r="F200" s="61" t="s">
        <v>4395</v>
      </c>
    </row>
    <row r="201" spans="1:6" x14ac:dyDescent="0.25">
      <c r="A201" s="15" t="s">
        <v>4271</v>
      </c>
      <c r="B201" s="15" t="s">
        <v>4304</v>
      </c>
      <c r="C201" s="54">
        <v>46.164887</v>
      </c>
      <c r="D201" s="26">
        <v>5.0694444444444452E-2</v>
      </c>
      <c r="F201" s="61" t="s">
        <v>4396</v>
      </c>
    </row>
    <row r="202" spans="1:6" x14ac:dyDescent="0.25">
      <c r="A202" s="15" t="s">
        <v>4271</v>
      </c>
      <c r="B202" s="15" t="s">
        <v>4305</v>
      </c>
      <c r="C202" s="52">
        <v>46.696783000000003</v>
      </c>
      <c r="D202" s="25">
        <v>5.2083333333333336E-2</v>
      </c>
      <c r="F202" s="61" t="s">
        <v>4397</v>
      </c>
    </row>
    <row r="203" spans="1:6" x14ac:dyDescent="0.25">
      <c r="A203" s="15" t="s">
        <v>4271</v>
      </c>
      <c r="B203" s="15" t="s">
        <v>4306</v>
      </c>
      <c r="C203" s="54">
        <v>95.500640000000004</v>
      </c>
      <c r="D203" s="26">
        <v>8.2638888888888887E-2</v>
      </c>
      <c r="F203" s="61" t="s">
        <v>4398</v>
      </c>
    </row>
    <row r="204" spans="1:6" x14ac:dyDescent="0.25">
      <c r="A204" s="15" t="s">
        <v>4271</v>
      </c>
      <c r="B204" s="15" t="s">
        <v>4307</v>
      </c>
      <c r="C204" s="52">
        <v>94.403917000000007</v>
      </c>
      <c r="D204" s="25">
        <v>8.1250000000000003E-2</v>
      </c>
      <c r="F204" s="61" t="s">
        <v>4399</v>
      </c>
    </row>
    <row r="205" spans="1:6" x14ac:dyDescent="0.25">
      <c r="A205" s="15" t="s">
        <v>4271</v>
      </c>
      <c r="B205" s="15" t="s">
        <v>4308</v>
      </c>
      <c r="C205" s="54">
        <v>92.627412000000007</v>
      </c>
      <c r="D205" s="26">
        <v>7.9166666666666663E-2</v>
      </c>
      <c r="F205" s="61" t="s">
        <v>4400</v>
      </c>
    </row>
    <row r="206" spans="1:6" x14ac:dyDescent="0.25">
      <c r="A206" s="15" t="s">
        <v>4271</v>
      </c>
      <c r="B206" s="15" t="s">
        <v>4309</v>
      </c>
      <c r="C206" s="52">
        <v>120.59291399999999</v>
      </c>
      <c r="D206" s="25">
        <v>0.10347222222222223</v>
      </c>
      <c r="F206" s="61" t="s">
        <v>4401</v>
      </c>
    </row>
    <row r="207" spans="1:6" x14ac:dyDescent="0.25">
      <c r="A207" s="15" t="s">
        <v>4271</v>
      </c>
      <c r="B207" s="15" t="s">
        <v>4310</v>
      </c>
      <c r="C207" s="54">
        <v>122.15442400000001</v>
      </c>
      <c r="D207" s="26">
        <v>0.10694444444444444</v>
      </c>
      <c r="F207" s="61" t="s">
        <v>4402</v>
      </c>
    </row>
    <row r="208" spans="1:6" x14ac:dyDescent="0.25">
      <c r="A208" s="15" t="s">
        <v>4271</v>
      </c>
      <c r="B208" s="15" t="s">
        <v>4311</v>
      </c>
      <c r="C208" s="52">
        <v>111.448171</v>
      </c>
      <c r="D208" s="25">
        <v>9.7916666666666666E-2</v>
      </c>
      <c r="F208" s="61" t="s">
        <v>4403</v>
      </c>
    </row>
    <row r="209" spans="1:6" x14ac:dyDescent="0.25">
      <c r="A209" s="15" t="s">
        <v>4271</v>
      </c>
      <c r="B209" s="15" t="s">
        <v>4312</v>
      </c>
      <c r="C209" s="54">
        <v>108.160488</v>
      </c>
      <c r="D209" s="26">
        <v>9.0277777777777776E-2</v>
      </c>
      <c r="F209" s="61" t="s">
        <v>4404</v>
      </c>
    </row>
    <row r="210" spans="1:6" x14ac:dyDescent="0.25">
      <c r="A210" s="15" t="s">
        <v>4271</v>
      </c>
      <c r="B210" s="15" t="s">
        <v>4313</v>
      </c>
      <c r="C210" s="52">
        <v>126.834603</v>
      </c>
      <c r="D210" s="25">
        <v>0.10902777777777778</v>
      </c>
      <c r="F210" s="61" t="s">
        <v>4405</v>
      </c>
    </row>
    <row r="211" spans="1:6" x14ac:dyDescent="0.25">
      <c r="A211" s="15" t="s">
        <v>4271</v>
      </c>
      <c r="B211" s="15" t="s">
        <v>4314</v>
      </c>
      <c r="C211" s="54">
        <v>57.810654999999997</v>
      </c>
      <c r="D211" s="26">
        <v>5.6250000000000001E-2</v>
      </c>
      <c r="F211" s="61" t="s">
        <v>4406</v>
      </c>
    </row>
    <row r="212" spans="1:6" x14ac:dyDescent="0.25">
      <c r="A212" s="15" t="s">
        <v>4271</v>
      </c>
      <c r="B212" s="15" t="s">
        <v>4315</v>
      </c>
      <c r="C212" s="52">
        <v>58.588614</v>
      </c>
      <c r="D212" s="25">
        <v>5.9027777777777783E-2</v>
      </c>
      <c r="F212" s="61" t="s">
        <v>4407</v>
      </c>
    </row>
    <row r="213" spans="1:6" x14ac:dyDescent="0.25">
      <c r="A213" s="15" t="s">
        <v>4271</v>
      </c>
      <c r="B213" s="15" t="s">
        <v>4316</v>
      </c>
      <c r="C213" s="54">
        <v>55.883156999999997</v>
      </c>
      <c r="D213" s="26">
        <v>5.347222222222222E-2</v>
      </c>
      <c r="F213" s="61" t="s">
        <v>4408</v>
      </c>
    </row>
    <row r="214" spans="1:6" x14ac:dyDescent="0.25">
      <c r="A214" s="15" t="s">
        <v>4271</v>
      </c>
      <c r="B214" s="15" t="s">
        <v>4317</v>
      </c>
      <c r="C214" s="52">
        <v>141.956951</v>
      </c>
      <c r="D214" s="25">
        <v>0.1173611111111111</v>
      </c>
      <c r="F214" s="61" t="s">
        <v>4409</v>
      </c>
    </row>
    <row r="215" spans="1:6" x14ac:dyDescent="0.25">
      <c r="A215" s="15" t="s">
        <v>4271</v>
      </c>
      <c r="B215" s="15" t="s">
        <v>4318</v>
      </c>
      <c r="C215" s="54">
        <v>151.06814</v>
      </c>
      <c r="D215" s="26">
        <v>0.12569444444444444</v>
      </c>
      <c r="F215" s="61" t="s">
        <v>4410</v>
      </c>
    </row>
    <row r="216" spans="1:6" x14ac:dyDescent="0.25">
      <c r="A216" s="15" t="s">
        <v>4271</v>
      </c>
      <c r="B216" s="15" t="s">
        <v>4319</v>
      </c>
      <c r="C216" s="52">
        <v>144.705904</v>
      </c>
      <c r="D216" s="25">
        <v>0.12152777777777778</v>
      </c>
      <c r="F216" s="61" t="s">
        <v>4411</v>
      </c>
    </row>
    <row r="217" spans="1:6" x14ac:dyDescent="0.25">
      <c r="A217" s="15" t="s">
        <v>4271</v>
      </c>
      <c r="B217" s="15" t="s">
        <v>4320</v>
      </c>
      <c r="C217" s="54">
        <v>169.46387999999999</v>
      </c>
      <c r="D217" s="26">
        <v>0.14375000000000002</v>
      </c>
      <c r="F217" s="61" t="s">
        <v>4412</v>
      </c>
    </row>
    <row r="218" spans="1:6" x14ac:dyDescent="0.25">
      <c r="A218" s="15" t="s">
        <v>4271</v>
      </c>
      <c r="B218" s="15" t="s">
        <v>4321</v>
      </c>
      <c r="C218" s="52">
        <v>169.28306000000001</v>
      </c>
      <c r="D218" s="25">
        <v>0.14305555555555557</v>
      </c>
      <c r="F218" s="61" t="s">
        <v>4413</v>
      </c>
    </row>
    <row r="219" spans="1:6" x14ac:dyDescent="0.25">
      <c r="A219" s="15" t="s">
        <v>4272</v>
      </c>
      <c r="B219" s="15">
        <v>3423909</v>
      </c>
      <c r="C219" s="54">
        <v>34.328980000000001</v>
      </c>
      <c r="D219" s="26">
        <v>3.2638888888888891E-2</v>
      </c>
      <c r="F219" s="61" t="s">
        <v>7017</v>
      </c>
    </row>
    <row r="220" spans="1:6" x14ac:dyDescent="0.25">
      <c r="A220" s="15" t="s">
        <v>4272</v>
      </c>
      <c r="B220" s="15">
        <v>3403208</v>
      </c>
      <c r="C220" s="52">
        <v>111.576795</v>
      </c>
      <c r="D220" s="25">
        <v>9.375E-2</v>
      </c>
      <c r="F220" s="61" t="s">
        <v>7122</v>
      </c>
    </row>
    <row r="221" spans="1:6" x14ac:dyDescent="0.25">
      <c r="A221" s="15" t="s">
        <v>4272</v>
      </c>
      <c r="B221" s="15">
        <v>3424402</v>
      </c>
      <c r="C221" s="54">
        <v>86.203660999999997</v>
      </c>
      <c r="D221" s="26">
        <v>7.4999999999999997E-2</v>
      </c>
      <c r="F221" s="61" t="s">
        <v>7229</v>
      </c>
    </row>
    <row r="222" spans="1:6" x14ac:dyDescent="0.25">
      <c r="A222" s="15" t="s">
        <v>4272</v>
      </c>
      <c r="B222" s="15" t="s">
        <v>4271</v>
      </c>
      <c r="C222" s="52">
        <v>5.2313369999999999</v>
      </c>
      <c r="D222" s="25">
        <v>1.1805555555555555E-2</v>
      </c>
      <c r="F222" s="61" t="s">
        <v>4414</v>
      </c>
    </row>
    <row r="223" spans="1:6" x14ac:dyDescent="0.25">
      <c r="A223" s="15" t="s">
        <v>4272</v>
      </c>
      <c r="B223" s="15" t="s">
        <v>4272</v>
      </c>
      <c r="C223" s="54">
        <v>0</v>
      </c>
      <c r="D223" s="26">
        <v>0</v>
      </c>
      <c r="F223" s="61" t="s">
        <v>4415</v>
      </c>
    </row>
    <row r="224" spans="1:6" x14ac:dyDescent="0.25">
      <c r="A224" s="15" t="s">
        <v>4272</v>
      </c>
      <c r="B224" s="15" t="s">
        <v>4273</v>
      </c>
      <c r="C224" s="52">
        <v>3.5418249999999998</v>
      </c>
      <c r="D224" s="25">
        <v>9.0277777777777787E-3</v>
      </c>
      <c r="F224" s="61" t="s">
        <v>4416</v>
      </c>
    </row>
    <row r="225" spans="1:6" x14ac:dyDescent="0.25">
      <c r="A225" s="15" t="s">
        <v>4272</v>
      </c>
      <c r="B225" s="15" t="s">
        <v>4274</v>
      </c>
      <c r="C225" s="54">
        <v>5.8757010000000003</v>
      </c>
      <c r="D225" s="26">
        <v>1.0416666666666666E-2</v>
      </c>
      <c r="F225" s="61" t="s">
        <v>4417</v>
      </c>
    </row>
    <row r="226" spans="1:6" x14ac:dyDescent="0.25">
      <c r="A226" s="15" t="s">
        <v>4272</v>
      </c>
      <c r="B226" s="15" t="s">
        <v>4275</v>
      </c>
      <c r="C226" s="52">
        <v>5.9689069999999997</v>
      </c>
      <c r="D226" s="25">
        <v>1.0416666666666666E-2</v>
      </c>
      <c r="F226" s="61" t="s">
        <v>4418</v>
      </c>
    </row>
    <row r="227" spans="1:6" x14ac:dyDescent="0.25">
      <c r="A227" s="15" t="s">
        <v>4272</v>
      </c>
      <c r="B227" s="15" t="s">
        <v>4276</v>
      </c>
      <c r="C227" s="54">
        <v>7.4222970000000004</v>
      </c>
      <c r="D227" s="26">
        <v>1.3888888888888888E-2</v>
      </c>
      <c r="F227" s="61" t="s">
        <v>4419</v>
      </c>
    </row>
    <row r="228" spans="1:6" x14ac:dyDescent="0.25">
      <c r="A228" s="15" t="s">
        <v>4272</v>
      </c>
      <c r="B228" s="15" t="s">
        <v>4277</v>
      </c>
      <c r="C228" s="52">
        <v>5.201511</v>
      </c>
      <c r="D228" s="25">
        <v>1.0416666666666666E-2</v>
      </c>
      <c r="F228" s="61" t="s">
        <v>4420</v>
      </c>
    </row>
    <row r="229" spans="1:6" x14ac:dyDescent="0.25">
      <c r="A229" s="15" t="s">
        <v>4272</v>
      </c>
      <c r="B229" s="15" t="s">
        <v>4278</v>
      </c>
      <c r="C229" s="54">
        <v>6.8512560000000002</v>
      </c>
      <c r="D229" s="26">
        <v>1.1805555555555555E-2</v>
      </c>
      <c r="F229" s="61" t="s">
        <v>4421</v>
      </c>
    </row>
    <row r="230" spans="1:6" x14ac:dyDescent="0.25">
      <c r="A230" s="15" t="s">
        <v>4272</v>
      </c>
      <c r="B230" s="15" t="s">
        <v>4279</v>
      </c>
      <c r="C230" s="52">
        <v>21.795269999999999</v>
      </c>
      <c r="D230" s="25">
        <v>2.5694444444444447E-2</v>
      </c>
      <c r="F230" s="61" t="s">
        <v>4422</v>
      </c>
    </row>
    <row r="231" spans="1:6" x14ac:dyDescent="0.25">
      <c r="A231" s="15" t="s">
        <v>4272</v>
      </c>
      <c r="B231" s="15" t="s">
        <v>4280</v>
      </c>
      <c r="C231" s="54">
        <v>60.443412000000002</v>
      </c>
      <c r="D231" s="26">
        <v>5.9722222222222225E-2</v>
      </c>
      <c r="F231" s="61" t="s">
        <v>4423</v>
      </c>
    </row>
    <row r="232" spans="1:6" x14ac:dyDescent="0.25">
      <c r="A232" s="15" t="s">
        <v>4272</v>
      </c>
      <c r="B232" s="15" t="s">
        <v>4281</v>
      </c>
      <c r="C232" s="52">
        <v>42.345309</v>
      </c>
      <c r="D232" s="25">
        <v>4.027777777777778E-2</v>
      </c>
      <c r="F232" s="61" t="s">
        <v>4424</v>
      </c>
    </row>
    <row r="233" spans="1:6" x14ac:dyDescent="0.25">
      <c r="A233" s="15" t="s">
        <v>4272</v>
      </c>
      <c r="B233" s="15" t="s">
        <v>4282</v>
      </c>
      <c r="C233" s="54">
        <v>85.244883000000002</v>
      </c>
      <c r="D233" s="26">
        <v>7.4999999999999997E-2</v>
      </c>
      <c r="F233" s="61" t="s">
        <v>4425</v>
      </c>
    </row>
    <row r="234" spans="1:6" x14ac:dyDescent="0.25">
      <c r="A234" s="15" t="s">
        <v>4272</v>
      </c>
      <c r="B234" s="15" t="s">
        <v>4283</v>
      </c>
      <c r="C234" s="52">
        <v>93.128860000000003</v>
      </c>
      <c r="D234" s="25">
        <v>8.0555555555555561E-2</v>
      </c>
      <c r="F234" s="61" t="s">
        <v>4426</v>
      </c>
    </row>
    <row r="235" spans="1:6" x14ac:dyDescent="0.25">
      <c r="A235" s="15" t="s">
        <v>4272</v>
      </c>
      <c r="B235" s="15" t="s">
        <v>4284</v>
      </c>
      <c r="C235" s="54">
        <v>91.191419999999994</v>
      </c>
      <c r="D235" s="26">
        <v>7.7777777777777779E-2</v>
      </c>
      <c r="F235" s="61" t="s">
        <v>4427</v>
      </c>
    </row>
    <row r="236" spans="1:6" x14ac:dyDescent="0.25">
      <c r="A236" s="15" t="s">
        <v>4272</v>
      </c>
      <c r="B236" s="15" t="s">
        <v>4285</v>
      </c>
      <c r="C236" s="52">
        <v>93.570035000000004</v>
      </c>
      <c r="D236" s="25">
        <v>8.3333333333333329E-2</v>
      </c>
      <c r="F236" s="61" t="s">
        <v>4428</v>
      </c>
    </row>
    <row r="237" spans="1:6" x14ac:dyDescent="0.25">
      <c r="A237" s="15" t="s">
        <v>4272</v>
      </c>
      <c r="B237" s="15" t="s">
        <v>4286</v>
      </c>
      <c r="C237" s="54">
        <v>92.500652000000002</v>
      </c>
      <c r="D237" s="26">
        <v>8.1944444444444445E-2</v>
      </c>
      <c r="F237" s="61" t="s">
        <v>4429</v>
      </c>
    </row>
    <row r="238" spans="1:6" x14ac:dyDescent="0.25">
      <c r="A238" s="15" t="s">
        <v>4272</v>
      </c>
      <c r="B238" s="15" t="s">
        <v>4287</v>
      </c>
      <c r="C238" s="52">
        <v>93.556365</v>
      </c>
      <c r="D238" s="25">
        <v>8.0555555555555561E-2</v>
      </c>
      <c r="F238" s="61" t="s">
        <v>4430</v>
      </c>
    </row>
    <row r="239" spans="1:6" x14ac:dyDescent="0.25">
      <c r="A239" s="15" t="s">
        <v>4272</v>
      </c>
      <c r="B239" s="15" t="s">
        <v>4288</v>
      </c>
      <c r="C239" s="54">
        <v>98.384431000000006</v>
      </c>
      <c r="D239" s="26">
        <v>8.4722222222222213E-2</v>
      </c>
      <c r="F239" s="61" t="s">
        <v>4431</v>
      </c>
    </row>
    <row r="240" spans="1:6" x14ac:dyDescent="0.25">
      <c r="A240" s="15" t="s">
        <v>4272</v>
      </c>
      <c r="B240" s="15" t="s">
        <v>4289</v>
      </c>
      <c r="C240" s="52">
        <v>57.223458000000001</v>
      </c>
      <c r="D240" s="25">
        <v>5.1388888888888894E-2</v>
      </c>
      <c r="F240" s="61" t="s">
        <v>4432</v>
      </c>
    </row>
    <row r="241" spans="1:6" x14ac:dyDescent="0.25">
      <c r="A241" s="15" t="s">
        <v>4272</v>
      </c>
      <c r="B241" s="15" t="s">
        <v>4290</v>
      </c>
      <c r="C241" s="54">
        <v>58.795530999999997</v>
      </c>
      <c r="D241" s="26">
        <v>5.4166666666666669E-2</v>
      </c>
      <c r="F241" s="61" t="s">
        <v>4433</v>
      </c>
    </row>
    <row r="242" spans="1:6" x14ac:dyDescent="0.25">
      <c r="A242" s="15" t="s">
        <v>4272</v>
      </c>
      <c r="B242" s="15" t="s">
        <v>4291</v>
      </c>
      <c r="C242" s="52">
        <v>58.395367</v>
      </c>
      <c r="D242" s="25">
        <v>5.4166666666666669E-2</v>
      </c>
      <c r="F242" s="61" t="s">
        <v>4434</v>
      </c>
    </row>
    <row r="243" spans="1:6" x14ac:dyDescent="0.25">
      <c r="A243" s="15" t="s">
        <v>4272</v>
      </c>
      <c r="B243" s="15" t="s">
        <v>4292</v>
      </c>
      <c r="C243" s="54">
        <v>57.520474</v>
      </c>
      <c r="D243" s="26">
        <v>5.347222222222222E-2</v>
      </c>
      <c r="F243" s="61" t="s">
        <v>4435</v>
      </c>
    </row>
    <row r="244" spans="1:6" x14ac:dyDescent="0.25">
      <c r="A244" s="15" t="s">
        <v>4272</v>
      </c>
      <c r="B244" s="15" t="s">
        <v>4293</v>
      </c>
      <c r="C244" s="52">
        <v>66.670809000000006</v>
      </c>
      <c r="D244" s="25">
        <v>6.1111111111111116E-2</v>
      </c>
      <c r="F244" s="61" t="s">
        <v>4436</v>
      </c>
    </row>
    <row r="245" spans="1:6" x14ac:dyDescent="0.25">
      <c r="A245" s="15" t="s">
        <v>4272</v>
      </c>
      <c r="B245" s="15" t="s">
        <v>4294</v>
      </c>
      <c r="C245" s="54">
        <v>67.650092999999998</v>
      </c>
      <c r="D245" s="26">
        <v>6.3194444444444442E-2</v>
      </c>
      <c r="F245" s="61" t="s">
        <v>4437</v>
      </c>
    </row>
    <row r="246" spans="1:6" x14ac:dyDescent="0.25">
      <c r="A246" s="15" t="s">
        <v>4272</v>
      </c>
      <c r="B246" s="15" t="s">
        <v>4295</v>
      </c>
      <c r="C246" s="52">
        <v>70.470502999999994</v>
      </c>
      <c r="D246" s="25">
        <v>6.5972222222222224E-2</v>
      </c>
      <c r="F246" s="61" t="s">
        <v>4438</v>
      </c>
    </row>
    <row r="247" spans="1:6" x14ac:dyDescent="0.25">
      <c r="A247" s="15" t="s">
        <v>4272</v>
      </c>
      <c r="B247" s="15" t="s">
        <v>4296</v>
      </c>
      <c r="C247" s="54">
        <v>62.132924000000003</v>
      </c>
      <c r="D247" s="26">
        <v>5.6250000000000001E-2</v>
      </c>
      <c r="F247" s="61" t="s">
        <v>4439</v>
      </c>
    </row>
    <row r="248" spans="1:6" x14ac:dyDescent="0.25">
      <c r="A248" s="15" t="s">
        <v>4272</v>
      </c>
      <c r="B248" s="15" t="s">
        <v>4297</v>
      </c>
      <c r="C248" s="52">
        <v>68.449798999999999</v>
      </c>
      <c r="D248" s="25">
        <v>6.3888888888888884E-2</v>
      </c>
      <c r="F248" s="61" t="s">
        <v>4440</v>
      </c>
    </row>
    <row r="249" spans="1:6" x14ac:dyDescent="0.25">
      <c r="A249" s="15" t="s">
        <v>4272</v>
      </c>
      <c r="B249" s="15" t="s">
        <v>4298</v>
      </c>
      <c r="C249" s="54">
        <v>69.781401000000002</v>
      </c>
      <c r="D249" s="26">
        <v>7.013888888888889E-2</v>
      </c>
      <c r="F249" s="61" t="s">
        <v>4441</v>
      </c>
    </row>
    <row r="250" spans="1:6" x14ac:dyDescent="0.25">
      <c r="A250" s="15" t="s">
        <v>4272</v>
      </c>
      <c r="B250" s="15" t="s">
        <v>4299</v>
      </c>
      <c r="C250" s="52">
        <v>72.043818999999999</v>
      </c>
      <c r="D250" s="25">
        <v>7.4305555555555555E-2</v>
      </c>
      <c r="F250" s="61" t="s">
        <v>4442</v>
      </c>
    </row>
    <row r="251" spans="1:6" x14ac:dyDescent="0.25">
      <c r="A251" s="15" t="s">
        <v>4272</v>
      </c>
      <c r="B251" s="15" t="s">
        <v>4300</v>
      </c>
      <c r="C251" s="54">
        <v>76.103246999999996</v>
      </c>
      <c r="D251" s="26">
        <v>8.3333333333333329E-2</v>
      </c>
      <c r="F251" s="61" t="s">
        <v>4443</v>
      </c>
    </row>
    <row r="252" spans="1:6" x14ac:dyDescent="0.25">
      <c r="A252" s="15" t="s">
        <v>4272</v>
      </c>
      <c r="B252" s="15" t="s">
        <v>4301</v>
      </c>
      <c r="C252" s="52">
        <v>61.505958999999997</v>
      </c>
      <c r="D252" s="25">
        <v>5.9027777777777783E-2</v>
      </c>
      <c r="F252" s="61" t="s">
        <v>4444</v>
      </c>
    </row>
    <row r="253" spans="1:6" x14ac:dyDescent="0.25">
      <c r="A253" s="15" t="s">
        <v>4272</v>
      </c>
      <c r="B253" s="15" t="s">
        <v>4302</v>
      </c>
      <c r="C253" s="54">
        <v>56.969316999999997</v>
      </c>
      <c r="D253" s="26">
        <v>5.486111111111111E-2</v>
      </c>
      <c r="F253" s="61" t="s">
        <v>4445</v>
      </c>
    </row>
    <row r="254" spans="1:6" x14ac:dyDescent="0.25">
      <c r="A254" s="15" t="s">
        <v>4272</v>
      </c>
      <c r="B254" s="15" t="s">
        <v>4303</v>
      </c>
      <c r="C254" s="52">
        <v>70.126884000000004</v>
      </c>
      <c r="D254" s="25">
        <v>6.7361111111111108E-2</v>
      </c>
      <c r="F254" s="61" t="s">
        <v>4446</v>
      </c>
    </row>
    <row r="255" spans="1:6" x14ac:dyDescent="0.25">
      <c r="A255" s="15" t="s">
        <v>4272</v>
      </c>
      <c r="B255" s="15" t="s">
        <v>4304</v>
      </c>
      <c r="C255" s="54">
        <v>52.842779999999998</v>
      </c>
      <c r="D255" s="26">
        <v>5.486111111111111E-2</v>
      </c>
      <c r="F255" s="61" t="s">
        <v>4447</v>
      </c>
    </row>
    <row r="256" spans="1:6" x14ac:dyDescent="0.25">
      <c r="A256" s="15" t="s">
        <v>4272</v>
      </c>
      <c r="B256" s="15" t="s">
        <v>4305</v>
      </c>
      <c r="C256" s="52">
        <v>53.374675000000003</v>
      </c>
      <c r="D256" s="25">
        <v>5.6250000000000001E-2</v>
      </c>
      <c r="F256" s="61" t="s">
        <v>4448</v>
      </c>
    </row>
    <row r="257" spans="1:6" x14ac:dyDescent="0.25">
      <c r="A257" s="15" t="s">
        <v>4272</v>
      </c>
      <c r="B257" s="15" t="s">
        <v>4306</v>
      </c>
      <c r="C257" s="54">
        <v>88.512681999999998</v>
      </c>
      <c r="D257" s="26">
        <v>7.8472222222222221E-2</v>
      </c>
      <c r="F257" s="61" t="s">
        <v>4449</v>
      </c>
    </row>
    <row r="258" spans="1:6" x14ac:dyDescent="0.25">
      <c r="A258" s="15" t="s">
        <v>4272</v>
      </c>
      <c r="B258" s="15" t="s">
        <v>4307</v>
      </c>
      <c r="C258" s="52">
        <v>87.415959000000001</v>
      </c>
      <c r="D258" s="25">
        <v>7.7083333333333337E-2</v>
      </c>
      <c r="F258" s="61" t="s">
        <v>4450</v>
      </c>
    </row>
    <row r="259" spans="1:6" x14ac:dyDescent="0.25">
      <c r="A259" s="15" t="s">
        <v>4272</v>
      </c>
      <c r="B259" s="15" t="s">
        <v>4308</v>
      </c>
      <c r="C259" s="54">
        <v>85.639454999999998</v>
      </c>
      <c r="D259" s="26">
        <v>7.4999999999999997E-2</v>
      </c>
      <c r="F259" s="61" t="s">
        <v>4451</v>
      </c>
    </row>
    <row r="260" spans="1:6" x14ac:dyDescent="0.25">
      <c r="A260" s="15" t="s">
        <v>4272</v>
      </c>
      <c r="B260" s="15" t="s">
        <v>4309</v>
      </c>
      <c r="C260" s="52">
        <v>119.390558</v>
      </c>
      <c r="D260" s="25">
        <v>0.10416666666666667</v>
      </c>
      <c r="F260" s="61" t="s">
        <v>4452</v>
      </c>
    </row>
    <row r="261" spans="1:6" x14ac:dyDescent="0.25">
      <c r="A261" s="15" t="s">
        <v>4272</v>
      </c>
      <c r="B261" s="15" t="s">
        <v>4310</v>
      </c>
      <c r="C261" s="54">
        <v>120.952067</v>
      </c>
      <c r="D261" s="26">
        <v>0.1076388888888889</v>
      </c>
      <c r="F261" s="61" t="s">
        <v>4453</v>
      </c>
    </row>
    <row r="262" spans="1:6" x14ac:dyDescent="0.25">
      <c r="A262" s="15" t="s">
        <v>4272</v>
      </c>
      <c r="B262" s="15" t="s">
        <v>4311</v>
      </c>
      <c r="C262" s="52">
        <v>110.24581499999999</v>
      </c>
      <c r="D262" s="25">
        <v>9.8611111111111108E-2</v>
      </c>
      <c r="F262" s="61" t="s">
        <v>4454</v>
      </c>
    </row>
    <row r="263" spans="1:6" x14ac:dyDescent="0.25">
      <c r="A263" s="15" t="s">
        <v>4272</v>
      </c>
      <c r="B263" s="15" t="s">
        <v>4312</v>
      </c>
      <c r="C263" s="54">
        <v>106.95813200000001</v>
      </c>
      <c r="D263" s="26">
        <v>9.1666666666666674E-2</v>
      </c>
      <c r="F263" s="61" t="s">
        <v>4455</v>
      </c>
    </row>
    <row r="264" spans="1:6" x14ac:dyDescent="0.25">
      <c r="A264" s="15" t="s">
        <v>4272</v>
      </c>
      <c r="B264" s="15" t="s">
        <v>4313</v>
      </c>
      <c r="C264" s="52">
        <v>125.63224700000001</v>
      </c>
      <c r="D264" s="25">
        <v>0.11041666666666666</v>
      </c>
      <c r="F264" s="61" t="s">
        <v>4456</v>
      </c>
    </row>
    <row r="265" spans="1:6" x14ac:dyDescent="0.25">
      <c r="A265" s="15" t="s">
        <v>4272</v>
      </c>
      <c r="B265" s="15" t="s">
        <v>4314</v>
      </c>
      <c r="C265" s="54">
        <v>66.005319</v>
      </c>
      <c r="D265" s="26">
        <v>6.1111111111111116E-2</v>
      </c>
      <c r="F265" s="61" t="s">
        <v>4457</v>
      </c>
    </row>
    <row r="266" spans="1:6" x14ac:dyDescent="0.25">
      <c r="A266" s="15" t="s">
        <v>4272</v>
      </c>
      <c r="B266" s="15" t="s">
        <v>4315</v>
      </c>
      <c r="C266" s="52">
        <v>57.484434999999998</v>
      </c>
      <c r="D266" s="25">
        <v>5.9722222222222225E-2</v>
      </c>
      <c r="F266" s="61" t="s">
        <v>4458</v>
      </c>
    </row>
    <row r="267" spans="1:6" x14ac:dyDescent="0.25">
      <c r="A267" s="15" t="s">
        <v>4272</v>
      </c>
      <c r="B267" s="15" t="s">
        <v>4316</v>
      </c>
      <c r="C267" s="54">
        <v>54.787677000000002</v>
      </c>
      <c r="D267" s="26">
        <v>5.4166666666666669E-2</v>
      </c>
      <c r="F267" s="61" t="s">
        <v>4459</v>
      </c>
    </row>
    <row r="268" spans="1:6" x14ac:dyDescent="0.25">
      <c r="A268" s="15" t="s">
        <v>4272</v>
      </c>
      <c r="B268" s="15" t="s">
        <v>4317</v>
      </c>
      <c r="C268" s="52">
        <v>134.96899400000001</v>
      </c>
      <c r="D268" s="25">
        <v>0.1125</v>
      </c>
      <c r="F268" s="61" t="s">
        <v>4460</v>
      </c>
    </row>
    <row r="269" spans="1:6" x14ac:dyDescent="0.25">
      <c r="A269" s="15" t="s">
        <v>4272</v>
      </c>
      <c r="B269" s="15" t="s">
        <v>4318</v>
      </c>
      <c r="C269" s="54">
        <v>144.08018200000001</v>
      </c>
      <c r="D269" s="26">
        <v>0.12083333333333333</v>
      </c>
      <c r="F269" s="61" t="s">
        <v>4461</v>
      </c>
    </row>
    <row r="270" spans="1:6" x14ac:dyDescent="0.25">
      <c r="A270" s="15" t="s">
        <v>4272</v>
      </c>
      <c r="B270" s="15" t="s">
        <v>4319</v>
      </c>
      <c r="C270" s="52">
        <v>137.71794600000001</v>
      </c>
      <c r="D270" s="25">
        <v>0.11666666666666665</v>
      </c>
      <c r="F270" s="61" t="s">
        <v>4462</v>
      </c>
    </row>
    <row r="271" spans="1:6" x14ac:dyDescent="0.25">
      <c r="A271" s="15" t="s">
        <v>4272</v>
      </c>
      <c r="B271" s="15" t="s">
        <v>4320</v>
      </c>
      <c r="C271" s="54">
        <v>162.475922</v>
      </c>
      <c r="D271" s="26">
        <v>0.13958333333333334</v>
      </c>
      <c r="F271" s="61" t="s">
        <v>4463</v>
      </c>
    </row>
    <row r="272" spans="1:6" x14ac:dyDescent="0.25">
      <c r="A272" s="15" t="s">
        <v>4272</v>
      </c>
      <c r="B272" s="15" t="s">
        <v>4321</v>
      </c>
      <c r="C272" s="52">
        <v>162.29510200000001</v>
      </c>
      <c r="D272" s="25">
        <v>0.1388888888888889</v>
      </c>
      <c r="F272" s="61" t="s">
        <v>4464</v>
      </c>
    </row>
    <row r="273" spans="1:6" x14ac:dyDescent="0.25">
      <c r="A273" s="15" t="s">
        <v>4273</v>
      </c>
      <c r="B273" s="15">
        <v>3423909</v>
      </c>
      <c r="C273" s="54">
        <v>37.228304999999999</v>
      </c>
      <c r="D273" s="26">
        <v>3.4722222222222224E-2</v>
      </c>
      <c r="F273" s="61" t="s">
        <v>7018</v>
      </c>
    </row>
    <row r="274" spans="1:6" x14ac:dyDescent="0.25">
      <c r="A274" s="15" t="s">
        <v>4273</v>
      </c>
      <c r="B274" s="15">
        <v>3403208</v>
      </c>
      <c r="C274" s="52">
        <v>116.44587199999999</v>
      </c>
      <c r="D274" s="25">
        <v>9.8611111111111108E-2</v>
      </c>
      <c r="F274" s="61" t="s">
        <v>7123</v>
      </c>
    </row>
    <row r="275" spans="1:6" x14ac:dyDescent="0.25">
      <c r="A275" s="15" t="s">
        <v>4273</v>
      </c>
      <c r="B275" s="15">
        <v>3424402</v>
      </c>
      <c r="C275" s="54">
        <v>89.209862000000001</v>
      </c>
      <c r="D275" s="26">
        <v>7.6388888888888895E-2</v>
      </c>
      <c r="F275" s="61" t="s">
        <v>7230</v>
      </c>
    </row>
    <row r="276" spans="1:6" x14ac:dyDescent="0.25">
      <c r="A276" s="15" t="s">
        <v>4273</v>
      </c>
      <c r="B276" s="15" t="s">
        <v>4271</v>
      </c>
      <c r="C276" s="52">
        <v>2.3804789999999998</v>
      </c>
      <c r="D276" s="25">
        <v>6.2499999999999995E-3</v>
      </c>
      <c r="F276" s="61" t="s">
        <v>4465</v>
      </c>
    </row>
    <row r="277" spans="1:6" x14ac:dyDescent="0.25">
      <c r="A277" s="15" t="s">
        <v>4273</v>
      </c>
      <c r="B277" s="15" t="s">
        <v>4272</v>
      </c>
      <c r="C277" s="54">
        <v>3.421278</v>
      </c>
      <c r="D277" s="26">
        <v>9.0277777777777787E-3</v>
      </c>
      <c r="F277" s="61" t="s">
        <v>4466</v>
      </c>
    </row>
    <row r="278" spans="1:6" x14ac:dyDescent="0.25">
      <c r="A278" s="15" t="s">
        <v>4273</v>
      </c>
      <c r="B278" s="15" t="s">
        <v>4273</v>
      </c>
      <c r="C278" s="52">
        <v>0</v>
      </c>
      <c r="D278" s="25">
        <v>0</v>
      </c>
      <c r="F278" s="61" t="s">
        <v>4467</v>
      </c>
    </row>
    <row r="279" spans="1:6" x14ac:dyDescent="0.25">
      <c r="A279" s="15" t="s">
        <v>4273</v>
      </c>
      <c r="B279" s="15" t="s">
        <v>4274</v>
      </c>
      <c r="C279" s="54">
        <v>8.8446200000000008</v>
      </c>
      <c r="D279" s="26">
        <v>1.8055555555555557E-2</v>
      </c>
      <c r="F279" s="61" t="s">
        <v>4468</v>
      </c>
    </row>
    <row r="280" spans="1:6" x14ac:dyDescent="0.25">
      <c r="A280" s="15" t="s">
        <v>4273</v>
      </c>
      <c r="B280" s="15" t="s">
        <v>4275</v>
      </c>
      <c r="C280" s="52">
        <v>8.9378250000000001</v>
      </c>
      <c r="D280" s="25">
        <v>1.8749999999999999E-2</v>
      </c>
      <c r="F280" s="61" t="s">
        <v>4469</v>
      </c>
    </row>
    <row r="281" spans="1:6" x14ac:dyDescent="0.25">
      <c r="A281" s="15" t="s">
        <v>4273</v>
      </c>
      <c r="B281" s="15" t="s">
        <v>4276</v>
      </c>
      <c r="C281" s="54">
        <v>4.5714389999999998</v>
      </c>
      <c r="D281" s="26">
        <v>9.0277777777777787E-3</v>
      </c>
      <c r="F281" s="61" t="s">
        <v>4470</v>
      </c>
    </row>
    <row r="282" spans="1:6" x14ac:dyDescent="0.25">
      <c r="A282" s="15" t="s">
        <v>4273</v>
      </c>
      <c r="B282" s="15" t="s">
        <v>4277</v>
      </c>
      <c r="C282" s="52">
        <v>5.7551540000000001</v>
      </c>
      <c r="D282" s="25">
        <v>1.2499999999999999E-2</v>
      </c>
      <c r="F282" s="61" t="s">
        <v>4471</v>
      </c>
    </row>
    <row r="283" spans="1:6" x14ac:dyDescent="0.25">
      <c r="A283" s="15" t="s">
        <v>4273</v>
      </c>
      <c r="B283" s="15" t="s">
        <v>4278</v>
      </c>
      <c r="C283" s="54">
        <v>7.7398189999999998</v>
      </c>
      <c r="D283" s="26">
        <v>1.3888888888888888E-2</v>
      </c>
      <c r="F283" s="61" t="s">
        <v>4472</v>
      </c>
    </row>
    <row r="284" spans="1:6" x14ac:dyDescent="0.25">
      <c r="A284" s="15" t="s">
        <v>4273</v>
      </c>
      <c r="B284" s="15" t="s">
        <v>4279</v>
      </c>
      <c r="C284" s="52">
        <v>26.664346999999999</v>
      </c>
      <c r="D284" s="25">
        <v>3.0555555555555555E-2</v>
      </c>
      <c r="F284" s="61" t="s">
        <v>4473</v>
      </c>
    </row>
    <row r="285" spans="1:6" x14ac:dyDescent="0.25">
      <c r="A285" s="15" t="s">
        <v>4273</v>
      </c>
      <c r="B285" s="15" t="s">
        <v>4280</v>
      </c>
      <c r="C285" s="54">
        <v>58.807336999999997</v>
      </c>
      <c r="D285" s="26">
        <v>5.8333333333333327E-2</v>
      </c>
      <c r="F285" s="61" t="s">
        <v>4474</v>
      </c>
    </row>
    <row r="286" spans="1:6" x14ac:dyDescent="0.25">
      <c r="A286" s="15" t="s">
        <v>4273</v>
      </c>
      <c r="B286" s="15" t="s">
        <v>4281</v>
      </c>
      <c r="C286" s="52">
        <v>44.387140000000002</v>
      </c>
      <c r="D286" s="25">
        <v>4.3750000000000004E-2</v>
      </c>
      <c r="F286" s="61" t="s">
        <v>4475</v>
      </c>
    </row>
    <row r="287" spans="1:6" x14ac:dyDescent="0.25">
      <c r="A287" s="15" t="s">
        <v>4273</v>
      </c>
      <c r="B287" s="15" t="s">
        <v>4282</v>
      </c>
      <c r="C287" s="54">
        <v>88.251084000000006</v>
      </c>
      <c r="D287" s="26">
        <v>7.6388888888888895E-2</v>
      </c>
      <c r="F287" s="61" t="s">
        <v>4476</v>
      </c>
    </row>
    <row r="288" spans="1:6" x14ac:dyDescent="0.25">
      <c r="A288" s="15" t="s">
        <v>4273</v>
      </c>
      <c r="B288" s="15" t="s">
        <v>4283</v>
      </c>
      <c r="C288" s="52">
        <v>96.135062000000005</v>
      </c>
      <c r="D288" s="25">
        <v>8.1944444444444445E-2</v>
      </c>
      <c r="F288" s="61" t="s">
        <v>4477</v>
      </c>
    </row>
    <row r="289" spans="1:6" x14ac:dyDescent="0.25">
      <c r="A289" s="15" t="s">
        <v>4273</v>
      </c>
      <c r="B289" s="15" t="s">
        <v>4284</v>
      </c>
      <c r="C289" s="54">
        <v>94.197620999999998</v>
      </c>
      <c r="D289" s="26">
        <v>7.9166666666666663E-2</v>
      </c>
      <c r="F289" s="61" t="s">
        <v>4478</v>
      </c>
    </row>
    <row r="290" spans="1:6" x14ac:dyDescent="0.25">
      <c r="A290" s="15" t="s">
        <v>4273</v>
      </c>
      <c r="B290" s="15" t="s">
        <v>4285</v>
      </c>
      <c r="C290" s="52">
        <v>96.576235999999994</v>
      </c>
      <c r="D290" s="25">
        <v>8.5416666666666655E-2</v>
      </c>
      <c r="F290" s="61" t="s">
        <v>4479</v>
      </c>
    </row>
    <row r="291" spans="1:6" x14ac:dyDescent="0.25">
      <c r="A291" s="15" t="s">
        <v>4273</v>
      </c>
      <c r="B291" s="15" t="s">
        <v>4286</v>
      </c>
      <c r="C291" s="54">
        <v>95.506854000000004</v>
      </c>
      <c r="D291" s="26">
        <v>8.3333333333333329E-2</v>
      </c>
      <c r="F291" s="61" t="s">
        <v>4480</v>
      </c>
    </row>
    <row r="292" spans="1:6" x14ac:dyDescent="0.25">
      <c r="A292" s="15" t="s">
        <v>4273</v>
      </c>
      <c r="B292" s="15" t="s">
        <v>4287</v>
      </c>
      <c r="C292" s="52">
        <v>96.562566000000004</v>
      </c>
      <c r="D292" s="25">
        <v>8.1944444444444445E-2</v>
      </c>
      <c r="F292" s="61" t="s">
        <v>4481</v>
      </c>
    </row>
    <row r="293" spans="1:6" x14ac:dyDescent="0.25">
      <c r="A293" s="15" t="s">
        <v>4273</v>
      </c>
      <c r="B293" s="15" t="s">
        <v>4288</v>
      </c>
      <c r="C293" s="54">
        <v>101.390632</v>
      </c>
      <c r="D293" s="26">
        <v>8.6805555555555566E-2</v>
      </c>
      <c r="F293" s="61" t="s">
        <v>4482</v>
      </c>
    </row>
    <row r="294" spans="1:6" x14ac:dyDescent="0.25">
      <c r="A294" s="15" t="s">
        <v>4273</v>
      </c>
      <c r="B294" s="15" t="s">
        <v>4289</v>
      </c>
      <c r="C294" s="52">
        <v>55.587384</v>
      </c>
      <c r="D294" s="25">
        <v>4.9305555555555554E-2</v>
      </c>
      <c r="F294" s="61" t="s">
        <v>4483</v>
      </c>
    </row>
    <row r="295" spans="1:6" x14ac:dyDescent="0.25">
      <c r="A295" s="15" t="s">
        <v>4273</v>
      </c>
      <c r="B295" s="15" t="s">
        <v>4290</v>
      </c>
      <c r="C295" s="54">
        <v>57.159457000000003</v>
      </c>
      <c r="D295" s="26">
        <v>5.2777777777777778E-2</v>
      </c>
      <c r="F295" s="61" t="s">
        <v>4484</v>
      </c>
    </row>
    <row r="296" spans="1:6" x14ac:dyDescent="0.25">
      <c r="A296" s="15" t="s">
        <v>4273</v>
      </c>
      <c r="B296" s="15" t="s">
        <v>4291</v>
      </c>
      <c r="C296" s="52">
        <v>56.761156999999997</v>
      </c>
      <c r="D296" s="25">
        <v>5.2777777777777778E-2</v>
      </c>
      <c r="F296" s="61" t="s">
        <v>4485</v>
      </c>
    </row>
    <row r="297" spans="1:6" x14ac:dyDescent="0.25">
      <c r="A297" s="15" t="s">
        <v>4273</v>
      </c>
      <c r="B297" s="15" t="s">
        <v>4292</v>
      </c>
      <c r="C297" s="54">
        <v>55.884399999999999</v>
      </c>
      <c r="D297" s="26">
        <v>5.2083333333333336E-2</v>
      </c>
      <c r="F297" s="61" t="s">
        <v>4486</v>
      </c>
    </row>
    <row r="298" spans="1:6" x14ac:dyDescent="0.25">
      <c r="A298" s="15" t="s">
        <v>4273</v>
      </c>
      <c r="B298" s="15" t="s">
        <v>4293</v>
      </c>
      <c r="C298" s="52">
        <v>65.034734999999998</v>
      </c>
      <c r="D298" s="25">
        <v>5.9722222222222225E-2</v>
      </c>
      <c r="F298" s="61" t="s">
        <v>4487</v>
      </c>
    </row>
    <row r="299" spans="1:6" x14ac:dyDescent="0.25">
      <c r="A299" s="15" t="s">
        <v>4273</v>
      </c>
      <c r="B299" s="15" t="s">
        <v>4294</v>
      </c>
      <c r="C299" s="54">
        <v>66.014017999999993</v>
      </c>
      <c r="D299" s="26">
        <v>6.1805555555555558E-2</v>
      </c>
      <c r="F299" s="61" t="s">
        <v>4488</v>
      </c>
    </row>
    <row r="300" spans="1:6" x14ac:dyDescent="0.25">
      <c r="A300" s="15" t="s">
        <v>4273</v>
      </c>
      <c r="B300" s="15" t="s">
        <v>4295</v>
      </c>
      <c r="C300" s="52">
        <v>68.834429</v>
      </c>
      <c r="D300" s="25">
        <v>6.3888888888888884E-2</v>
      </c>
      <c r="F300" s="61" t="s">
        <v>4489</v>
      </c>
    </row>
    <row r="301" spans="1:6" x14ac:dyDescent="0.25">
      <c r="A301" s="15" t="s">
        <v>4273</v>
      </c>
      <c r="B301" s="15" t="s">
        <v>4296</v>
      </c>
      <c r="C301" s="54">
        <v>60.496850000000002</v>
      </c>
      <c r="D301" s="26">
        <v>5.486111111111111E-2</v>
      </c>
      <c r="F301" s="61" t="s">
        <v>4490</v>
      </c>
    </row>
    <row r="302" spans="1:6" x14ac:dyDescent="0.25">
      <c r="A302" s="15" t="s">
        <v>4273</v>
      </c>
      <c r="B302" s="15" t="s">
        <v>4297</v>
      </c>
      <c r="C302" s="52">
        <v>66.813725000000005</v>
      </c>
      <c r="D302" s="25">
        <v>6.25E-2</v>
      </c>
      <c r="F302" s="61" t="s">
        <v>4491</v>
      </c>
    </row>
    <row r="303" spans="1:6" x14ac:dyDescent="0.25">
      <c r="A303" s="15" t="s">
        <v>4273</v>
      </c>
      <c r="B303" s="15" t="s">
        <v>4298</v>
      </c>
      <c r="C303" s="54">
        <v>68.145326999999995</v>
      </c>
      <c r="D303" s="26">
        <v>6.8749999999999992E-2</v>
      </c>
      <c r="F303" s="61" t="s">
        <v>4492</v>
      </c>
    </row>
    <row r="304" spans="1:6" x14ac:dyDescent="0.25">
      <c r="A304" s="15" t="s">
        <v>4273</v>
      </c>
      <c r="B304" s="15" t="s">
        <v>4299</v>
      </c>
      <c r="C304" s="52">
        <v>70.407745000000006</v>
      </c>
      <c r="D304" s="25">
        <v>7.2916666666666671E-2</v>
      </c>
      <c r="F304" s="61" t="s">
        <v>4493</v>
      </c>
    </row>
    <row r="305" spans="1:6" x14ac:dyDescent="0.25">
      <c r="A305" s="15" t="s">
        <v>4273</v>
      </c>
      <c r="B305" s="15" t="s">
        <v>4300</v>
      </c>
      <c r="C305" s="54">
        <v>74.467173000000003</v>
      </c>
      <c r="D305" s="26">
        <v>8.1944444444444445E-2</v>
      </c>
      <c r="F305" s="61" t="s">
        <v>4494</v>
      </c>
    </row>
    <row r="306" spans="1:6" x14ac:dyDescent="0.25">
      <c r="A306" s="15" t="s">
        <v>4273</v>
      </c>
      <c r="B306" s="15" t="s">
        <v>4301</v>
      </c>
      <c r="C306" s="52">
        <v>59.869884999999996</v>
      </c>
      <c r="D306" s="25">
        <v>5.7638888888888885E-2</v>
      </c>
      <c r="F306" s="61" t="s">
        <v>4495</v>
      </c>
    </row>
    <row r="307" spans="1:6" x14ac:dyDescent="0.25">
      <c r="A307" s="15" t="s">
        <v>4273</v>
      </c>
      <c r="B307" s="15" t="s">
        <v>4302</v>
      </c>
      <c r="C307" s="54">
        <v>55.333241999999998</v>
      </c>
      <c r="D307" s="26">
        <v>5.347222222222222E-2</v>
      </c>
      <c r="F307" s="61" t="s">
        <v>4496</v>
      </c>
    </row>
    <row r="308" spans="1:6" x14ac:dyDescent="0.25">
      <c r="A308" s="15" t="s">
        <v>4273</v>
      </c>
      <c r="B308" s="15" t="s">
        <v>4303</v>
      </c>
      <c r="C308" s="52">
        <v>68.490809999999996</v>
      </c>
      <c r="D308" s="25">
        <v>6.5972222222222224E-2</v>
      </c>
      <c r="F308" s="61" t="s">
        <v>4497</v>
      </c>
    </row>
    <row r="309" spans="1:6" x14ac:dyDescent="0.25">
      <c r="A309" s="15" t="s">
        <v>4273</v>
      </c>
      <c r="B309" s="15" t="s">
        <v>4304</v>
      </c>
      <c r="C309" s="54">
        <v>47.968733</v>
      </c>
      <c r="D309" s="26">
        <v>5.347222222222222E-2</v>
      </c>
      <c r="F309" s="61" t="s">
        <v>4498</v>
      </c>
    </row>
    <row r="310" spans="1:6" x14ac:dyDescent="0.25">
      <c r="A310" s="15" t="s">
        <v>4273</v>
      </c>
      <c r="B310" s="15" t="s">
        <v>4305</v>
      </c>
      <c r="C310" s="52">
        <v>48.500627999999999</v>
      </c>
      <c r="D310" s="25">
        <v>5.486111111111111E-2</v>
      </c>
      <c r="F310" s="61" t="s">
        <v>4499</v>
      </c>
    </row>
    <row r="311" spans="1:6" x14ac:dyDescent="0.25">
      <c r="A311" s="15" t="s">
        <v>4273</v>
      </c>
      <c r="B311" s="15" t="s">
        <v>4306</v>
      </c>
      <c r="C311" s="54">
        <v>93.381759000000002</v>
      </c>
      <c r="D311" s="26">
        <v>8.3333333333333329E-2</v>
      </c>
      <c r="F311" s="61" t="s">
        <v>4500</v>
      </c>
    </row>
    <row r="312" spans="1:6" x14ac:dyDescent="0.25">
      <c r="A312" s="15" t="s">
        <v>4273</v>
      </c>
      <c r="B312" s="15" t="s">
        <v>4307</v>
      </c>
      <c r="C312" s="52">
        <v>92.285036000000005</v>
      </c>
      <c r="D312" s="25">
        <v>8.1944444444444445E-2</v>
      </c>
      <c r="F312" s="61" t="s">
        <v>4501</v>
      </c>
    </row>
    <row r="313" spans="1:6" x14ac:dyDescent="0.25">
      <c r="A313" s="15" t="s">
        <v>4273</v>
      </c>
      <c r="B313" s="15" t="s">
        <v>4308</v>
      </c>
      <c r="C313" s="54">
        <v>90.508531000000005</v>
      </c>
      <c r="D313" s="26">
        <v>7.9861111111111105E-2</v>
      </c>
      <c r="F313" s="61" t="s">
        <v>4502</v>
      </c>
    </row>
    <row r="314" spans="1:6" x14ac:dyDescent="0.25">
      <c r="A314" s="15" t="s">
        <v>4273</v>
      </c>
      <c r="B314" s="15" t="s">
        <v>4309</v>
      </c>
      <c r="C314" s="52">
        <v>122.396759</v>
      </c>
      <c r="D314" s="25">
        <v>0.10625</v>
      </c>
      <c r="F314" s="61" t="s">
        <v>4503</v>
      </c>
    </row>
    <row r="315" spans="1:6" x14ac:dyDescent="0.25">
      <c r="A315" s="15" t="s">
        <v>4273</v>
      </c>
      <c r="B315" s="15" t="s">
        <v>4310</v>
      </c>
      <c r="C315" s="54">
        <v>123.958269</v>
      </c>
      <c r="D315" s="26">
        <v>0.10972222222222222</v>
      </c>
      <c r="F315" s="61" t="s">
        <v>4504</v>
      </c>
    </row>
    <row r="316" spans="1:6" x14ac:dyDescent="0.25">
      <c r="A316" s="15" t="s">
        <v>4273</v>
      </c>
      <c r="B316" s="15" t="s">
        <v>4311</v>
      </c>
      <c r="C316" s="52">
        <v>113.252016</v>
      </c>
      <c r="D316" s="25">
        <v>9.9999999999999992E-2</v>
      </c>
      <c r="F316" s="61" t="s">
        <v>4505</v>
      </c>
    </row>
    <row r="317" spans="1:6" x14ac:dyDescent="0.25">
      <c r="A317" s="15" t="s">
        <v>4273</v>
      </c>
      <c r="B317" s="15" t="s">
        <v>4312</v>
      </c>
      <c r="C317" s="54">
        <v>109.964333</v>
      </c>
      <c r="D317" s="26">
        <v>9.3055555555555558E-2</v>
      </c>
      <c r="F317" s="61" t="s">
        <v>4506</v>
      </c>
    </row>
    <row r="318" spans="1:6" x14ac:dyDescent="0.25">
      <c r="A318" s="15" t="s">
        <v>4273</v>
      </c>
      <c r="B318" s="15" t="s">
        <v>4313</v>
      </c>
      <c r="C318" s="52">
        <v>128.63844800000001</v>
      </c>
      <c r="D318" s="25">
        <v>0.11180555555555556</v>
      </c>
      <c r="F318" s="61" t="s">
        <v>4507</v>
      </c>
    </row>
    <row r="319" spans="1:6" x14ac:dyDescent="0.25">
      <c r="A319" s="15" t="s">
        <v>4273</v>
      </c>
      <c r="B319" s="15" t="s">
        <v>4314</v>
      </c>
      <c r="C319" s="54">
        <v>68.904644000000005</v>
      </c>
      <c r="D319" s="26">
        <v>6.25E-2</v>
      </c>
      <c r="F319" s="61" t="s">
        <v>4508</v>
      </c>
    </row>
    <row r="320" spans="1:6" x14ac:dyDescent="0.25">
      <c r="A320" s="15" t="s">
        <v>4273</v>
      </c>
      <c r="B320" s="15" t="s">
        <v>4315</v>
      </c>
      <c r="C320" s="52">
        <v>60.383760000000002</v>
      </c>
      <c r="D320" s="25">
        <v>6.1805555555555558E-2</v>
      </c>
      <c r="F320" s="61" t="s">
        <v>4509</v>
      </c>
    </row>
    <row r="321" spans="1:6" x14ac:dyDescent="0.25">
      <c r="A321" s="15" t="s">
        <v>4273</v>
      </c>
      <c r="B321" s="15" t="s">
        <v>4316</v>
      </c>
      <c r="C321" s="54">
        <v>57.678303</v>
      </c>
      <c r="D321" s="26">
        <v>5.5555555555555552E-2</v>
      </c>
      <c r="F321" s="61" t="s">
        <v>4510</v>
      </c>
    </row>
    <row r="322" spans="1:6" x14ac:dyDescent="0.25">
      <c r="A322" s="15" t="s">
        <v>4273</v>
      </c>
      <c r="B322" s="15" t="s">
        <v>4317</v>
      </c>
      <c r="C322" s="52">
        <v>139.83806999999999</v>
      </c>
      <c r="D322" s="25">
        <v>0.1173611111111111</v>
      </c>
      <c r="F322" s="61" t="s">
        <v>4511</v>
      </c>
    </row>
    <row r="323" spans="1:6" x14ac:dyDescent="0.25">
      <c r="A323" s="15" t="s">
        <v>4273</v>
      </c>
      <c r="B323" s="15" t="s">
        <v>4318</v>
      </c>
      <c r="C323" s="54">
        <v>148.94925900000001</v>
      </c>
      <c r="D323" s="26">
        <v>0.12569444444444444</v>
      </c>
      <c r="F323" s="61" t="s">
        <v>4512</v>
      </c>
    </row>
    <row r="324" spans="1:6" x14ac:dyDescent="0.25">
      <c r="A324" s="15" t="s">
        <v>4273</v>
      </c>
      <c r="B324" s="15" t="s">
        <v>4319</v>
      </c>
      <c r="C324" s="52">
        <v>142.58702299999999</v>
      </c>
      <c r="D324" s="25">
        <v>0.12152777777777778</v>
      </c>
      <c r="F324" s="61" t="s">
        <v>4513</v>
      </c>
    </row>
    <row r="325" spans="1:6" x14ac:dyDescent="0.25">
      <c r="A325" s="15" t="s">
        <v>4273</v>
      </c>
      <c r="B325" s="15" t="s">
        <v>4320</v>
      </c>
      <c r="C325" s="54">
        <v>167.344999</v>
      </c>
      <c r="D325" s="26">
        <v>0.14444444444444446</v>
      </c>
      <c r="F325" s="61" t="s">
        <v>4514</v>
      </c>
    </row>
    <row r="326" spans="1:6" x14ac:dyDescent="0.25">
      <c r="A326" s="15" t="s">
        <v>4273</v>
      </c>
      <c r="B326" s="15" t="s">
        <v>4321</v>
      </c>
      <c r="C326" s="52">
        <v>167.16417899999999</v>
      </c>
      <c r="D326" s="25">
        <v>0.14305555555555557</v>
      </c>
      <c r="F326" s="61" t="s">
        <v>4515</v>
      </c>
    </row>
    <row r="327" spans="1:6" x14ac:dyDescent="0.25">
      <c r="A327" s="15" t="s">
        <v>4274</v>
      </c>
      <c r="B327" s="15">
        <v>3423909</v>
      </c>
      <c r="C327" s="54">
        <v>41.558650999999998</v>
      </c>
      <c r="D327" s="26">
        <v>3.5416666666666666E-2</v>
      </c>
      <c r="F327" s="61" t="s">
        <v>7019</v>
      </c>
    </row>
    <row r="328" spans="1:6" x14ac:dyDescent="0.25">
      <c r="A328" s="15" t="s">
        <v>4274</v>
      </c>
      <c r="B328" s="15">
        <v>3403208</v>
      </c>
      <c r="C328" s="52">
        <v>109.73691100000001</v>
      </c>
      <c r="D328" s="25">
        <v>8.8888888888888892E-2</v>
      </c>
      <c r="F328" s="61" t="s">
        <v>7124</v>
      </c>
    </row>
    <row r="329" spans="1:6" x14ac:dyDescent="0.25">
      <c r="A329" s="15" t="s">
        <v>4274</v>
      </c>
      <c r="B329" s="15">
        <v>3424402</v>
      </c>
      <c r="C329" s="54">
        <v>90.291672000000005</v>
      </c>
      <c r="D329" s="26">
        <v>7.4999999999999997E-2</v>
      </c>
      <c r="F329" s="61" t="s">
        <v>7231</v>
      </c>
    </row>
    <row r="330" spans="1:6" x14ac:dyDescent="0.25">
      <c r="A330" s="15" t="s">
        <v>4274</v>
      </c>
      <c r="B330" s="15" t="s">
        <v>4271</v>
      </c>
      <c r="C330" s="52">
        <v>13.155704</v>
      </c>
      <c r="D330" s="25">
        <v>1.5277777777777777E-2</v>
      </c>
      <c r="F330" s="61" t="s">
        <v>4516</v>
      </c>
    </row>
    <row r="331" spans="1:6" x14ac:dyDescent="0.25">
      <c r="A331" s="15" t="s">
        <v>4274</v>
      </c>
      <c r="B331" s="15" t="s">
        <v>4272</v>
      </c>
      <c r="C331" s="54">
        <v>4.812532</v>
      </c>
      <c r="D331" s="26">
        <v>8.3333333333333332E-3</v>
      </c>
      <c r="F331" s="61" t="s">
        <v>4517</v>
      </c>
    </row>
    <row r="332" spans="1:6" x14ac:dyDescent="0.25">
      <c r="A332" s="15" t="s">
        <v>4274</v>
      </c>
      <c r="B332" s="15" t="s">
        <v>4273</v>
      </c>
      <c r="C332" s="52">
        <v>10.019634999999999</v>
      </c>
      <c r="D332" s="25">
        <v>1.5972222222222224E-2</v>
      </c>
      <c r="F332" s="61" t="s">
        <v>4518</v>
      </c>
    </row>
    <row r="333" spans="1:6" x14ac:dyDescent="0.25">
      <c r="A333" s="15" t="s">
        <v>4274</v>
      </c>
      <c r="B333" s="15" t="s">
        <v>4274</v>
      </c>
      <c r="C333" s="54">
        <v>0</v>
      </c>
      <c r="D333" s="26">
        <v>0</v>
      </c>
      <c r="F333" s="61" t="s">
        <v>4519</v>
      </c>
    </row>
    <row r="334" spans="1:6" x14ac:dyDescent="0.25">
      <c r="A334" s="15" t="s">
        <v>4274</v>
      </c>
      <c r="B334" s="15" t="s">
        <v>4275</v>
      </c>
      <c r="C334" s="52">
        <v>1.3545929999999999</v>
      </c>
      <c r="D334" s="25">
        <v>4.1666666666666666E-3</v>
      </c>
      <c r="F334" s="61" t="s">
        <v>4520</v>
      </c>
    </row>
    <row r="335" spans="1:6" x14ac:dyDescent="0.25">
      <c r="A335" s="15" t="s">
        <v>4274</v>
      </c>
      <c r="B335" s="15" t="s">
        <v>4276</v>
      </c>
      <c r="C335" s="54">
        <v>14.719699</v>
      </c>
      <c r="D335" s="26">
        <v>1.5972222222222224E-2</v>
      </c>
      <c r="F335" s="61" t="s">
        <v>4521</v>
      </c>
    </row>
    <row r="336" spans="1:6" x14ac:dyDescent="0.25">
      <c r="A336" s="15" t="s">
        <v>4274</v>
      </c>
      <c r="B336" s="15" t="s">
        <v>4277</v>
      </c>
      <c r="C336" s="52">
        <v>14.192774999999999</v>
      </c>
      <c r="D336" s="25">
        <v>1.5972222222222224E-2</v>
      </c>
      <c r="F336" s="61" t="s">
        <v>4522</v>
      </c>
    </row>
    <row r="337" spans="1:6" x14ac:dyDescent="0.25">
      <c r="A337" s="15" t="s">
        <v>4274</v>
      </c>
      <c r="B337" s="15" t="s">
        <v>4278</v>
      </c>
      <c r="C337" s="54">
        <v>13.193607</v>
      </c>
      <c r="D337" s="26">
        <v>1.5277777777777777E-2</v>
      </c>
      <c r="F337" s="61" t="s">
        <v>4523</v>
      </c>
    </row>
    <row r="338" spans="1:6" x14ac:dyDescent="0.25">
      <c r="A338" s="15" t="s">
        <v>4274</v>
      </c>
      <c r="B338" s="15" t="s">
        <v>4279</v>
      </c>
      <c r="C338" s="52">
        <v>19.955385</v>
      </c>
      <c r="D338" s="25">
        <v>2.0833333333333332E-2</v>
      </c>
      <c r="F338" s="61" t="s">
        <v>4524</v>
      </c>
    </row>
    <row r="339" spans="1:6" x14ac:dyDescent="0.25">
      <c r="A339" s="15" t="s">
        <v>4274</v>
      </c>
      <c r="B339" s="15" t="s">
        <v>4280</v>
      </c>
      <c r="C339" s="54">
        <v>67.612809999999996</v>
      </c>
      <c r="D339" s="26">
        <v>6.1805555555555558E-2</v>
      </c>
      <c r="F339" s="61" t="s">
        <v>4525</v>
      </c>
    </row>
    <row r="340" spans="1:6" x14ac:dyDescent="0.25">
      <c r="A340" s="15" t="s">
        <v>4274</v>
      </c>
      <c r="B340" s="15" t="s">
        <v>4281</v>
      </c>
      <c r="C340" s="52">
        <v>40.505425000000002</v>
      </c>
      <c r="D340" s="25">
        <v>3.5416666666666666E-2</v>
      </c>
      <c r="F340" s="61" t="s">
        <v>4526</v>
      </c>
    </row>
    <row r="341" spans="1:6" x14ac:dyDescent="0.25">
      <c r="A341" s="15" t="s">
        <v>4274</v>
      </c>
      <c r="B341" s="15" t="s">
        <v>4282</v>
      </c>
      <c r="C341" s="54">
        <v>89.332893999999996</v>
      </c>
      <c r="D341" s="26">
        <v>7.4999999999999997E-2</v>
      </c>
      <c r="F341" s="61" t="s">
        <v>4527</v>
      </c>
    </row>
    <row r="342" spans="1:6" x14ac:dyDescent="0.25">
      <c r="A342" s="15" t="s">
        <v>4274</v>
      </c>
      <c r="B342" s="15" t="s">
        <v>4283</v>
      </c>
      <c r="C342" s="52">
        <v>97.216871999999995</v>
      </c>
      <c r="D342" s="25">
        <v>8.0555555555555561E-2</v>
      </c>
      <c r="F342" s="61" t="s">
        <v>4528</v>
      </c>
    </row>
    <row r="343" spans="1:6" x14ac:dyDescent="0.25">
      <c r="A343" s="15" t="s">
        <v>4274</v>
      </c>
      <c r="B343" s="15" t="s">
        <v>4284</v>
      </c>
      <c r="C343" s="54">
        <v>95.279431000000002</v>
      </c>
      <c r="D343" s="26">
        <v>7.7777777777777779E-2</v>
      </c>
      <c r="F343" s="61" t="s">
        <v>4529</v>
      </c>
    </row>
    <row r="344" spans="1:6" x14ac:dyDescent="0.25">
      <c r="A344" s="15" t="s">
        <v>4274</v>
      </c>
      <c r="B344" s="15" t="s">
        <v>4285</v>
      </c>
      <c r="C344" s="52">
        <v>97.658045999999999</v>
      </c>
      <c r="D344" s="25">
        <v>8.3333333333333329E-2</v>
      </c>
      <c r="F344" s="61" t="s">
        <v>4530</v>
      </c>
    </row>
    <row r="345" spans="1:6" x14ac:dyDescent="0.25">
      <c r="A345" s="15" t="s">
        <v>4274</v>
      </c>
      <c r="B345" s="15" t="s">
        <v>4286</v>
      </c>
      <c r="C345" s="54">
        <v>96.588663999999994</v>
      </c>
      <c r="D345" s="26">
        <v>8.1944444444444445E-2</v>
      </c>
      <c r="F345" s="61" t="s">
        <v>4531</v>
      </c>
    </row>
    <row r="346" spans="1:6" x14ac:dyDescent="0.25">
      <c r="A346" s="15" t="s">
        <v>4274</v>
      </c>
      <c r="B346" s="15" t="s">
        <v>4287</v>
      </c>
      <c r="C346" s="52">
        <v>97.644375999999994</v>
      </c>
      <c r="D346" s="25">
        <v>8.0555555555555561E-2</v>
      </c>
      <c r="F346" s="61" t="s">
        <v>4532</v>
      </c>
    </row>
    <row r="347" spans="1:6" x14ac:dyDescent="0.25">
      <c r="A347" s="15" t="s">
        <v>4274</v>
      </c>
      <c r="B347" s="15" t="s">
        <v>4288</v>
      </c>
      <c r="C347" s="54">
        <v>102.472442</v>
      </c>
      <c r="D347" s="26">
        <v>8.4722222222222213E-2</v>
      </c>
      <c r="F347" s="61" t="s">
        <v>4533</v>
      </c>
    </row>
    <row r="348" spans="1:6" x14ac:dyDescent="0.25">
      <c r="A348" s="15" t="s">
        <v>4274</v>
      </c>
      <c r="B348" s="15" t="s">
        <v>4289</v>
      </c>
      <c r="C348" s="52">
        <v>64.392857000000006</v>
      </c>
      <c r="D348" s="25">
        <v>5.347222222222222E-2</v>
      </c>
      <c r="F348" s="61" t="s">
        <v>4534</v>
      </c>
    </row>
    <row r="349" spans="1:6" x14ac:dyDescent="0.25">
      <c r="A349" s="15" t="s">
        <v>4274</v>
      </c>
      <c r="B349" s="15" t="s">
        <v>4290</v>
      </c>
      <c r="C349" s="54">
        <v>65.964929999999995</v>
      </c>
      <c r="D349" s="26">
        <v>5.6944444444444443E-2</v>
      </c>
      <c r="F349" s="61" t="s">
        <v>4535</v>
      </c>
    </row>
    <row r="350" spans="1:6" x14ac:dyDescent="0.25">
      <c r="A350" s="15" t="s">
        <v>4274</v>
      </c>
      <c r="B350" s="15" t="s">
        <v>4291</v>
      </c>
      <c r="C350" s="52">
        <v>65.566630000000004</v>
      </c>
      <c r="D350" s="25">
        <v>5.6944444444444443E-2</v>
      </c>
      <c r="F350" s="61" t="s">
        <v>4536</v>
      </c>
    </row>
    <row r="351" spans="1:6" x14ac:dyDescent="0.25">
      <c r="A351" s="15" t="s">
        <v>4274</v>
      </c>
      <c r="B351" s="15" t="s">
        <v>4292</v>
      </c>
      <c r="C351" s="54">
        <v>64.689873000000006</v>
      </c>
      <c r="D351" s="26">
        <v>5.6250000000000001E-2</v>
      </c>
      <c r="F351" s="61" t="s">
        <v>4537</v>
      </c>
    </row>
    <row r="352" spans="1:6" x14ac:dyDescent="0.25">
      <c r="A352" s="15" t="s">
        <v>4274</v>
      </c>
      <c r="B352" s="15" t="s">
        <v>4293</v>
      </c>
      <c r="C352" s="52">
        <v>73.840208000000004</v>
      </c>
      <c r="D352" s="25">
        <v>6.3194444444444442E-2</v>
      </c>
      <c r="F352" s="61" t="s">
        <v>4538</v>
      </c>
    </row>
    <row r="353" spans="1:6" x14ac:dyDescent="0.25">
      <c r="A353" s="15" t="s">
        <v>4274</v>
      </c>
      <c r="B353" s="15" t="s">
        <v>4294</v>
      </c>
      <c r="C353" s="54">
        <v>74.819490999999999</v>
      </c>
      <c r="D353" s="26">
        <v>6.5277777777777782E-2</v>
      </c>
      <c r="F353" s="61" t="s">
        <v>4539</v>
      </c>
    </row>
    <row r="354" spans="1:6" x14ac:dyDescent="0.25">
      <c r="A354" s="15" t="s">
        <v>4274</v>
      </c>
      <c r="B354" s="15" t="s">
        <v>4295</v>
      </c>
      <c r="C354" s="52">
        <v>77.639902000000006</v>
      </c>
      <c r="D354" s="25">
        <v>6.805555555555555E-2</v>
      </c>
      <c r="F354" s="61" t="s">
        <v>4540</v>
      </c>
    </row>
    <row r="355" spans="1:6" x14ac:dyDescent="0.25">
      <c r="A355" s="15" t="s">
        <v>4274</v>
      </c>
      <c r="B355" s="15" t="s">
        <v>4296</v>
      </c>
      <c r="C355" s="54">
        <v>69.302323000000001</v>
      </c>
      <c r="D355" s="26">
        <v>5.8333333333333327E-2</v>
      </c>
      <c r="F355" s="61" t="s">
        <v>4541</v>
      </c>
    </row>
    <row r="356" spans="1:6" x14ac:dyDescent="0.25">
      <c r="A356" s="15" t="s">
        <v>4274</v>
      </c>
      <c r="B356" s="15" t="s">
        <v>4297</v>
      </c>
      <c r="C356" s="52">
        <v>75.619197999999997</v>
      </c>
      <c r="D356" s="25">
        <v>6.5972222222222224E-2</v>
      </c>
      <c r="F356" s="61" t="s">
        <v>4542</v>
      </c>
    </row>
    <row r="357" spans="1:6" x14ac:dyDescent="0.25">
      <c r="A357" s="15" t="s">
        <v>4274</v>
      </c>
      <c r="B357" s="15" t="s">
        <v>4298</v>
      </c>
      <c r="C357" s="54">
        <v>76.950800000000001</v>
      </c>
      <c r="D357" s="26">
        <v>7.2222222222222229E-2</v>
      </c>
      <c r="F357" s="61" t="s">
        <v>4543</v>
      </c>
    </row>
    <row r="358" spans="1:6" x14ac:dyDescent="0.25">
      <c r="A358" s="15" t="s">
        <v>4274</v>
      </c>
      <c r="B358" s="15" t="s">
        <v>4299</v>
      </c>
      <c r="C358" s="52">
        <v>79.213217999999998</v>
      </c>
      <c r="D358" s="25">
        <v>7.6388888888888895E-2</v>
      </c>
      <c r="F358" s="61" t="s">
        <v>4544</v>
      </c>
    </row>
    <row r="359" spans="1:6" x14ac:dyDescent="0.25">
      <c r="A359" s="15" t="s">
        <v>4274</v>
      </c>
      <c r="B359" s="15" t="s">
        <v>4300</v>
      </c>
      <c r="C359" s="54">
        <v>83.272645999999995</v>
      </c>
      <c r="D359" s="26">
        <v>8.5416666666666655E-2</v>
      </c>
      <c r="F359" s="61" t="s">
        <v>4545</v>
      </c>
    </row>
    <row r="360" spans="1:6" x14ac:dyDescent="0.25">
      <c r="A360" s="15" t="s">
        <v>4274</v>
      </c>
      <c r="B360" s="15" t="s">
        <v>4301</v>
      </c>
      <c r="C360" s="52">
        <v>68.675358000000003</v>
      </c>
      <c r="D360" s="25">
        <v>6.1805555555555558E-2</v>
      </c>
      <c r="F360" s="61" t="s">
        <v>4546</v>
      </c>
    </row>
    <row r="361" spans="1:6" x14ac:dyDescent="0.25">
      <c r="A361" s="15" t="s">
        <v>4274</v>
      </c>
      <c r="B361" s="15" t="s">
        <v>4302</v>
      </c>
      <c r="C361" s="54">
        <v>64.138715000000005</v>
      </c>
      <c r="D361" s="26">
        <v>5.7638888888888885E-2</v>
      </c>
      <c r="F361" s="61" t="s">
        <v>4547</v>
      </c>
    </row>
    <row r="362" spans="1:6" x14ac:dyDescent="0.25">
      <c r="A362" s="15" t="s">
        <v>4274</v>
      </c>
      <c r="B362" s="15" t="s">
        <v>4303</v>
      </c>
      <c r="C362" s="52">
        <v>72.825506000000004</v>
      </c>
      <c r="D362" s="25">
        <v>6.805555555555555E-2</v>
      </c>
      <c r="F362" s="61" t="s">
        <v>4548</v>
      </c>
    </row>
    <row r="363" spans="1:6" x14ac:dyDescent="0.25">
      <c r="A363" s="15" t="s">
        <v>4274</v>
      </c>
      <c r="B363" s="15" t="s">
        <v>4304</v>
      </c>
      <c r="C363" s="54">
        <v>60.012179000000003</v>
      </c>
      <c r="D363" s="26">
        <v>5.6944444444444443E-2</v>
      </c>
      <c r="F363" s="61" t="s">
        <v>4549</v>
      </c>
    </row>
    <row r="364" spans="1:6" x14ac:dyDescent="0.25">
      <c r="A364" s="15" t="s">
        <v>4274</v>
      </c>
      <c r="B364" s="15" t="s">
        <v>4305</v>
      </c>
      <c r="C364" s="52">
        <v>60.544074000000002</v>
      </c>
      <c r="D364" s="25">
        <v>5.9027777777777783E-2</v>
      </c>
      <c r="F364" s="61" t="s">
        <v>4550</v>
      </c>
    </row>
    <row r="365" spans="1:6" x14ac:dyDescent="0.25">
      <c r="A365" s="15" t="s">
        <v>4274</v>
      </c>
      <c r="B365" s="15" t="s">
        <v>4306</v>
      </c>
      <c r="C365" s="54">
        <v>86.672798</v>
      </c>
      <c r="D365" s="26">
        <v>7.3611111111111113E-2</v>
      </c>
      <c r="F365" s="61" t="s">
        <v>4551</v>
      </c>
    </row>
    <row r="366" spans="1:6" x14ac:dyDescent="0.25">
      <c r="A366" s="15" t="s">
        <v>4274</v>
      </c>
      <c r="B366" s="15" t="s">
        <v>4307</v>
      </c>
      <c r="C366" s="52">
        <v>85.576075000000003</v>
      </c>
      <c r="D366" s="25">
        <v>7.2222222222222229E-2</v>
      </c>
      <c r="F366" s="61" t="s">
        <v>4552</v>
      </c>
    </row>
    <row r="367" spans="1:6" x14ac:dyDescent="0.25">
      <c r="A367" s="15" t="s">
        <v>4274</v>
      </c>
      <c r="B367" s="15" t="s">
        <v>4308</v>
      </c>
      <c r="C367" s="54">
        <v>83.799570000000003</v>
      </c>
      <c r="D367" s="26">
        <v>6.9444444444444434E-2</v>
      </c>
      <c r="F367" s="61" t="s">
        <v>4553</v>
      </c>
    </row>
    <row r="368" spans="1:6" x14ac:dyDescent="0.25">
      <c r="A368" s="15" t="s">
        <v>4274</v>
      </c>
      <c r="B368" s="15" t="s">
        <v>4309</v>
      </c>
      <c r="C368" s="52">
        <v>123.47856899999999</v>
      </c>
      <c r="D368" s="25">
        <v>0.10486111111111111</v>
      </c>
      <c r="F368" s="61" t="s">
        <v>4554</v>
      </c>
    </row>
    <row r="369" spans="1:6" x14ac:dyDescent="0.25">
      <c r="A369" s="15" t="s">
        <v>4274</v>
      </c>
      <c r="B369" s="15" t="s">
        <v>4310</v>
      </c>
      <c r="C369" s="54">
        <v>125.04007900000001</v>
      </c>
      <c r="D369" s="26">
        <v>0.1076388888888889</v>
      </c>
      <c r="F369" s="61" t="s">
        <v>4555</v>
      </c>
    </row>
    <row r="370" spans="1:6" x14ac:dyDescent="0.25">
      <c r="A370" s="15" t="s">
        <v>4274</v>
      </c>
      <c r="B370" s="15" t="s">
        <v>4311</v>
      </c>
      <c r="C370" s="52">
        <v>114.333826</v>
      </c>
      <c r="D370" s="25">
        <v>9.8611111111111108E-2</v>
      </c>
      <c r="F370" s="61" t="s">
        <v>4556</v>
      </c>
    </row>
    <row r="371" spans="1:6" x14ac:dyDescent="0.25">
      <c r="A371" s="15" t="s">
        <v>4274</v>
      </c>
      <c r="B371" s="15" t="s">
        <v>4312</v>
      </c>
      <c r="C371" s="54">
        <v>111.046143</v>
      </c>
      <c r="D371" s="26">
        <v>9.1666666666666674E-2</v>
      </c>
      <c r="F371" s="61" t="s">
        <v>4557</v>
      </c>
    </row>
    <row r="372" spans="1:6" x14ac:dyDescent="0.25">
      <c r="A372" s="15" t="s">
        <v>4274</v>
      </c>
      <c r="B372" s="15" t="s">
        <v>4313</v>
      </c>
      <c r="C372" s="52">
        <v>129.720258</v>
      </c>
      <c r="D372" s="25">
        <v>0.11041666666666666</v>
      </c>
      <c r="F372" s="61" t="s">
        <v>4558</v>
      </c>
    </row>
    <row r="373" spans="1:6" x14ac:dyDescent="0.25">
      <c r="A373" s="15" t="s">
        <v>4274</v>
      </c>
      <c r="B373" s="15" t="s">
        <v>4314</v>
      </c>
      <c r="C373" s="54">
        <v>73.234990999999994</v>
      </c>
      <c r="D373" s="26">
        <v>6.3888888888888884E-2</v>
      </c>
      <c r="F373" s="61" t="s">
        <v>4559</v>
      </c>
    </row>
    <row r="374" spans="1:6" x14ac:dyDescent="0.25">
      <c r="A374" s="15" t="s">
        <v>4274</v>
      </c>
      <c r="B374" s="15" t="s">
        <v>4315</v>
      </c>
      <c r="C374" s="52">
        <v>64.714106000000001</v>
      </c>
      <c r="D374" s="25">
        <v>6.25E-2</v>
      </c>
      <c r="F374" s="61" t="s">
        <v>4560</v>
      </c>
    </row>
    <row r="375" spans="1:6" x14ac:dyDescent="0.25">
      <c r="A375" s="15" t="s">
        <v>4274</v>
      </c>
      <c r="B375" s="15" t="s">
        <v>4316</v>
      </c>
      <c r="C375" s="54">
        <v>62.017349000000003</v>
      </c>
      <c r="D375" s="26">
        <v>5.6944444444444443E-2</v>
      </c>
      <c r="F375" s="61" t="s">
        <v>4561</v>
      </c>
    </row>
    <row r="376" spans="1:6" x14ac:dyDescent="0.25">
      <c r="A376" s="15" t="s">
        <v>4274</v>
      </c>
      <c r="B376" s="15" t="s">
        <v>4317</v>
      </c>
      <c r="C376" s="52">
        <v>133.129109</v>
      </c>
      <c r="D376" s="25">
        <v>0.1076388888888889</v>
      </c>
      <c r="F376" s="61" t="s">
        <v>4562</v>
      </c>
    </row>
    <row r="377" spans="1:6" x14ac:dyDescent="0.25">
      <c r="A377" s="15" t="s">
        <v>4274</v>
      </c>
      <c r="B377" s="15" t="s">
        <v>4318</v>
      </c>
      <c r="C377" s="54">
        <v>142.240297</v>
      </c>
      <c r="D377" s="26">
        <v>0.11597222222222221</v>
      </c>
      <c r="F377" s="61" t="s">
        <v>4563</v>
      </c>
    </row>
    <row r="378" spans="1:6" x14ac:dyDescent="0.25">
      <c r="A378" s="15" t="s">
        <v>4274</v>
      </c>
      <c r="B378" s="15" t="s">
        <v>4319</v>
      </c>
      <c r="C378" s="52">
        <v>135.878062</v>
      </c>
      <c r="D378" s="25">
        <v>0.11180555555555556</v>
      </c>
      <c r="F378" s="61" t="s">
        <v>4564</v>
      </c>
    </row>
    <row r="379" spans="1:6" x14ac:dyDescent="0.25">
      <c r="A379" s="15" t="s">
        <v>4274</v>
      </c>
      <c r="B379" s="15" t="s">
        <v>4320</v>
      </c>
      <c r="C379" s="54">
        <v>160.63603699999999</v>
      </c>
      <c r="D379" s="26">
        <v>0.13472222222222222</v>
      </c>
      <c r="F379" s="61" t="s">
        <v>4565</v>
      </c>
    </row>
    <row r="380" spans="1:6" x14ac:dyDescent="0.25">
      <c r="A380" s="15" t="s">
        <v>4274</v>
      </c>
      <c r="B380" s="15" t="s">
        <v>4321</v>
      </c>
      <c r="C380" s="52">
        <v>160.455218</v>
      </c>
      <c r="D380" s="25">
        <v>0.13333333333333333</v>
      </c>
      <c r="F380" s="61" t="s">
        <v>4566</v>
      </c>
    </row>
    <row r="381" spans="1:6" x14ac:dyDescent="0.25">
      <c r="A381" s="15" t="s">
        <v>4275</v>
      </c>
      <c r="B381" s="15">
        <v>3423909</v>
      </c>
      <c r="C381" s="54">
        <v>42.323560999999998</v>
      </c>
      <c r="D381" s="26">
        <v>3.7499999999999999E-2</v>
      </c>
      <c r="F381" s="61" t="s">
        <v>7020</v>
      </c>
    </row>
    <row r="382" spans="1:6" x14ac:dyDescent="0.25">
      <c r="A382" s="15" t="s">
        <v>4275</v>
      </c>
      <c r="B382" s="15">
        <v>3403208</v>
      </c>
      <c r="C382" s="52">
        <v>110.50182100000001</v>
      </c>
      <c r="D382" s="25">
        <v>9.0277777777777776E-2</v>
      </c>
      <c r="F382" s="61" t="s">
        <v>7125</v>
      </c>
    </row>
    <row r="383" spans="1:6" x14ac:dyDescent="0.25">
      <c r="A383" s="15" t="s">
        <v>4275</v>
      </c>
      <c r="B383" s="15">
        <v>3424402</v>
      </c>
      <c r="C383" s="54">
        <v>91.056582000000006</v>
      </c>
      <c r="D383" s="26">
        <v>7.7083333333333337E-2</v>
      </c>
      <c r="F383" s="61" t="s">
        <v>7232</v>
      </c>
    </row>
    <row r="384" spans="1:6" x14ac:dyDescent="0.25">
      <c r="A384" s="15" t="s">
        <v>4275</v>
      </c>
      <c r="B384" s="15" t="s">
        <v>4271</v>
      </c>
      <c r="C384" s="52">
        <v>13.920612999999999</v>
      </c>
      <c r="D384" s="25">
        <v>1.6666666666666666E-2</v>
      </c>
      <c r="F384" s="61" t="s">
        <v>4567</v>
      </c>
    </row>
    <row r="385" spans="1:6" x14ac:dyDescent="0.25">
      <c r="A385" s="15" t="s">
        <v>4275</v>
      </c>
      <c r="B385" s="15" t="s">
        <v>4272</v>
      </c>
      <c r="C385" s="54">
        <v>5.5774419999999996</v>
      </c>
      <c r="D385" s="26">
        <v>9.7222222222222224E-3</v>
      </c>
      <c r="F385" s="61" t="s">
        <v>4568</v>
      </c>
    </row>
    <row r="386" spans="1:6" x14ac:dyDescent="0.25">
      <c r="A386" s="15" t="s">
        <v>4275</v>
      </c>
      <c r="B386" s="15" t="s">
        <v>4273</v>
      </c>
      <c r="C386" s="52">
        <v>10.784545</v>
      </c>
      <c r="D386" s="25">
        <v>1.8055555555555557E-2</v>
      </c>
      <c r="F386" s="61" t="s">
        <v>4569</v>
      </c>
    </row>
    <row r="387" spans="1:6" x14ac:dyDescent="0.25">
      <c r="A387" s="15" t="s">
        <v>4275</v>
      </c>
      <c r="B387" s="15" t="s">
        <v>4274</v>
      </c>
      <c r="C387" s="54">
        <v>0.76428799999999997</v>
      </c>
      <c r="D387" s="26">
        <v>2.0833333333333333E-3</v>
      </c>
      <c r="F387" s="61" t="s">
        <v>4570</v>
      </c>
    </row>
    <row r="388" spans="1:6" x14ac:dyDescent="0.25">
      <c r="A388" s="15" t="s">
        <v>4275</v>
      </c>
      <c r="B388" s="15" t="s">
        <v>4275</v>
      </c>
      <c r="C388" s="52">
        <v>0</v>
      </c>
      <c r="D388" s="25">
        <v>0</v>
      </c>
      <c r="F388" s="61" t="s">
        <v>4571</v>
      </c>
    </row>
    <row r="389" spans="1:6" x14ac:dyDescent="0.25">
      <c r="A389" s="15" t="s">
        <v>4275</v>
      </c>
      <c r="B389" s="15" t="s">
        <v>4276</v>
      </c>
      <c r="C389" s="54">
        <v>15.484609000000001</v>
      </c>
      <c r="D389" s="26">
        <v>1.8055555555555557E-2</v>
      </c>
      <c r="F389" s="61" t="s">
        <v>4572</v>
      </c>
    </row>
    <row r="390" spans="1:6" x14ac:dyDescent="0.25">
      <c r="A390" s="15" t="s">
        <v>4275</v>
      </c>
      <c r="B390" s="15" t="s">
        <v>4277</v>
      </c>
      <c r="C390" s="52">
        <v>14.957685</v>
      </c>
      <c r="D390" s="25">
        <v>1.8055555555555557E-2</v>
      </c>
      <c r="F390" s="61" t="s">
        <v>4573</v>
      </c>
    </row>
    <row r="391" spans="1:6" x14ac:dyDescent="0.25">
      <c r="A391" s="15" t="s">
        <v>4275</v>
      </c>
      <c r="B391" s="15" t="s">
        <v>4278</v>
      </c>
      <c r="C391" s="54">
        <v>13.958517000000001</v>
      </c>
      <c r="D391" s="26">
        <v>1.6666666666666666E-2</v>
      </c>
      <c r="F391" s="61" t="s">
        <v>4574</v>
      </c>
    </row>
    <row r="392" spans="1:6" x14ac:dyDescent="0.25">
      <c r="A392" s="15" t="s">
        <v>4275</v>
      </c>
      <c r="B392" s="15" t="s">
        <v>4279</v>
      </c>
      <c r="C392" s="52">
        <v>20.720295</v>
      </c>
      <c r="D392" s="25">
        <v>2.2916666666666669E-2</v>
      </c>
      <c r="F392" s="61" t="s">
        <v>4575</v>
      </c>
    </row>
    <row r="393" spans="1:6" x14ac:dyDescent="0.25">
      <c r="A393" s="15" t="s">
        <v>4275</v>
      </c>
      <c r="B393" s="15" t="s">
        <v>4280</v>
      </c>
      <c r="C393" s="54">
        <v>68.377719999999997</v>
      </c>
      <c r="D393" s="26">
        <v>6.3888888888888884E-2</v>
      </c>
      <c r="F393" s="61" t="s">
        <v>4576</v>
      </c>
    </row>
    <row r="394" spans="1:6" x14ac:dyDescent="0.25">
      <c r="A394" s="15" t="s">
        <v>4275</v>
      </c>
      <c r="B394" s="15" t="s">
        <v>4281</v>
      </c>
      <c r="C394" s="52">
        <v>41.270333999999998</v>
      </c>
      <c r="D394" s="25">
        <v>3.6805555555555557E-2</v>
      </c>
      <c r="F394" s="61" t="s">
        <v>4577</v>
      </c>
    </row>
    <row r="395" spans="1:6" x14ac:dyDescent="0.25">
      <c r="A395" s="15" t="s">
        <v>4275</v>
      </c>
      <c r="B395" s="15" t="s">
        <v>4282</v>
      </c>
      <c r="C395" s="54">
        <v>90.097803999999996</v>
      </c>
      <c r="D395" s="26">
        <v>7.7083333333333337E-2</v>
      </c>
      <c r="F395" s="61" t="s">
        <v>4578</v>
      </c>
    </row>
    <row r="396" spans="1:6" x14ac:dyDescent="0.25">
      <c r="A396" s="15" t="s">
        <v>4275</v>
      </c>
      <c r="B396" s="15" t="s">
        <v>4283</v>
      </c>
      <c r="C396" s="52">
        <v>97.981780999999998</v>
      </c>
      <c r="D396" s="25">
        <v>8.2638888888888887E-2</v>
      </c>
      <c r="F396" s="61" t="s">
        <v>4579</v>
      </c>
    </row>
    <row r="397" spans="1:6" x14ac:dyDescent="0.25">
      <c r="A397" s="15" t="s">
        <v>4275</v>
      </c>
      <c r="B397" s="15" t="s">
        <v>4284</v>
      </c>
      <c r="C397" s="54">
        <v>96.044341000000003</v>
      </c>
      <c r="D397" s="26">
        <v>7.9166666666666663E-2</v>
      </c>
      <c r="F397" s="61" t="s">
        <v>4580</v>
      </c>
    </row>
    <row r="398" spans="1:6" x14ac:dyDescent="0.25">
      <c r="A398" s="15" t="s">
        <v>4275</v>
      </c>
      <c r="B398" s="15" t="s">
        <v>4285</v>
      </c>
      <c r="C398" s="52">
        <v>98.422955999999999</v>
      </c>
      <c r="D398" s="25">
        <v>8.5416666666666655E-2</v>
      </c>
      <c r="F398" s="61" t="s">
        <v>4581</v>
      </c>
    </row>
    <row r="399" spans="1:6" x14ac:dyDescent="0.25">
      <c r="A399" s="15" t="s">
        <v>4275</v>
      </c>
      <c r="B399" s="15" t="s">
        <v>4286</v>
      </c>
      <c r="C399" s="54">
        <v>97.353573999999995</v>
      </c>
      <c r="D399" s="26">
        <v>8.4027777777777771E-2</v>
      </c>
      <c r="F399" s="61" t="s">
        <v>4582</v>
      </c>
    </row>
    <row r="400" spans="1:6" x14ac:dyDescent="0.25">
      <c r="A400" s="15" t="s">
        <v>4275</v>
      </c>
      <c r="B400" s="15" t="s">
        <v>4287</v>
      </c>
      <c r="C400" s="52">
        <v>98.409285999999994</v>
      </c>
      <c r="D400" s="25">
        <v>8.1944444444444445E-2</v>
      </c>
      <c r="F400" s="61" t="s">
        <v>4583</v>
      </c>
    </row>
    <row r="401" spans="1:6" x14ac:dyDescent="0.25">
      <c r="A401" s="15" t="s">
        <v>4275</v>
      </c>
      <c r="B401" s="15" t="s">
        <v>4288</v>
      </c>
      <c r="C401" s="54">
        <v>103.237352</v>
      </c>
      <c r="D401" s="26">
        <v>8.6805555555555566E-2</v>
      </c>
      <c r="F401" s="61" t="s">
        <v>4584</v>
      </c>
    </row>
    <row r="402" spans="1:6" x14ac:dyDescent="0.25">
      <c r="A402" s="15" t="s">
        <v>4275</v>
      </c>
      <c r="B402" s="15" t="s">
        <v>4289</v>
      </c>
      <c r="C402" s="52">
        <v>65.157767000000007</v>
      </c>
      <c r="D402" s="25">
        <v>5.5555555555555552E-2</v>
      </c>
      <c r="F402" s="61" t="s">
        <v>4585</v>
      </c>
    </row>
    <row r="403" spans="1:6" x14ac:dyDescent="0.25">
      <c r="A403" s="15" t="s">
        <v>4275</v>
      </c>
      <c r="B403" s="15" t="s">
        <v>4290</v>
      </c>
      <c r="C403" s="54">
        <v>66.729839999999996</v>
      </c>
      <c r="D403" s="26">
        <v>5.8333333333333327E-2</v>
      </c>
      <c r="F403" s="61" t="s">
        <v>4586</v>
      </c>
    </row>
    <row r="404" spans="1:6" x14ac:dyDescent="0.25">
      <c r="A404" s="15" t="s">
        <v>4275</v>
      </c>
      <c r="B404" s="15" t="s">
        <v>4291</v>
      </c>
      <c r="C404" s="52">
        <v>66.331540000000004</v>
      </c>
      <c r="D404" s="25">
        <v>5.9027777777777783E-2</v>
      </c>
      <c r="F404" s="61" t="s">
        <v>4587</v>
      </c>
    </row>
    <row r="405" spans="1:6" x14ac:dyDescent="0.25">
      <c r="A405" s="15" t="s">
        <v>4275</v>
      </c>
      <c r="B405" s="15" t="s">
        <v>4292</v>
      </c>
      <c r="C405" s="54">
        <v>65.454783000000006</v>
      </c>
      <c r="D405" s="26">
        <v>5.7638888888888885E-2</v>
      </c>
      <c r="F405" s="61" t="s">
        <v>4588</v>
      </c>
    </row>
    <row r="406" spans="1:6" x14ac:dyDescent="0.25">
      <c r="A406" s="15" t="s">
        <v>4275</v>
      </c>
      <c r="B406" s="15" t="s">
        <v>4293</v>
      </c>
      <c r="C406" s="52">
        <v>74.605118000000004</v>
      </c>
      <c r="D406" s="25">
        <v>6.5277777777777782E-2</v>
      </c>
      <c r="F406" s="61" t="s">
        <v>4589</v>
      </c>
    </row>
    <row r="407" spans="1:6" x14ac:dyDescent="0.25">
      <c r="A407" s="15" t="s">
        <v>4275</v>
      </c>
      <c r="B407" s="15" t="s">
        <v>4294</v>
      </c>
      <c r="C407" s="54">
        <v>75.584401</v>
      </c>
      <c r="D407" s="26">
        <v>6.7361111111111108E-2</v>
      </c>
      <c r="F407" s="61" t="s">
        <v>4590</v>
      </c>
    </row>
    <row r="408" spans="1:6" x14ac:dyDescent="0.25">
      <c r="A408" s="15" t="s">
        <v>4275</v>
      </c>
      <c r="B408" s="15" t="s">
        <v>4295</v>
      </c>
      <c r="C408" s="52">
        <v>78.404812000000007</v>
      </c>
      <c r="D408" s="25">
        <v>7.013888888888889E-2</v>
      </c>
      <c r="F408" s="61" t="s">
        <v>4591</v>
      </c>
    </row>
    <row r="409" spans="1:6" x14ac:dyDescent="0.25">
      <c r="A409" s="15" t="s">
        <v>4275</v>
      </c>
      <c r="B409" s="15" t="s">
        <v>4296</v>
      </c>
      <c r="C409" s="54">
        <v>70.067233000000002</v>
      </c>
      <c r="D409" s="26">
        <v>6.0416666666666667E-2</v>
      </c>
      <c r="F409" s="61" t="s">
        <v>4592</v>
      </c>
    </row>
    <row r="410" spans="1:6" x14ac:dyDescent="0.25">
      <c r="A410" s="15" t="s">
        <v>4275</v>
      </c>
      <c r="B410" s="15" t="s">
        <v>4297</v>
      </c>
      <c r="C410" s="52">
        <v>76.384107999999998</v>
      </c>
      <c r="D410" s="25">
        <v>6.805555555555555E-2</v>
      </c>
      <c r="F410" s="61" t="s">
        <v>4593</v>
      </c>
    </row>
    <row r="411" spans="1:6" x14ac:dyDescent="0.25">
      <c r="A411" s="15" t="s">
        <v>4275</v>
      </c>
      <c r="B411" s="15" t="s">
        <v>4298</v>
      </c>
      <c r="C411" s="54">
        <v>77.715710000000001</v>
      </c>
      <c r="D411" s="26">
        <v>7.4305555555555555E-2</v>
      </c>
      <c r="F411" s="61" t="s">
        <v>4594</v>
      </c>
    </row>
    <row r="412" spans="1:6" x14ac:dyDescent="0.25">
      <c r="A412" s="15" t="s">
        <v>4275</v>
      </c>
      <c r="B412" s="15" t="s">
        <v>4299</v>
      </c>
      <c r="C412" s="52">
        <v>79.978127999999998</v>
      </c>
      <c r="D412" s="25">
        <v>7.8472222222222221E-2</v>
      </c>
      <c r="F412" s="61" t="s">
        <v>4595</v>
      </c>
    </row>
    <row r="413" spans="1:6" x14ac:dyDescent="0.25">
      <c r="A413" s="15" t="s">
        <v>4275</v>
      </c>
      <c r="B413" s="15" t="s">
        <v>4300</v>
      </c>
      <c r="C413" s="54">
        <v>84.037555999999995</v>
      </c>
      <c r="D413" s="26">
        <v>8.7500000000000008E-2</v>
      </c>
      <c r="F413" s="61" t="s">
        <v>4596</v>
      </c>
    </row>
    <row r="414" spans="1:6" x14ac:dyDescent="0.25">
      <c r="A414" s="15" t="s">
        <v>4275</v>
      </c>
      <c r="B414" s="15" t="s">
        <v>4301</v>
      </c>
      <c r="C414" s="52">
        <v>69.440267000000006</v>
      </c>
      <c r="D414" s="25">
        <v>6.3888888888888884E-2</v>
      </c>
      <c r="F414" s="61" t="s">
        <v>4597</v>
      </c>
    </row>
    <row r="415" spans="1:6" x14ac:dyDescent="0.25">
      <c r="A415" s="15" t="s">
        <v>4275</v>
      </c>
      <c r="B415" s="15" t="s">
        <v>4302</v>
      </c>
      <c r="C415" s="54">
        <v>64.903625000000005</v>
      </c>
      <c r="D415" s="26">
        <v>5.9027777777777783E-2</v>
      </c>
      <c r="F415" s="61" t="s">
        <v>4598</v>
      </c>
    </row>
    <row r="416" spans="1:6" x14ac:dyDescent="0.25">
      <c r="A416" s="15" t="s">
        <v>4275</v>
      </c>
      <c r="B416" s="15" t="s">
        <v>4303</v>
      </c>
      <c r="C416" s="52">
        <v>73.590416000000005</v>
      </c>
      <c r="D416" s="25">
        <v>7.013888888888889E-2</v>
      </c>
      <c r="F416" s="61" t="s">
        <v>4599</v>
      </c>
    </row>
    <row r="417" spans="1:6" x14ac:dyDescent="0.25">
      <c r="A417" s="15" t="s">
        <v>4275</v>
      </c>
      <c r="B417" s="15" t="s">
        <v>4304</v>
      </c>
      <c r="C417" s="54">
        <v>60.777088999999997</v>
      </c>
      <c r="D417" s="26">
        <v>5.9027777777777783E-2</v>
      </c>
      <c r="F417" s="61" t="s">
        <v>4600</v>
      </c>
    </row>
    <row r="418" spans="1:6" x14ac:dyDescent="0.25">
      <c r="A418" s="15" t="s">
        <v>4275</v>
      </c>
      <c r="B418" s="15" t="s">
        <v>4305</v>
      </c>
      <c r="C418" s="52">
        <v>61.308984000000002</v>
      </c>
      <c r="D418" s="25">
        <v>6.0416666666666667E-2</v>
      </c>
      <c r="F418" s="61" t="s">
        <v>4601</v>
      </c>
    </row>
    <row r="419" spans="1:6" x14ac:dyDescent="0.25">
      <c r="A419" s="15" t="s">
        <v>4275</v>
      </c>
      <c r="B419" s="15" t="s">
        <v>4306</v>
      </c>
      <c r="C419" s="54">
        <v>87.437707000000003</v>
      </c>
      <c r="D419" s="26">
        <v>7.4999999999999997E-2</v>
      </c>
      <c r="F419" s="61" t="s">
        <v>4602</v>
      </c>
    </row>
    <row r="420" spans="1:6" x14ac:dyDescent="0.25">
      <c r="A420" s="15" t="s">
        <v>4275</v>
      </c>
      <c r="B420" s="15" t="s">
        <v>4307</v>
      </c>
      <c r="C420" s="52">
        <v>86.340985000000003</v>
      </c>
      <c r="D420" s="25">
        <v>7.3611111111111113E-2</v>
      </c>
      <c r="F420" s="61" t="s">
        <v>4603</v>
      </c>
    </row>
    <row r="421" spans="1:6" x14ac:dyDescent="0.25">
      <c r="A421" s="15" t="s">
        <v>4275</v>
      </c>
      <c r="B421" s="15" t="s">
        <v>4308</v>
      </c>
      <c r="C421" s="54">
        <v>84.564480000000003</v>
      </c>
      <c r="D421" s="26">
        <v>7.1527777777777787E-2</v>
      </c>
      <c r="F421" s="61" t="s">
        <v>4604</v>
      </c>
    </row>
    <row r="422" spans="1:6" x14ac:dyDescent="0.25">
      <c r="A422" s="15" t="s">
        <v>4275</v>
      </c>
      <c r="B422" s="15" t="s">
        <v>4309</v>
      </c>
      <c r="C422" s="52">
        <v>124.24347899999999</v>
      </c>
      <c r="D422" s="25">
        <v>0.10625</v>
      </c>
      <c r="F422" s="61" t="s">
        <v>4605</v>
      </c>
    </row>
    <row r="423" spans="1:6" x14ac:dyDescent="0.25">
      <c r="A423" s="15" t="s">
        <v>4275</v>
      </c>
      <c r="B423" s="15" t="s">
        <v>4310</v>
      </c>
      <c r="C423" s="54">
        <v>125.80498799999999</v>
      </c>
      <c r="D423" s="26">
        <v>0.10972222222222222</v>
      </c>
      <c r="F423" s="61" t="s">
        <v>4606</v>
      </c>
    </row>
    <row r="424" spans="1:6" x14ac:dyDescent="0.25">
      <c r="A424" s="15" t="s">
        <v>4275</v>
      </c>
      <c r="B424" s="15" t="s">
        <v>4311</v>
      </c>
      <c r="C424" s="52">
        <v>115.098736</v>
      </c>
      <c r="D424" s="25">
        <v>0.10069444444444443</v>
      </c>
      <c r="F424" s="61" t="s">
        <v>4607</v>
      </c>
    </row>
    <row r="425" spans="1:6" x14ac:dyDescent="0.25">
      <c r="A425" s="15" t="s">
        <v>4275</v>
      </c>
      <c r="B425" s="15" t="s">
        <v>4312</v>
      </c>
      <c r="C425" s="54">
        <v>111.811053</v>
      </c>
      <c r="D425" s="26">
        <v>9.3055555555555558E-2</v>
      </c>
      <c r="F425" s="61" t="s">
        <v>4608</v>
      </c>
    </row>
    <row r="426" spans="1:6" x14ac:dyDescent="0.25">
      <c r="A426" s="15" t="s">
        <v>4275</v>
      </c>
      <c r="B426" s="15" t="s">
        <v>4313</v>
      </c>
      <c r="C426" s="52">
        <v>130.48516799999999</v>
      </c>
      <c r="D426" s="25">
        <v>0.11180555555555556</v>
      </c>
      <c r="F426" s="61" t="s">
        <v>4609</v>
      </c>
    </row>
    <row r="427" spans="1:6" x14ac:dyDescent="0.25">
      <c r="A427" s="15" t="s">
        <v>4275</v>
      </c>
      <c r="B427" s="15" t="s">
        <v>4314</v>
      </c>
      <c r="C427" s="54">
        <v>73.999900999999994</v>
      </c>
      <c r="D427" s="26">
        <v>6.5277777777777782E-2</v>
      </c>
      <c r="F427" s="61" t="s">
        <v>4610</v>
      </c>
    </row>
    <row r="428" spans="1:6" x14ac:dyDescent="0.25">
      <c r="A428" s="15" t="s">
        <v>4275</v>
      </c>
      <c r="B428" s="15" t="s">
        <v>4315</v>
      </c>
      <c r="C428" s="52">
        <v>65.479016000000001</v>
      </c>
      <c r="D428" s="25">
        <v>6.458333333333334E-2</v>
      </c>
      <c r="F428" s="61" t="s">
        <v>4611</v>
      </c>
    </row>
    <row r="429" spans="1:6" x14ac:dyDescent="0.25">
      <c r="A429" s="15" t="s">
        <v>4275</v>
      </c>
      <c r="B429" s="15" t="s">
        <v>4316</v>
      </c>
      <c r="C429" s="54">
        <v>62.782259000000003</v>
      </c>
      <c r="D429" s="26">
        <v>5.8333333333333327E-2</v>
      </c>
      <c r="F429" s="61" t="s">
        <v>4612</v>
      </c>
    </row>
    <row r="430" spans="1:6" x14ac:dyDescent="0.25">
      <c r="A430" s="15" t="s">
        <v>4275</v>
      </c>
      <c r="B430" s="15" t="s">
        <v>4317</v>
      </c>
      <c r="C430" s="52">
        <v>133.89401899999999</v>
      </c>
      <c r="D430" s="25">
        <v>0.10972222222222222</v>
      </c>
      <c r="F430" s="61" t="s">
        <v>4613</v>
      </c>
    </row>
    <row r="431" spans="1:6" x14ac:dyDescent="0.25">
      <c r="A431" s="15" t="s">
        <v>4275</v>
      </c>
      <c r="B431" s="15" t="s">
        <v>4318</v>
      </c>
      <c r="C431" s="54">
        <v>143.00520700000001</v>
      </c>
      <c r="D431" s="26">
        <v>0.11805555555555557</v>
      </c>
      <c r="F431" s="61" t="s">
        <v>4614</v>
      </c>
    </row>
    <row r="432" spans="1:6" x14ac:dyDescent="0.25">
      <c r="A432" s="15" t="s">
        <v>4275</v>
      </c>
      <c r="B432" s="15" t="s">
        <v>4319</v>
      </c>
      <c r="C432" s="52">
        <v>136.64297199999999</v>
      </c>
      <c r="D432" s="25">
        <v>0.11388888888888889</v>
      </c>
      <c r="F432" s="61" t="s">
        <v>4615</v>
      </c>
    </row>
    <row r="433" spans="1:6" x14ac:dyDescent="0.25">
      <c r="A433" s="15" t="s">
        <v>4275</v>
      </c>
      <c r="B433" s="15" t="s">
        <v>4320</v>
      </c>
      <c r="C433" s="54">
        <v>161.400947</v>
      </c>
      <c r="D433" s="26">
        <v>0.1361111111111111</v>
      </c>
      <c r="F433" s="61" t="s">
        <v>4616</v>
      </c>
    </row>
    <row r="434" spans="1:6" x14ac:dyDescent="0.25">
      <c r="A434" s="15" t="s">
        <v>4275</v>
      </c>
      <c r="B434" s="15" t="s">
        <v>4321</v>
      </c>
      <c r="C434" s="52">
        <v>161.22012799999999</v>
      </c>
      <c r="D434" s="25">
        <v>0.13541666666666666</v>
      </c>
      <c r="F434" s="61" t="s">
        <v>4617</v>
      </c>
    </row>
    <row r="435" spans="1:6" x14ac:dyDescent="0.25">
      <c r="A435" s="15" t="s">
        <v>4276</v>
      </c>
      <c r="B435" s="15">
        <v>3423909</v>
      </c>
      <c r="C435" s="54">
        <v>37.111486999999997</v>
      </c>
      <c r="D435" s="26">
        <v>3.3333333333333333E-2</v>
      </c>
      <c r="F435" s="61" t="s">
        <v>7021</v>
      </c>
    </row>
    <row r="436" spans="1:6" x14ac:dyDescent="0.25">
      <c r="A436" s="15" t="s">
        <v>4276</v>
      </c>
      <c r="B436" s="15">
        <v>3403208</v>
      </c>
      <c r="C436" s="52">
        <v>120.25178</v>
      </c>
      <c r="D436" s="25">
        <v>9.930555555555555E-2</v>
      </c>
      <c r="F436" s="61" t="s">
        <v>7126</v>
      </c>
    </row>
    <row r="437" spans="1:6" x14ac:dyDescent="0.25">
      <c r="A437" s="15" t="s">
        <v>4276</v>
      </c>
      <c r="B437" s="15">
        <v>3424402</v>
      </c>
      <c r="C437" s="54">
        <v>88.482235000000003</v>
      </c>
      <c r="D437" s="26">
        <v>7.4305555555555555E-2</v>
      </c>
      <c r="F437" s="61" t="s">
        <v>7233</v>
      </c>
    </row>
    <row r="438" spans="1:6" x14ac:dyDescent="0.25">
      <c r="A438" s="15" t="s">
        <v>4276</v>
      </c>
      <c r="B438" s="15" t="s">
        <v>4271</v>
      </c>
      <c r="C438" s="52">
        <v>3.0496970000000001</v>
      </c>
      <c r="D438" s="25">
        <v>6.9444444444444441E-3</v>
      </c>
      <c r="F438" s="61" t="s">
        <v>4618</v>
      </c>
    </row>
    <row r="439" spans="1:6" x14ac:dyDescent="0.25">
      <c r="A439" s="15" t="s">
        <v>4276</v>
      </c>
      <c r="B439" s="15" t="s">
        <v>4272</v>
      </c>
      <c r="C439" s="54">
        <v>7.8510450000000001</v>
      </c>
      <c r="D439" s="26">
        <v>1.4583333333333332E-2</v>
      </c>
      <c r="F439" s="61" t="s">
        <v>4619</v>
      </c>
    </row>
    <row r="440" spans="1:6" x14ac:dyDescent="0.25">
      <c r="A440" s="15" t="s">
        <v>4276</v>
      </c>
      <c r="B440" s="15" t="s">
        <v>4273</v>
      </c>
      <c r="C440" s="52">
        <v>4.7969980000000003</v>
      </c>
      <c r="D440" s="25">
        <v>9.7222222222222224E-3</v>
      </c>
      <c r="F440" s="61" t="s">
        <v>4620</v>
      </c>
    </row>
    <row r="441" spans="1:6" x14ac:dyDescent="0.25">
      <c r="A441" s="15" t="s">
        <v>4276</v>
      </c>
      <c r="B441" s="15" t="s">
        <v>4274</v>
      </c>
      <c r="C441" s="54">
        <v>15.167709</v>
      </c>
      <c r="D441" s="26">
        <v>1.7361111111111112E-2</v>
      </c>
      <c r="F441" s="61" t="s">
        <v>4621</v>
      </c>
    </row>
    <row r="442" spans="1:6" x14ac:dyDescent="0.25">
      <c r="A442" s="15" t="s">
        <v>4276</v>
      </c>
      <c r="B442" s="15" t="s">
        <v>4275</v>
      </c>
      <c r="C442" s="52">
        <v>15.260914</v>
      </c>
      <c r="D442" s="25">
        <v>1.7361111111111112E-2</v>
      </c>
      <c r="F442" s="61" t="s">
        <v>4622</v>
      </c>
    </row>
    <row r="443" spans="1:6" x14ac:dyDescent="0.25">
      <c r="A443" s="15" t="s">
        <v>4276</v>
      </c>
      <c r="B443" s="15" t="s">
        <v>4276</v>
      </c>
      <c r="C443" s="54">
        <v>0</v>
      </c>
      <c r="D443" s="26">
        <v>0</v>
      </c>
      <c r="F443" s="61" t="s">
        <v>4623</v>
      </c>
    </row>
    <row r="444" spans="1:6" x14ac:dyDescent="0.25">
      <c r="A444" s="15" t="s">
        <v>4276</v>
      </c>
      <c r="B444" s="15" t="s">
        <v>4277</v>
      </c>
      <c r="C444" s="52">
        <v>10.740428</v>
      </c>
      <c r="D444" s="25">
        <v>1.3888888888888888E-2</v>
      </c>
      <c r="F444" s="61" t="s">
        <v>4624</v>
      </c>
    </row>
    <row r="445" spans="1:6" x14ac:dyDescent="0.25">
      <c r="A445" s="15" t="s">
        <v>4276</v>
      </c>
      <c r="B445" s="15" t="s">
        <v>4278</v>
      </c>
      <c r="C445" s="54">
        <v>11.384169999999999</v>
      </c>
      <c r="D445" s="26">
        <v>1.4583333333333332E-2</v>
      </c>
      <c r="F445" s="61" t="s">
        <v>4625</v>
      </c>
    </row>
    <row r="446" spans="1:6" x14ac:dyDescent="0.25">
      <c r="A446" s="15" t="s">
        <v>4276</v>
      </c>
      <c r="B446" s="15" t="s">
        <v>4279</v>
      </c>
      <c r="C446" s="52">
        <v>30.470255000000002</v>
      </c>
      <c r="D446" s="25">
        <v>3.1944444444444449E-2</v>
      </c>
      <c r="F446" s="61" t="s">
        <v>4626</v>
      </c>
    </row>
    <row r="447" spans="1:6" x14ac:dyDescent="0.25">
      <c r="A447" s="15" t="s">
        <v>4276</v>
      </c>
      <c r="B447" s="15" t="s">
        <v>4280</v>
      </c>
      <c r="C447" s="54">
        <v>51.588850000000001</v>
      </c>
      <c r="D447" s="26">
        <v>5.486111111111111E-2</v>
      </c>
      <c r="F447" s="61" t="s">
        <v>4627</v>
      </c>
    </row>
    <row r="448" spans="1:6" x14ac:dyDescent="0.25">
      <c r="A448" s="15" t="s">
        <v>4276</v>
      </c>
      <c r="B448" s="15" t="s">
        <v>4281</v>
      </c>
      <c r="C448" s="52">
        <v>52.822896</v>
      </c>
      <c r="D448" s="25">
        <v>4.3750000000000004E-2</v>
      </c>
      <c r="F448" s="61" t="s">
        <v>4628</v>
      </c>
    </row>
    <row r="449" spans="1:6" x14ac:dyDescent="0.25">
      <c r="A449" s="15" t="s">
        <v>4276</v>
      </c>
      <c r="B449" s="15" t="s">
        <v>4282</v>
      </c>
      <c r="C449" s="54">
        <v>87.523456999999993</v>
      </c>
      <c r="D449" s="26">
        <v>7.4305555555555555E-2</v>
      </c>
      <c r="F449" s="61" t="s">
        <v>4629</v>
      </c>
    </row>
    <row r="450" spans="1:6" x14ac:dyDescent="0.25">
      <c r="A450" s="15" t="s">
        <v>4276</v>
      </c>
      <c r="B450" s="15" t="s">
        <v>4283</v>
      </c>
      <c r="C450" s="52">
        <v>95.407433999999995</v>
      </c>
      <c r="D450" s="25">
        <v>7.9861111111111105E-2</v>
      </c>
      <c r="F450" s="61" t="s">
        <v>4630</v>
      </c>
    </row>
    <row r="451" spans="1:6" x14ac:dyDescent="0.25">
      <c r="A451" s="15" t="s">
        <v>4276</v>
      </c>
      <c r="B451" s="15" t="s">
        <v>4284</v>
      </c>
      <c r="C451" s="54">
        <v>93.469994</v>
      </c>
      <c r="D451" s="26">
        <v>7.7083333333333337E-2</v>
      </c>
      <c r="F451" s="61" t="s">
        <v>4631</v>
      </c>
    </row>
    <row r="452" spans="1:6" x14ac:dyDescent="0.25">
      <c r="A452" s="15" t="s">
        <v>4276</v>
      </c>
      <c r="B452" s="15" t="s">
        <v>4285</v>
      </c>
      <c r="C452" s="52">
        <v>95.848608999999996</v>
      </c>
      <c r="D452" s="25">
        <v>8.3333333333333329E-2</v>
      </c>
      <c r="F452" s="61" t="s">
        <v>4632</v>
      </c>
    </row>
    <row r="453" spans="1:6" x14ac:dyDescent="0.25">
      <c r="A453" s="15" t="s">
        <v>4276</v>
      </c>
      <c r="B453" s="15" t="s">
        <v>4286</v>
      </c>
      <c r="C453" s="54">
        <v>94.779225999999994</v>
      </c>
      <c r="D453" s="26">
        <v>8.1250000000000003E-2</v>
      </c>
      <c r="F453" s="61" t="s">
        <v>4633</v>
      </c>
    </row>
    <row r="454" spans="1:6" x14ac:dyDescent="0.25">
      <c r="A454" s="15" t="s">
        <v>4276</v>
      </c>
      <c r="B454" s="15" t="s">
        <v>4287</v>
      </c>
      <c r="C454" s="52">
        <v>95.834939000000006</v>
      </c>
      <c r="D454" s="25">
        <v>7.9861111111111105E-2</v>
      </c>
      <c r="F454" s="61" t="s">
        <v>4634</v>
      </c>
    </row>
    <row r="455" spans="1:6" x14ac:dyDescent="0.25">
      <c r="A455" s="15" t="s">
        <v>4276</v>
      </c>
      <c r="B455" s="15" t="s">
        <v>4288</v>
      </c>
      <c r="C455" s="54">
        <v>100.663005</v>
      </c>
      <c r="D455" s="26">
        <v>8.4722222222222213E-2</v>
      </c>
      <c r="F455" s="61" t="s">
        <v>4635</v>
      </c>
    </row>
    <row r="456" spans="1:6" x14ac:dyDescent="0.25">
      <c r="A456" s="15" t="s">
        <v>4276</v>
      </c>
      <c r="B456" s="15" t="s">
        <v>4289</v>
      </c>
      <c r="C456" s="52">
        <v>48.368896999999997</v>
      </c>
      <c r="D456" s="25">
        <v>4.6527777777777779E-2</v>
      </c>
      <c r="F456" s="61" t="s">
        <v>4636</v>
      </c>
    </row>
    <row r="457" spans="1:6" x14ac:dyDescent="0.25">
      <c r="A457" s="15" t="s">
        <v>4276</v>
      </c>
      <c r="B457" s="15" t="s">
        <v>4290</v>
      </c>
      <c r="C457" s="54">
        <v>49.94097</v>
      </c>
      <c r="D457" s="26">
        <v>4.9305555555555554E-2</v>
      </c>
      <c r="F457" s="61" t="s">
        <v>4637</v>
      </c>
    </row>
    <row r="458" spans="1:6" x14ac:dyDescent="0.25">
      <c r="A458" s="15" t="s">
        <v>4276</v>
      </c>
      <c r="B458" s="15" t="s">
        <v>4291</v>
      </c>
      <c r="C458" s="52">
        <v>49.540806000000003</v>
      </c>
      <c r="D458" s="25">
        <v>4.9999999999999996E-2</v>
      </c>
      <c r="F458" s="61" t="s">
        <v>4638</v>
      </c>
    </row>
    <row r="459" spans="1:6" x14ac:dyDescent="0.25">
      <c r="A459" s="15" t="s">
        <v>4276</v>
      </c>
      <c r="B459" s="15" t="s">
        <v>4292</v>
      </c>
      <c r="C459" s="54">
        <v>48.665913000000003</v>
      </c>
      <c r="D459" s="26">
        <v>4.8611111111111112E-2</v>
      </c>
      <c r="F459" s="61" t="s">
        <v>4639</v>
      </c>
    </row>
    <row r="460" spans="1:6" x14ac:dyDescent="0.25">
      <c r="A460" s="15" t="s">
        <v>4276</v>
      </c>
      <c r="B460" s="15" t="s">
        <v>4293</v>
      </c>
      <c r="C460" s="52">
        <v>57.816248000000002</v>
      </c>
      <c r="D460" s="25">
        <v>5.6250000000000001E-2</v>
      </c>
      <c r="F460" s="61" t="s">
        <v>4640</v>
      </c>
    </row>
    <row r="461" spans="1:6" x14ac:dyDescent="0.25">
      <c r="A461" s="15" t="s">
        <v>4276</v>
      </c>
      <c r="B461" s="15" t="s">
        <v>4294</v>
      </c>
      <c r="C461" s="54">
        <v>58.795530999999997</v>
      </c>
      <c r="D461" s="26">
        <v>5.8333333333333327E-2</v>
      </c>
      <c r="F461" s="61" t="s">
        <v>4641</v>
      </c>
    </row>
    <row r="462" spans="1:6" x14ac:dyDescent="0.25">
      <c r="A462" s="15" t="s">
        <v>4276</v>
      </c>
      <c r="B462" s="15" t="s">
        <v>4295</v>
      </c>
      <c r="C462" s="52">
        <v>61.615941999999997</v>
      </c>
      <c r="D462" s="25">
        <v>6.1111111111111116E-2</v>
      </c>
      <c r="F462" s="61" t="s">
        <v>4642</v>
      </c>
    </row>
    <row r="463" spans="1:6" x14ac:dyDescent="0.25">
      <c r="A463" s="15" t="s">
        <v>4276</v>
      </c>
      <c r="B463" s="15" t="s">
        <v>4296</v>
      </c>
      <c r="C463" s="54">
        <v>53.278362999999999</v>
      </c>
      <c r="D463" s="26">
        <v>5.1388888888888894E-2</v>
      </c>
      <c r="F463" s="61" t="s">
        <v>4643</v>
      </c>
    </row>
    <row r="464" spans="1:6" x14ac:dyDescent="0.25">
      <c r="A464" s="15" t="s">
        <v>4276</v>
      </c>
      <c r="B464" s="15" t="s">
        <v>4297</v>
      </c>
      <c r="C464" s="52">
        <v>59.595238000000002</v>
      </c>
      <c r="D464" s="25">
        <v>5.9027777777777783E-2</v>
      </c>
      <c r="F464" s="61" t="s">
        <v>4644</v>
      </c>
    </row>
    <row r="465" spans="1:6" x14ac:dyDescent="0.25">
      <c r="A465" s="15" t="s">
        <v>4276</v>
      </c>
      <c r="B465" s="15" t="s">
        <v>4298</v>
      </c>
      <c r="C465" s="54">
        <v>60.926839999999999</v>
      </c>
      <c r="D465" s="26">
        <v>6.5277777777777782E-2</v>
      </c>
      <c r="F465" s="61" t="s">
        <v>4645</v>
      </c>
    </row>
    <row r="466" spans="1:6" x14ac:dyDescent="0.25">
      <c r="A466" s="15" t="s">
        <v>4276</v>
      </c>
      <c r="B466" s="15" t="s">
        <v>4299</v>
      </c>
      <c r="C466" s="52">
        <v>63.189258000000002</v>
      </c>
      <c r="D466" s="25">
        <v>6.9444444444444434E-2</v>
      </c>
      <c r="F466" s="61" t="s">
        <v>4646</v>
      </c>
    </row>
    <row r="467" spans="1:6" x14ac:dyDescent="0.25">
      <c r="A467" s="15" t="s">
        <v>4276</v>
      </c>
      <c r="B467" s="15" t="s">
        <v>4300</v>
      </c>
      <c r="C467" s="54">
        <v>67.248686000000006</v>
      </c>
      <c r="D467" s="26">
        <v>7.8472222222222221E-2</v>
      </c>
      <c r="F467" s="61" t="s">
        <v>4647</v>
      </c>
    </row>
    <row r="468" spans="1:6" x14ac:dyDescent="0.25">
      <c r="A468" s="15" t="s">
        <v>4276</v>
      </c>
      <c r="B468" s="15" t="s">
        <v>4301</v>
      </c>
      <c r="C468" s="52">
        <v>52.651397000000003</v>
      </c>
      <c r="D468" s="25">
        <v>5.486111111111111E-2</v>
      </c>
      <c r="F468" s="61" t="s">
        <v>4648</v>
      </c>
    </row>
    <row r="469" spans="1:6" x14ac:dyDescent="0.25">
      <c r="A469" s="15" t="s">
        <v>4276</v>
      </c>
      <c r="B469" s="15" t="s">
        <v>4302</v>
      </c>
      <c r="C469" s="54">
        <v>48.01285</v>
      </c>
      <c r="D469" s="26">
        <v>4.9999999999999996E-2</v>
      </c>
      <c r="F469" s="61" t="s">
        <v>4649</v>
      </c>
    </row>
    <row r="470" spans="1:6" x14ac:dyDescent="0.25">
      <c r="A470" s="15" t="s">
        <v>4276</v>
      </c>
      <c r="B470" s="15" t="s">
        <v>4303</v>
      </c>
      <c r="C470" s="52">
        <v>61.272323</v>
      </c>
      <c r="D470" s="25">
        <v>6.25E-2</v>
      </c>
      <c r="F470" s="61" t="s">
        <v>4650</v>
      </c>
    </row>
    <row r="471" spans="1:6" x14ac:dyDescent="0.25">
      <c r="A471" s="15" t="s">
        <v>4276</v>
      </c>
      <c r="B471" s="15" t="s">
        <v>4304</v>
      </c>
      <c r="C471" s="54">
        <v>43.978276999999999</v>
      </c>
      <c r="D471" s="26">
        <v>4.9999999999999996E-2</v>
      </c>
      <c r="F471" s="61" t="s">
        <v>4651</v>
      </c>
    </row>
    <row r="472" spans="1:6" x14ac:dyDescent="0.25">
      <c r="A472" s="15" t="s">
        <v>4276</v>
      </c>
      <c r="B472" s="15" t="s">
        <v>4305</v>
      </c>
      <c r="C472" s="52">
        <v>44.510171999999997</v>
      </c>
      <c r="D472" s="25">
        <v>5.1388888888888894E-2</v>
      </c>
      <c r="F472" s="61" t="s">
        <v>4652</v>
      </c>
    </row>
    <row r="473" spans="1:6" x14ac:dyDescent="0.25">
      <c r="A473" s="15" t="s">
        <v>4276</v>
      </c>
      <c r="B473" s="15" t="s">
        <v>4306</v>
      </c>
      <c r="C473" s="54">
        <v>97.187667000000005</v>
      </c>
      <c r="D473" s="26">
        <v>8.4027777777777771E-2</v>
      </c>
      <c r="F473" s="61" t="s">
        <v>4653</v>
      </c>
    </row>
    <row r="474" spans="1:6" x14ac:dyDescent="0.25">
      <c r="A474" s="15" t="s">
        <v>4276</v>
      </c>
      <c r="B474" s="15" t="s">
        <v>4307</v>
      </c>
      <c r="C474" s="52">
        <v>96.090943999999993</v>
      </c>
      <c r="D474" s="25">
        <v>8.2638888888888887E-2</v>
      </c>
      <c r="F474" s="61" t="s">
        <v>4654</v>
      </c>
    </row>
    <row r="475" spans="1:6" x14ac:dyDescent="0.25">
      <c r="A475" s="15" t="s">
        <v>4276</v>
      </c>
      <c r="B475" s="15" t="s">
        <v>4308</v>
      </c>
      <c r="C475" s="54">
        <v>94.314438999999993</v>
      </c>
      <c r="D475" s="26">
        <v>8.0555555555555561E-2</v>
      </c>
      <c r="F475" s="61" t="s">
        <v>4655</v>
      </c>
    </row>
    <row r="476" spans="1:6" x14ac:dyDescent="0.25">
      <c r="A476" s="15" t="s">
        <v>4276</v>
      </c>
      <c r="B476" s="15" t="s">
        <v>4309</v>
      </c>
      <c r="C476" s="52">
        <v>121.66913099999999</v>
      </c>
      <c r="D476" s="25">
        <v>0.10416666666666667</v>
      </c>
      <c r="F476" s="61" t="s">
        <v>4656</v>
      </c>
    </row>
    <row r="477" spans="1:6" x14ac:dyDescent="0.25">
      <c r="A477" s="15" t="s">
        <v>4276</v>
      </c>
      <c r="B477" s="15" t="s">
        <v>4310</v>
      </c>
      <c r="C477" s="54">
        <v>123.23064100000001</v>
      </c>
      <c r="D477" s="26">
        <v>0.10694444444444444</v>
      </c>
      <c r="F477" s="61" t="s">
        <v>4657</v>
      </c>
    </row>
    <row r="478" spans="1:6" x14ac:dyDescent="0.25">
      <c r="A478" s="15" t="s">
        <v>4276</v>
      </c>
      <c r="B478" s="15" t="s">
        <v>4311</v>
      </c>
      <c r="C478" s="52">
        <v>112.524389</v>
      </c>
      <c r="D478" s="25">
        <v>9.7916666666666666E-2</v>
      </c>
      <c r="F478" s="61" t="s">
        <v>4658</v>
      </c>
    </row>
    <row r="479" spans="1:6" x14ac:dyDescent="0.25">
      <c r="A479" s="15" t="s">
        <v>4276</v>
      </c>
      <c r="B479" s="15" t="s">
        <v>4312</v>
      </c>
      <c r="C479" s="54">
        <v>109.236706</v>
      </c>
      <c r="D479" s="26">
        <v>9.0972222222222218E-2</v>
      </c>
      <c r="F479" s="61" t="s">
        <v>4659</v>
      </c>
    </row>
    <row r="480" spans="1:6" x14ac:dyDescent="0.25">
      <c r="A480" s="15" t="s">
        <v>4276</v>
      </c>
      <c r="B480" s="15" t="s">
        <v>4313</v>
      </c>
      <c r="C480" s="52">
        <v>127.910821</v>
      </c>
      <c r="D480" s="25">
        <v>0.10972222222222222</v>
      </c>
      <c r="F480" s="61" t="s">
        <v>4660</v>
      </c>
    </row>
    <row r="481" spans="1:6" x14ac:dyDescent="0.25">
      <c r="A481" s="15" t="s">
        <v>4276</v>
      </c>
      <c r="B481" s="15" t="s">
        <v>4314</v>
      </c>
      <c r="C481" s="54">
        <v>68.787825999999995</v>
      </c>
      <c r="D481" s="26">
        <v>6.1111111111111116E-2</v>
      </c>
      <c r="F481" s="61" t="s">
        <v>4661</v>
      </c>
    </row>
    <row r="482" spans="1:6" x14ac:dyDescent="0.25">
      <c r="A482" s="15" t="s">
        <v>4276</v>
      </c>
      <c r="B482" s="15" t="s">
        <v>4315</v>
      </c>
      <c r="C482" s="52">
        <v>60.266942</v>
      </c>
      <c r="D482" s="25">
        <v>6.0416666666666667E-2</v>
      </c>
      <c r="F482" s="61" t="s">
        <v>4662</v>
      </c>
    </row>
    <row r="483" spans="1:6" x14ac:dyDescent="0.25">
      <c r="A483" s="15" t="s">
        <v>4276</v>
      </c>
      <c r="B483" s="15" t="s">
        <v>4316</v>
      </c>
      <c r="C483" s="54">
        <v>57.570183999999998</v>
      </c>
      <c r="D483" s="26">
        <v>5.4166666666666669E-2</v>
      </c>
      <c r="F483" s="61" t="s">
        <v>4663</v>
      </c>
    </row>
    <row r="484" spans="1:6" x14ac:dyDescent="0.25">
      <c r="A484" s="15" t="s">
        <v>4276</v>
      </c>
      <c r="B484" s="15" t="s">
        <v>4317</v>
      </c>
      <c r="C484" s="52">
        <v>143.643978</v>
      </c>
      <c r="D484" s="25">
        <v>0.11805555555555557</v>
      </c>
      <c r="F484" s="61" t="s">
        <v>4664</v>
      </c>
    </row>
    <row r="485" spans="1:6" x14ac:dyDescent="0.25">
      <c r="A485" s="15" t="s">
        <v>4276</v>
      </c>
      <c r="B485" s="15" t="s">
        <v>4318</v>
      </c>
      <c r="C485" s="54">
        <v>152.755167</v>
      </c>
      <c r="D485" s="26">
        <v>0.12638888888888888</v>
      </c>
      <c r="F485" s="61" t="s">
        <v>4665</v>
      </c>
    </row>
    <row r="486" spans="1:6" x14ac:dyDescent="0.25">
      <c r="A486" s="15" t="s">
        <v>4276</v>
      </c>
      <c r="B486" s="15" t="s">
        <v>4319</v>
      </c>
      <c r="C486" s="52">
        <v>146.392931</v>
      </c>
      <c r="D486" s="25">
        <v>0.12222222222222223</v>
      </c>
      <c r="F486" s="61" t="s">
        <v>4666</v>
      </c>
    </row>
    <row r="487" spans="1:6" x14ac:dyDescent="0.25">
      <c r="A487" s="15" t="s">
        <v>4276</v>
      </c>
      <c r="B487" s="15" t="s">
        <v>4320</v>
      </c>
      <c r="C487" s="54">
        <v>171.15090699999999</v>
      </c>
      <c r="D487" s="26">
        <v>0.1451388888888889</v>
      </c>
      <c r="F487" s="61" t="s">
        <v>4667</v>
      </c>
    </row>
    <row r="488" spans="1:6" x14ac:dyDescent="0.25">
      <c r="A488" s="15" t="s">
        <v>4276</v>
      </c>
      <c r="B488" s="15" t="s">
        <v>4321</v>
      </c>
      <c r="C488" s="52">
        <v>170.97008700000001</v>
      </c>
      <c r="D488" s="25">
        <v>0.14444444444444446</v>
      </c>
      <c r="F488" s="61" t="s">
        <v>4668</v>
      </c>
    </row>
    <row r="489" spans="1:6" x14ac:dyDescent="0.25">
      <c r="A489" s="15" t="s">
        <v>4277</v>
      </c>
      <c r="B489" s="15">
        <v>3423909</v>
      </c>
      <c r="C489" s="54">
        <v>29.338114000000001</v>
      </c>
      <c r="D489" s="26">
        <v>2.6388888888888889E-2</v>
      </c>
      <c r="F489" s="61" t="s">
        <v>7022</v>
      </c>
    </row>
    <row r="490" spans="1:6" x14ac:dyDescent="0.25">
      <c r="A490" s="15" t="s">
        <v>4277</v>
      </c>
      <c r="B490" s="15">
        <v>3403208</v>
      </c>
      <c r="C490" s="52">
        <v>114.07719899999999</v>
      </c>
      <c r="D490" s="25">
        <v>9.4444444444444442E-2</v>
      </c>
      <c r="F490" s="61" t="s">
        <v>7127</v>
      </c>
    </row>
    <row r="491" spans="1:6" x14ac:dyDescent="0.25">
      <c r="A491" s="15" t="s">
        <v>4277</v>
      </c>
      <c r="B491" s="15">
        <v>3424402</v>
      </c>
      <c r="C491" s="54">
        <v>94.779225999999994</v>
      </c>
      <c r="D491" s="26">
        <v>8.1250000000000003E-2</v>
      </c>
      <c r="F491" s="61" t="s">
        <v>7234</v>
      </c>
    </row>
    <row r="492" spans="1:6" x14ac:dyDescent="0.25">
      <c r="A492" s="15" t="s">
        <v>4277</v>
      </c>
      <c r="B492" s="15" t="s">
        <v>4271</v>
      </c>
      <c r="C492" s="52">
        <v>6.4554410000000004</v>
      </c>
      <c r="D492" s="25">
        <v>1.3194444444444444E-2</v>
      </c>
      <c r="F492" s="61" t="s">
        <v>4669</v>
      </c>
    </row>
    <row r="493" spans="1:6" x14ac:dyDescent="0.25">
      <c r="A493" s="15" t="s">
        <v>4277</v>
      </c>
      <c r="B493" s="15" t="s">
        <v>4272</v>
      </c>
      <c r="C493" s="54">
        <v>5.8868850000000004</v>
      </c>
      <c r="D493" s="26">
        <v>1.2499999999999999E-2</v>
      </c>
      <c r="F493" s="61" t="s">
        <v>4670</v>
      </c>
    </row>
    <row r="494" spans="1:6" x14ac:dyDescent="0.25">
      <c r="A494" s="15" t="s">
        <v>4277</v>
      </c>
      <c r="B494" s="15" t="s">
        <v>4273</v>
      </c>
      <c r="C494" s="52">
        <v>5.4047000000000001</v>
      </c>
      <c r="D494" s="25">
        <v>1.2499999999999999E-2</v>
      </c>
      <c r="F494" s="61" t="s">
        <v>4671</v>
      </c>
    </row>
    <row r="495" spans="1:6" x14ac:dyDescent="0.25">
      <c r="A495" s="15" t="s">
        <v>4277</v>
      </c>
      <c r="B495" s="15" t="s">
        <v>4274</v>
      </c>
      <c r="C495" s="54">
        <v>15.697739</v>
      </c>
      <c r="D495" s="26">
        <v>1.8749999999999999E-2</v>
      </c>
      <c r="F495" s="61" t="s">
        <v>4672</v>
      </c>
    </row>
    <row r="496" spans="1:6" x14ac:dyDescent="0.25">
      <c r="A496" s="15" t="s">
        <v>4277</v>
      </c>
      <c r="B496" s="15" t="s">
        <v>4275</v>
      </c>
      <c r="C496" s="52">
        <v>15.790945000000001</v>
      </c>
      <c r="D496" s="25">
        <v>1.9444444444444445E-2</v>
      </c>
      <c r="F496" s="61" t="s">
        <v>4673</v>
      </c>
    </row>
    <row r="497" spans="1:6" x14ac:dyDescent="0.25">
      <c r="A497" s="15" t="s">
        <v>4277</v>
      </c>
      <c r="B497" s="15" t="s">
        <v>4276</v>
      </c>
      <c r="C497" s="54">
        <v>10.251407</v>
      </c>
      <c r="D497" s="26">
        <v>1.3888888888888888E-2</v>
      </c>
      <c r="F497" s="61" t="s">
        <v>4674</v>
      </c>
    </row>
    <row r="498" spans="1:6" x14ac:dyDescent="0.25">
      <c r="A498" s="15" t="s">
        <v>4277</v>
      </c>
      <c r="B498" s="15" t="s">
        <v>4277</v>
      </c>
      <c r="C498" s="52">
        <v>0</v>
      </c>
      <c r="D498" s="25">
        <v>0</v>
      </c>
      <c r="F498" s="61" t="s">
        <v>4675</v>
      </c>
    </row>
    <row r="499" spans="1:6" x14ac:dyDescent="0.25">
      <c r="A499" s="15" t="s">
        <v>4277</v>
      </c>
      <c r="B499" s="15" t="s">
        <v>4278</v>
      </c>
      <c r="C499" s="54">
        <v>10.544695000000001</v>
      </c>
      <c r="D499" s="26">
        <v>1.8749999999999999E-2</v>
      </c>
      <c r="F499" s="61" t="s">
        <v>4676</v>
      </c>
    </row>
    <row r="500" spans="1:6" x14ac:dyDescent="0.25">
      <c r="A500" s="15" t="s">
        <v>4277</v>
      </c>
      <c r="B500" s="15" t="s">
        <v>4279</v>
      </c>
      <c r="C500" s="52">
        <v>24.295674000000002</v>
      </c>
      <c r="D500" s="25">
        <v>2.7083333333333334E-2</v>
      </c>
      <c r="F500" s="61" t="s">
        <v>4677</v>
      </c>
    </row>
    <row r="501" spans="1:6" x14ac:dyDescent="0.25">
      <c r="A501" s="15" t="s">
        <v>4277</v>
      </c>
      <c r="B501" s="15" t="s">
        <v>4280</v>
      </c>
      <c r="C501" s="54">
        <v>55.452545999999998</v>
      </c>
      <c r="D501" s="26">
        <v>5.2777777777777778E-2</v>
      </c>
      <c r="F501" s="61" t="s">
        <v>4678</v>
      </c>
    </row>
    <row r="502" spans="1:6" x14ac:dyDescent="0.25">
      <c r="A502" s="15" t="s">
        <v>4277</v>
      </c>
      <c r="B502" s="15" t="s">
        <v>4281</v>
      </c>
      <c r="C502" s="52">
        <v>45.146458000000003</v>
      </c>
      <c r="D502" s="25">
        <v>3.7499999999999999E-2</v>
      </c>
      <c r="F502" s="61" t="s">
        <v>4679</v>
      </c>
    </row>
    <row r="503" spans="1:6" x14ac:dyDescent="0.25">
      <c r="A503" s="15" t="s">
        <v>4277</v>
      </c>
      <c r="B503" s="15" t="s">
        <v>4282</v>
      </c>
      <c r="C503" s="54">
        <v>93.820447999999999</v>
      </c>
      <c r="D503" s="26">
        <v>8.1250000000000003E-2</v>
      </c>
      <c r="F503" s="61" t="s">
        <v>4680</v>
      </c>
    </row>
    <row r="504" spans="1:6" x14ac:dyDescent="0.25">
      <c r="A504" s="15" t="s">
        <v>4277</v>
      </c>
      <c r="B504" s="15" t="s">
        <v>4283</v>
      </c>
      <c r="C504" s="52">
        <v>101.704425</v>
      </c>
      <c r="D504" s="25">
        <v>8.6805555555555566E-2</v>
      </c>
      <c r="F504" s="61" t="s">
        <v>4681</v>
      </c>
    </row>
    <row r="505" spans="1:6" x14ac:dyDescent="0.25">
      <c r="A505" s="15" t="s">
        <v>4277</v>
      </c>
      <c r="B505" s="15" t="s">
        <v>4284</v>
      </c>
      <c r="C505" s="54">
        <v>99.766985000000005</v>
      </c>
      <c r="D505" s="26">
        <v>8.3333333333333329E-2</v>
      </c>
      <c r="F505" s="61" t="s">
        <v>4682</v>
      </c>
    </row>
    <row r="506" spans="1:6" x14ac:dyDescent="0.25">
      <c r="A506" s="15" t="s">
        <v>4277</v>
      </c>
      <c r="B506" s="15" t="s">
        <v>4285</v>
      </c>
      <c r="C506" s="52">
        <v>102.1456</v>
      </c>
      <c r="D506" s="25">
        <v>8.9583333333333334E-2</v>
      </c>
      <c r="F506" s="61" t="s">
        <v>4683</v>
      </c>
    </row>
    <row r="507" spans="1:6" x14ac:dyDescent="0.25">
      <c r="A507" s="15" t="s">
        <v>4277</v>
      </c>
      <c r="B507" s="15" t="s">
        <v>4286</v>
      </c>
      <c r="C507" s="54">
        <v>101.076218</v>
      </c>
      <c r="D507" s="26">
        <v>8.819444444444445E-2</v>
      </c>
      <c r="F507" s="61" t="s">
        <v>4684</v>
      </c>
    </row>
    <row r="508" spans="1:6" x14ac:dyDescent="0.25">
      <c r="A508" s="15" t="s">
        <v>4277</v>
      </c>
      <c r="B508" s="15" t="s">
        <v>4287</v>
      </c>
      <c r="C508" s="52">
        <v>102.13193</v>
      </c>
      <c r="D508" s="25">
        <v>8.6111111111111124E-2</v>
      </c>
      <c r="F508" s="61" t="s">
        <v>4685</v>
      </c>
    </row>
    <row r="509" spans="1:6" x14ac:dyDescent="0.25">
      <c r="A509" s="15" t="s">
        <v>4277</v>
      </c>
      <c r="B509" s="15" t="s">
        <v>4288</v>
      </c>
      <c r="C509" s="54">
        <v>106.959996</v>
      </c>
      <c r="D509" s="26">
        <v>9.0972222222222218E-2</v>
      </c>
      <c r="F509" s="61" t="s">
        <v>4686</v>
      </c>
    </row>
    <row r="510" spans="1:6" x14ac:dyDescent="0.25">
      <c r="A510" s="15" t="s">
        <v>4277</v>
      </c>
      <c r="B510" s="15" t="s">
        <v>4289</v>
      </c>
      <c r="C510" s="52">
        <v>52.232591999999997</v>
      </c>
      <c r="D510" s="25">
        <v>4.4444444444444446E-2</v>
      </c>
      <c r="F510" s="61" t="s">
        <v>4687</v>
      </c>
    </row>
    <row r="511" spans="1:6" x14ac:dyDescent="0.25">
      <c r="A511" s="15" t="s">
        <v>4277</v>
      </c>
      <c r="B511" s="15" t="s">
        <v>4290</v>
      </c>
      <c r="C511" s="54">
        <v>53.804665</v>
      </c>
      <c r="D511" s="26">
        <v>4.7916666666666663E-2</v>
      </c>
      <c r="F511" s="61" t="s">
        <v>4688</v>
      </c>
    </row>
    <row r="512" spans="1:6" x14ac:dyDescent="0.25">
      <c r="A512" s="15" t="s">
        <v>4277</v>
      </c>
      <c r="B512" s="15" t="s">
        <v>4291</v>
      </c>
      <c r="C512" s="52">
        <v>53.406365000000001</v>
      </c>
      <c r="D512" s="25">
        <v>4.7916666666666663E-2</v>
      </c>
      <c r="F512" s="61" t="s">
        <v>4689</v>
      </c>
    </row>
    <row r="513" spans="1:6" x14ac:dyDescent="0.25">
      <c r="A513" s="15" t="s">
        <v>4277</v>
      </c>
      <c r="B513" s="15" t="s">
        <v>4292</v>
      </c>
      <c r="C513" s="54">
        <v>52.529608000000003</v>
      </c>
      <c r="D513" s="26">
        <v>4.7222222222222221E-2</v>
      </c>
      <c r="F513" s="61" t="s">
        <v>4690</v>
      </c>
    </row>
    <row r="514" spans="1:6" x14ac:dyDescent="0.25">
      <c r="A514" s="15" t="s">
        <v>4277</v>
      </c>
      <c r="B514" s="15" t="s">
        <v>4293</v>
      </c>
      <c r="C514" s="52">
        <v>61.679943000000002</v>
      </c>
      <c r="D514" s="25">
        <v>5.4166666666666669E-2</v>
      </c>
      <c r="F514" s="61" t="s">
        <v>4691</v>
      </c>
    </row>
    <row r="515" spans="1:6" x14ac:dyDescent="0.25">
      <c r="A515" s="15" t="s">
        <v>4277</v>
      </c>
      <c r="B515" s="15" t="s">
        <v>4294</v>
      </c>
      <c r="C515" s="54">
        <v>62.659227000000001</v>
      </c>
      <c r="D515" s="26">
        <v>5.6944444444444443E-2</v>
      </c>
      <c r="F515" s="61" t="s">
        <v>4692</v>
      </c>
    </row>
    <row r="516" spans="1:6" x14ac:dyDescent="0.25">
      <c r="A516" s="15" t="s">
        <v>4277</v>
      </c>
      <c r="B516" s="15" t="s">
        <v>4295</v>
      </c>
      <c r="C516" s="52">
        <v>65.479637999999994</v>
      </c>
      <c r="D516" s="25">
        <v>5.9027777777777783E-2</v>
      </c>
      <c r="F516" s="61" t="s">
        <v>4693</v>
      </c>
    </row>
    <row r="517" spans="1:6" x14ac:dyDescent="0.25">
      <c r="A517" s="15" t="s">
        <v>4277</v>
      </c>
      <c r="B517" s="15" t="s">
        <v>4296</v>
      </c>
      <c r="C517" s="54">
        <v>57.142057999999999</v>
      </c>
      <c r="D517" s="26">
        <v>4.9305555555555554E-2</v>
      </c>
      <c r="F517" s="61" t="s">
        <v>4694</v>
      </c>
    </row>
    <row r="518" spans="1:6" x14ac:dyDescent="0.25">
      <c r="A518" s="15" t="s">
        <v>4277</v>
      </c>
      <c r="B518" s="15" t="s">
        <v>4297</v>
      </c>
      <c r="C518" s="52">
        <v>63.458933000000002</v>
      </c>
      <c r="D518" s="25">
        <v>5.6944444444444443E-2</v>
      </c>
      <c r="F518" s="61" t="s">
        <v>4695</v>
      </c>
    </row>
    <row r="519" spans="1:6" x14ac:dyDescent="0.25">
      <c r="A519" s="15" t="s">
        <v>4277</v>
      </c>
      <c r="B519" s="15" t="s">
        <v>4298</v>
      </c>
      <c r="C519" s="54">
        <v>64.790535000000006</v>
      </c>
      <c r="D519" s="26">
        <v>6.3888888888888884E-2</v>
      </c>
      <c r="F519" s="61" t="s">
        <v>4696</v>
      </c>
    </row>
    <row r="520" spans="1:6" x14ac:dyDescent="0.25">
      <c r="A520" s="15" t="s">
        <v>4277</v>
      </c>
      <c r="B520" s="15" t="s">
        <v>4299</v>
      </c>
      <c r="C520" s="52">
        <v>67.052953000000002</v>
      </c>
      <c r="D520" s="25">
        <v>6.7361111111111108E-2</v>
      </c>
      <c r="F520" s="61" t="s">
        <v>4697</v>
      </c>
    </row>
    <row r="521" spans="1:6" x14ac:dyDescent="0.25">
      <c r="A521" s="15" t="s">
        <v>4277</v>
      </c>
      <c r="B521" s="15" t="s">
        <v>4300</v>
      </c>
      <c r="C521" s="54">
        <v>71.112380999999999</v>
      </c>
      <c r="D521" s="26">
        <v>7.6388888888888895E-2</v>
      </c>
      <c r="F521" s="61" t="s">
        <v>4698</v>
      </c>
    </row>
    <row r="522" spans="1:6" x14ac:dyDescent="0.25">
      <c r="A522" s="15" t="s">
        <v>4277</v>
      </c>
      <c r="B522" s="15" t="s">
        <v>4301</v>
      </c>
      <c r="C522" s="52">
        <v>56.515093</v>
      </c>
      <c r="D522" s="25">
        <v>5.2777777777777778E-2</v>
      </c>
      <c r="F522" s="61" t="s">
        <v>4699</v>
      </c>
    </row>
    <row r="523" spans="1:6" x14ac:dyDescent="0.25">
      <c r="A523" s="15" t="s">
        <v>4277</v>
      </c>
      <c r="B523" s="15" t="s">
        <v>4302</v>
      </c>
      <c r="C523" s="54">
        <v>51.978451</v>
      </c>
      <c r="D523" s="26">
        <v>4.8611111111111112E-2</v>
      </c>
      <c r="F523" s="61" t="s">
        <v>4700</v>
      </c>
    </row>
    <row r="524" spans="1:6" x14ac:dyDescent="0.25">
      <c r="A524" s="15" t="s">
        <v>4277</v>
      </c>
      <c r="B524" s="15" t="s">
        <v>4303</v>
      </c>
      <c r="C524" s="52">
        <v>65.136018000000007</v>
      </c>
      <c r="D524" s="25">
        <v>6.0416666666666667E-2</v>
      </c>
      <c r="F524" s="61" t="s">
        <v>4701</v>
      </c>
    </row>
    <row r="525" spans="1:6" x14ac:dyDescent="0.25">
      <c r="A525" s="15" t="s">
        <v>4277</v>
      </c>
      <c r="B525" s="15" t="s">
        <v>4304</v>
      </c>
      <c r="C525" s="54">
        <v>47.851914000000001</v>
      </c>
      <c r="D525" s="26">
        <v>4.8611111111111112E-2</v>
      </c>
      <c r="F525" s="61" t="s">
        <v>4702</v>
      </c>
    </row>
    <row r="526" spans="1:6" x14ac:dyDescent="0.25">
      <c r="A526" s="15" t="s">
        <v>4277</v>
      </c>
      <c r="B526" s="15" t="s">
        <v>4305</v>
      </c>
      <c r="C526" s="52">
        <v>48.383809999999997</v>
      </c>
      <c r="D526" s="25">
        <v>4.9999999999999996E-2</v>
      </c>
      <c r="F526" s="61" t="s">
        <v>4703</v>
      </c>
    </row>
    <row r="527" spans="1:6" x14ac:dyDescent="0.25">
      <c r="A527" s="15" t="s">
        <v>4277</v>
      </c>
      <c r="B527" s="15" t="s">
        <v>4306</v>
      </c>
      <c r="C527" s="54">
        <v>91.013086000000001</v>
      </c>
      <c r="D527" s="26">
        <v>7.9166666666666663E-2</v>
      </c>
      <c r="F527" s="61" t="s">
        <v>4704</v>
      </c>
    </row>
    <row r="528" spans="1:6" x14ac:dyDescent="0.25">
      <c r="A528" s="15" t="s">
        <v>4277</v>
      </c>
      <c r="B528" s="15" t="s">
        <v>4307</v>
      </c>
      <c r="C528" s="52">
        <v>89.916363000000004</v>
      </c>
      <c r="D528" s="25">
        <v>7.7777777777777779E-2</v>
      </c>
      <c r="F528" s="61" t="s">
        <v>4705</v>
      </c>
    </row>
    <row r="529" spans="1:6" x14ac:dyDescent="0.25">
      <c r="A529" s="15" t="s">
        <v>4277</v>
      </c>
      <c r="B529" s="15" t="s">
        <v>4308</v>
      </c>
      <c r="C529" s="54">
        <v>88.139859000000001</v>
      </c>
      <c r="D529" s="26">
        <v>7.5694444444444439E-2</v>
      </c>
      <c r="F529" s="61" t="s">
        <v>4706</v>
      </c>
    </row>
    <row r="530" spans="1:6" x14ac:dyDescent="0.25">
      <c r="A530" s="15" t="s">
        <v>4277</v>
      </c>
      <c r="B530" s="15" t="s">
        <v>4309</v>
      </c>
      <c r="C530" s="52">
        <v>127.966123</v>
      </c>
      <c r="D530" s="25">
        <v>0.11041666666666666</v>
      </c>
      <c r="F530" s="61" t="s">
        <v>4707</v>
      </c>
    </row>
    <row r="531" spans="1:6" x14ac:dyDescent="0.25">
      <c r="A531" s="15" t="s">
        <v>4277</v>
      </c>
      <c r="B531" s="15" t="s">
        <v>4310</v>
      </c>
      <c r="C531" s="54">
        <v>129.52763200000001</v>
      </c>
      <c r="D531" s="26">
        <v>0.11388888888888889</v>
      </c>
      <c r="F531" s="61" t="s">
        <v>4708</v>
      </c>
    </row>
    <row r="532" spans="1:6" x14ac:dyDescent="0.25">
      <c r="A532" s="15" t="s">
        <v>4277</v>
      </c>
      <c r="B532" s="15" t="s">
        <v>4311</v>
      </c>
      <c r="C532" s="52">
        <v>118.82138</v>
      </c>
      <c r="D532" s="25">
        <v>0.10486111111111111</v>
      </c>
      <c r="F532" s="61" t="s">
        <v>4709</v>
      </c>
    </row>
    <row r="533" spans="1:6" x14ac:dyDescent="0.25">
      <c r="A533" s="15" t="s">
        <v>4277</v>
      </c>
      <c r="B533" s="15" t="s">
        <v>4312</v>
      </c>
      <c r="C533" s="54">
        <v>115.533697</v>
      </c>
      <c r="D533" s="26">
        <v>9.7222222222222224E-2</v>
      </c>
      <c r="F533" s="61" t="s">
        <v>4710</v>
      </c>
    </row>
    <row r="534" spans="1:6" x14ac:dyDescent="0.25">
      <c r="A534" s="15" t="s">
        <v>4277</v>
      </c>
      <c r="B534" s="15" t="s">
        <v>4313</v>
      </c>
      <c r="C534" s="52">
        <v>134.20781199999999</v>
      </c>
      <c r="D534" s="25">
        <v>0.11666666666666665</v>
      </c>
      <c r="F534" s="61" t="s">
        <v>4711</v>
      </c>
    </row>
    <row r="535" spans="1:6" x14ac:dyDescent="0.25">
      <c r="A535" s="15" t="s">
        <v>4277</v>
      </c>
      <c r="B535" s="15" t="s">
        <v>4314</v>
      </c>
      <c r="C535" s="54">
        <v>51.724308999999998</v>
      </c>
      <c r="D535" s="26">
        <v>4.9999999999999996E-2</v>
      </c>
      <c r="F535" s="61" t="s">
        <v>4712</v>
      </c>
    </row>
    <row r="536" spans="1:6" x14ac:dyDescent="0.25">
      <c r="A536" s="15" t="s">
        <v>4277</v>
      </c>
      <c r="B536" s="15" t="s">
        <v>4315</v>
      </c>
      <c r="C536" s="52">
        <v>52.502268000000001</v>
      </c>
      <c r="D536" s="25">
        <v>5.2777777777777778E-2</v>
      </c>
      <c r="F536" s="61" t="s">
        <v>4713</v>
      </c>
    </row>
    <row r="537" spans="1:6" x14ac:dyDescent="0.25">
      <c r="A537" s="15" t="s">
        <v>4277</v>
      </c>
      <c r="B537" s="15" t="s">
        <v>4316</v>
      </c>
      <c r="C537" s="54">
        <v>49.796810999999998</v>
      </c>
      <c r="D537" s="26">
        <v>4.7222222222222221E-2</v>
      </c>
      <c r="F537" s="61" t="s">
        <v>4714</v>
      </c>
    </row>
    <row r="538" spans="1:6" x14ac:dyDescent="0.25">
      <c r="A538" s="15" t="s">
        <v>4277</v>
      </c>
      <c r="B538" s="15" t="s">
        <v>4317</v>
      </c>
      <c r="C538" s="52">
        <v>137.46939699999999</v>
      </c>
      <c r="D538" s="25">
        <v>0.11388888888888889</v>
      </c>
      <c r="F538" s="61" t="s">
        <v>4715</v>
      </c>
    </row>
    <row r="539" spans="1:6" x14ac:dyDescent="0.25">
      <c r="A539" s="15" t="s">
        <v>4277</v>
      </c>
      <c r="B539" s="15" t="s">
        <v>4318</v>
      </c>
      <c r="C539" s="54">
        <v>146.58058600000001</v>
      </c>
      <c r="D539" s="26">
        <v>0.12152777777777778</v>
      </c>
      <c r="F539" s="61" t="s">
        <v>4716</v>
      </c>
    </row>
    <row r="540" spans="1:6" x14ac:dyDescent="0.25">
      <c r="A540" s="15" t="s">
        <v>4277</v>
      </c>
      <c r="B540" s="15" t="s">
        <v>4319</v>
      </c>
      <c r="C540" s="52">
        <v>140.21834999999999</v>
      </c>
      <c r="D540" s="25">
        <v>0.1173611111111111</v>
      </c>
      <c r="F540" s="61" t="s">
        <v>4717</v>
      </c>
    </row>
    <row r="541" spans="1:6" x14ac:dyDescent="0.25">
      <c r="A541" s="15" t="s">
        <v>4277</v>
      </c>
      <c r="B541" s="15" t="s">
        <v>4320</v>
      </c>
      <c r="C541" s="54">
        <v>164.976326</v>
      </c>
      <c r="D541" s="26">
        <v>0.14027777777777778</v>
      </c>
      <c r="F541" s="61" t="s">
        <v>4718</v>
      </c>
    </row>
    <row r="542" spans="1:6" x14ac:dyDescent="0.25">
      <c r="A542" s="15" t="s">
        <v>4277</v>
      </c>
      <c r="B542" s="15" t="s">
        <v>4321</v>
      </c>
      <c r="C542" s="52">
        <v>164.79550599999999</v>
      </c>
      <c r="D542" s="25">
        <v>0.13958333333333334</v>
      </c>
      <c r="F542" s="61" t="s">
        <v>4719</v>
      </c>
    </row>
    <row r="543" spans="1:6" x14ac:dyDescent="0.25">
      <c r="A543" s="15" t="s">
        <v>4278</v>
      </c>
      <c r="B543" s="15">
        <v>3423909</v>
      </c>
      <c r="C543" s="54">
        <v>39.535462000000003</v>
      </c>
      <c r="D543" s="26">
        <v>4.027777777777778E-2</v>
      </c>
      <c r="F543" s="61" t="s">
        <v>7023</v>
      </c>
    </row>
    <row r="544" spans="1:6" x14ac:dyDescent="0.25">
      <c r="A544" s="15" t="s">
        <v>4278</v>
      </c>
      <c r="B544" s="15">
        <v>3403208</v>
      </c>
      <c r="C544" s="52">
        <v>118.691513</v>
      </c>
      <c r="D544" s="25">
        <v>9.8611111111111108E-2</v>
      </c>
      <c r="F544" s="61" t="s">
        <v>7128</v>
      </c>
    </row>
    <row r="545" spans="1:6" x14ac:dyDescent="0.25">
      <c r="A545" s="15" t="s">
        <v>4278</v>
      </c>
      <c r="B545" s="15">
        <v>3424402</v>
      </c>
      <c r="C545" s="54">
        <v>87.068612000000002</v>
      </c>
      <c r="D545" s="26">
        <v>7.4305555555555555E-2</v>
      </c>
      <c r="F545" s="61" t="s">
        <v>7235</v>
      </c>
    </row>
    <row r="546" spans="1:6" x14ac:dyDescent="0.25">
      <c r="A546" s="15" t="s">
        <v>4278</v>
      </c>
      <c r="B546" s="15" t="s">
        <v>4271</v>
      </c>
      <c r="C546" s="52">
        <v>9.9326430000000006</v>
      </c>
      <c r="D546" s="25">
        <v>1.4583333333333332E-2</v>
      </c>
      <c r="F546" s="61" t="s">
        <v>4720</v>
      </c>
    </row>
    <row r="547" spans="1:6" x14ac:dyDescent="0.25">
      <c r="A547" s="15" t="s">
        <v>4278</v>
      </c>
      <c r="B547" s="15" t="s">
        <v>4272</v>
      </c>
      <c r="C547" s="54">
        <v>7.3458680000000003</v>
      </c>
      <c r="D547" s="26">
        <v>1.3194444444444444E-2</v>
      </c>
      <c r="F547" s="61" t="s">
        <v>4721</v>
      </c>
    </row>
    <row r="548" spans="1:6" x14ac:dyDescent="0.25">
      <c r="A548" s="15" t="s">
        <v>4278</v>
      </c>
      <c r="B548" s="15" t="s">
        <v>4273</v>
      </c>
      <c r="C548" s="52">
        <v>7.4123549999999998</v>
      </c>
      <c r="D548" s="25">
        <v>1.3888888888888888E-2</v>
      </c>
      <c r="F548" s="61" t="s">
        <v>4722</v>
      </c>
    </row>
    <row r="549" spans="1:6" x14ac:dyDescent="0.25">
      <c r="A549" s="15" t="s">
        <v>4278</v>
      </c>
      <c r="B549" s="15" t="s">
        <v>4274</v>
      </c>
      <c r="C549" s="54">
        <v>11.446306999999999</v>
      </c>
      <c r="D549" s="26">
        <v>1.5277777777777777E-2</v>
      </c>
      <c r="F549" s="61" t="s">
        <v>4723</v>
      </c>
    </row>
    <row r="550" spans="1:6" x14ac:dyDescent="0.25">
      <c r="A550" s="15" t="s">
        <v>4278</v>
      </c>
      <c r="B550" s="15" t="s">
        <v>4275</v>
      </c>
      <c r="C550" s="52">
        <v>11.539512999999999</v>
      </c>
      <c r="D550" s="25">
        <v>1.5972222222222224E-2</v>
      </c>
      <c r="F550" s="61" t="s">
        <v>4724</v>
      </c>
    </row>
    <row r="551" spans="1:6" x14ac:dyDescent="0.25">
      <c r="A551" s="15" t="s">
        <v>4278</v>
      </c>
      <c r="B551" s="15" t="s">
        <v>4276</v>
      </c>
      <c r="C551" s="54">
        <v>11.496638000000001</v>
      </c>
      <c r="D551" s="26">
        <v>1.5277777777777777E-2</v>
      </c>
      <c r="F551" s="61" t="s">
        <v>4725</v>
      </c>
    </row>
    <row r="552" spans="1:6" x14ac:dyDescent="0.25">
      <c r="A552" s="15" t="s">
        <v>4278</v>
      </c>
      <c r="B552" s="15" t="s">
        <v>4277</v>
      </c>
      <c r="C552" s="52">
        <v>10.407992999999999</v>
      </c>
      <c r="D552" s="25">
        <v>1.7361111111111112E-2</v>
      </c>
      <c r="F552" s="61" t="s">
        <v>4726</v>
      </c>
    </row>
    <row r="553" spans="1:6" x14ac:dyDescent="0.25">
      <c r="A553" s="15" t="s">
        <v>4278</v>
      </c>
      <c r="B553" s="15" t="s">
        <v>4278</v>
      </c>
      <c r="C553" s="54">
        <v>0</v>
      </c>
      <c r="D553" s="26">
        <v>0</v>
      </c>
      <c r="F553" s="61" t="s">
        <v>4727</v>
      </c>
    </row>
    <row r="554" spans="1:6" x14ac:dyDescent="0.25">
      <c r="A554" s="15" t="s">
        <v>4278</v>
      </c>
      <c r="B554" s="15" t="s">
        <v>4279</v>
      </c>
      <c r="C554" s="52">
        <v>28.909987999999998</v>
      </c>
      <c r="D554" s="25">
        <v>3.0555555555555555E-2</v>
      </c>
      <c r="F554" s="61" t="s">
        <v>4728</v>
      </c>
    </row>
    <row r="555" spans="1:6" x14ac:dyDescent="0.25">
      <c r="A555" s="15" t="s">
        <v>4278</v>
      </c>
      <c r="B555" s="15" t="s">
        <v>4280</v>
      </c>
      <c r="C555" s="54">
        <v>65.483986999999999</v>
      </c>
      <c r="D555" s="26">
        <v>6.3888888888888884E-2</v>
      </c>
      <c r="F555" s="61" t="s">
        <v>4729</v>
      </c>
    </row>
    <row r="556" spans="1:6" x14ac:dyDescent="0.25">
      <c r="A556" s="15" t="s">
        <v>4278</v>
      </c>
      <c r="B556" s="15" t="s">
        <v>4281</v>
      </c>
      <c r="C556" s="52">
        <v>49.460026999999997</v>
      </c>
      <c r="D556" s="25">
        <v>4.5138888888888888E-2</v>
      </c>
      <c r="F556" s="61" t="s">
        <v>4730</v>
      </c>
    </row>
    <row r="557" spans="1:6" x14ac:dyDescent="0.25">
      <c r="A557" s="15" t="s">
        <v>4278</v>
      </c>
      <c r="B557" s="15" t="s">
        <v>4282</v>
      </c>
      <c r="C557" s="54">
        <v>86.109834000000006</v>
      </c>
      <c r="D557" s="26">
        <v>7.4305555555555555E-2</v>
      </c>
      <c r="F557" s="61" t="s">
        <v>4731</v>
      </c>
    </row>
    <row r="558" spans="1:6" x14ac:dyDescent="0.25">
      <c r="A558" s="15" t="s">
        <v>4278</v>
      </c>
      <c r="B558" s="15" t="s">
        <v>4283</v>
      </c>
      <c r="C558" s="52">
        <v>93.993810999999994</v>
      </c>
      <c r="D558" s="25">
        <v>7.9861111111111105E-2</v>
      </c>
      <c r="F558" s="61" t="s">
        <v>4732</v>
      </c>
    </row>
    <row r="559" spans="1:6" x14ac:dyDescent="0.25">
      <c r="A559" s="15" t="s">
        <v>4278</v>
      </c>
      <c r="B559" s="15" t="s">
        <v>4284</v>
      </c>
      <c r="C559" s="54">
        <v>92.056370999999999</v>
      </c>
      <c r="D559" s="26">
        <v>7.7083333333333337E-2</v>
      </c>
      <c r="F559" s="61" t="s">
        <v>4733</v>
      </c>
    </row>
    <row r="560" spans="1:6" x14ac:dyDescent="0.25">
      <c r="A560" s="15" t="s">
        <v>4278</v>
      </c>
      <c r="B560" s="15" t="s">
        <v>4285</v>
      </c>
      <c r="C560" s="52">
        <v>94.434985999999995</v>
      </c>
      <c r="D560" s="25">
        <v>8.3333333333333329E-2</v>
      </c>
      <c r="F560" s="61" t="s">
        <v>4734</v>
      </c>
    </row>
    <row r="561" spans="1:6" x14ac:dyDescent="0.25">
      <c r="A561" s="15" t="s">
        <v>4278</v>
      </c>
      <c r="B561" s="15" t="s">
        <v>4286</v>
      </c>
      <c r="C561" s="54">
        <v>93.365602999999993</v>
      </c>
      <c r="D561" s="26">
        <v>8.1250000000000003E-2</v>
      </c>
      <c r="F561" s="61" t="s">
        <v>4735</v>
      </c>
    </row>
    <row r="562" spans="1:6" x14ac:dyDescent="0.25">
      <c r="A562" s="15" t="s">
        <v>4278</v>
      </c>
      <c r="B562" s="15" t="s">
        <v>4287</v>
      </c>
      <c r="C562" s="52">
        <v>94.421316000000004</v>
      </c>
      <c r="D562" s="25">
        <v>7.9861111111111105E-2</v>
      </c>
      <c r="F562" s="61" t="s">
        <v>4736</v>
      </c>
    </row>
    <row r="563" spans="1:6" x14ac:dyDescent="0.25">
      <c r="A563" s="15" t="s">
        <v>4278</v>
      </c>
      <c r="B563" s="15" t="s">
        <v>4288</v>
      </c>
      <c r="C563" s="54">
        <v>99.249381999999997</v>
      </c>
      <c r="D563" s="26">
        <v>8.4722222222222213E-2</v>
      </c>
      <c r="F563" s="61" t="s">
        <v>4737</v>
      </c>
    </row>
    <row r="564" spans="1:6" x14ac:dyDescent="0.25">
      <c r="A564" s="15" t="s">
        <v>4278</v>
      </c>
      <c r="B564" s="15" t="s">
        <v>4289</v>
      </c>
      <c r="C564" s="52">
        <v>62.264034000000002</v>
      </c>
      <c r="D564" s="25">
        <v>5.5555555555555552E-2</v>
      </c>
      <c r="F564" s="61" t="s">
        <v>4738</v>
      </c>
    </row>
    <row r="565" spans="1:6" x14ac:dyDescent="0.25">
      <c r="A565" s="15" t="s">
        <v>4278</v>
      </c>
      <c r="B565" s="15" t="s">
        <v>4290</v>
      </c>
      <c r="C565" s="54">
        <v>63.836106999999998</v>
      </c>
      <c r="D565" s="26">
        <v>5.8333333333333327E-2</v>
      </c>
      <c r="F565" s="61" t="s">
        <v>4739</v>
      </c>
    </row>
    <row r="566" spans="1:6" x14ac:dyDescent="0.25">
      <c r="A566" s="15" t="s">
        <v>4278</v>
      </c>
      <c r="B566" s="15" t="s">
        <v>4291</v>
      </c>
      <c r="C566" s="52">
        <v>63.437806999999999</v>
      </c>
      <c r="D566" s="25">
        <v>5.9027777777777783E-2</v>
      </c>
      <c r="F566" s="61" t="s">
        <v>4740</v>
      </c>
    </row>
    <row r="567" spans="1:6" x14ac:dyDescent="0.25">
      <c r="A567" s="15" t="s">
        <v>4278</v>
      </c>
      <c r="B567" s="15" t="s">
        <v>4292</v>
      </c>
      <c r="C567" s="54">
        <v>62.561050000000002</v>
      </c>
      <c r="D567" s="26">
        <v>5.7638888888888885E-2</v>
      </c>
      <c r="F567" s="61" t="s">
        <v>4741</v>
      </c>
    </row>
    <row r="568" spans="1:6" x14ac:dyDescent="0.25">
      <c r="A568" s="15" t="s">
        <v>4278</v>
      </c>
      <c r="B568" s="15" t="s">
        <v>4293</v>
      </c>
      <c r="C568" s="52">
        <v>71.711385000000007</v>
      </c>
      <c r="D568" s="25">
        <v>6.5277777777777782E-2</v>
      </c>
      <c r="F568" s="61" t="s">
        <v>4742</v>
      </c>
    </row>
    <row r="569" spans="1:6" x14ac:dyDescent="0.25">
      <c r="A569" s="15" t="s">
        <v>4278</v>
      </c>
      <c r="B569" s="15" t="s">
        <v>4294</v>
      </c>
      <c r="C569" s="54">
        <v>72.690668000000002</v>
      </c>
      <c r="D569" s="26">
        <v>6.7361111111111108E-2</v>
      </c>
      <c r="F569" s="61" t="s">
        <v>4743</v>
      </c>
    </row>
    <row r="570" spans="1:6" x14ac:dyDescent="0.25">
      <c r="A570" s="15" t="s">
        <v>4278</v>
      </c>
      <c r="B570" s="15" t="s">
        <v>4295</v>
      </c>
      <c r="C570" s="52">
        <v>75.511078999999995</v>
      </c>
      <c r="D570" s="25">
        <v>7.013888888888889E-2</v>
      </c>
      <c r="F570" s="61" t="s">
        <v>4744</v>
      </c>
    </row>
    <row r="571" spans="1:6" x14ac:dyDescent="0.25">
      <c r="A571" s="15" t="s">
        <v>4278</v>
      </c>
      <c r="B571" s="15" t="s">
        <v>4296</v>
      </c>
      <c r="C571" s="54">
        <v>67.173500000000004</v>
      </c>
      <c r="D571" s="26">
        <v>6.0416666666666667E-2</v>
      </c>
      <c r="F571" s="61" t="s">
        <v>4745</v>
      </c>
    </row>
    <row r="572" spans="1:6" x14ac:dyDescent="0.25">
      <c r="A572" s="15" t="s">
        <v>4278</v>
      </c>
      <c r="B572" s="15" t="s">
        <v>4297</v>
      </c>
      <c r="C572" s="52">
        <v>73.490375</v>
      </c>
      <c r="D572" s="25">
        <v>6.805555555555555E-2</v>
      </c>
      <c r="F572" s="61" t="s">
        <v>4746</v>
      </c>
    </row>
    <row r="573" spans="1:6" x14ac:dyDescent="0.25">
      <c r="A573" s="15" t="s">
        <v>4278</v>
      </c>
      <c r="B573" s="15" t="s">
        <v>4298</v>
      </c>
      <c r="C573" s="54">
        <v>74.821977000000004</v>
      </c>
      <c r="D573" s="26">
        <v>7.4305555555555555E-2</v>
      </c>
      <c r="F573" s="61" t="s">
        <v>4747</v>
      </c>
    </row>
    <row r="574" spans="1:6" x14ac:dyDescent="0.25">
      <c r="A574" s="15" t="s">
        <v>4278</v>
      </c>
      <c r="B574" s="15" t="s">
        <v>4299</v>
      </c>
      <c r="C574" s="52">
        <v>77.084395000000001</v>
      </c>
      <c r="D574" s="25">
        <v>7.8472222222222221E-2</v>
      </c>
      <c r="F574" s="61" t="s">
        <v>4748</v>
      </c>
    </row>
    <row r="575" spans="1:6" x14ac:dyDescent="0.25">
      <c r="A575" s="15" t="s">
        <v>4278</v>
      </c>
      <c r="B575" s="15" t="s">
        <v>4300</v>
      </c>
      <c r="C575" s="54">
        <v>81.143822999999998</v>
      </c>
      <c r="D575" s="26">
        <v>8.7500000000000008E-2</v>
      </c>
      <c r="F575" s="61" t="s">
        <v>4749</v>
      </c>
    </row>
    <row r="576" spans="1:6" x14ac:dyDescent="0.25">
      <c r="A576" s="15" t="s">
        <v>4278</v>
      </c>
      <c r="B576" s="15" t="s">
        <v>4301</v>
      </c>
      <c r="C576" s="52">
        <v>66.546535000000006</v>
      </c>
      <c r="D576" s="25">
        <v>6.3888888888888884E-2</v>
      </c>
      <c r="F576" s="61" t="s">
        <v>4750</v>
      </c>
    </row>
    <row r="577" spans="1:6" x14ac:dyDescent="0.25">
      <c r="A577" s="15" t="s">
        <v>4278</v>
      </c>
      <c r="B577" s="15" t="s">
        <v>4302</v>
      </c>
      <c r="C577" s="54">
        <v>62.009892000000001</v>
      </c>
      <c r="D577" s="26">
        <v>5.9722222222222225E-2</v>
      </c>
      <c r="F577" s="61" t="s">
        <v>4751</v>
      </c>
    </row>
    <row r="578" spans="1:6" x14ac:dyDescent="0.25">
      <c r="A578" s="15" t="s">
        <v>4278</v>
      </c>
      <c r="B578" s="15" t="s">
        <v>4303</v>
      </c>
      <c r="C578" s="52">
        <v>69.602446</v>
      </c>
      <c r="D578" s="25">
        <v>6.7361111111111108E-2</v>
      </c>
      <c r="F578" s="61" t="s">
        <v>4752</v>
      </c>
    </row>
    <row r="579" spans="1:6" x14ac:dyDescent="0.25">
      <c r="A579" s="15" t="s">
        <v>4278</v>
      </c>
      <c r="B579" s="15" t="s">
        <v>4304</v>
      </c>
      <c r="C579" s="54">
        <v>54.645383000000002</v>
      </c>
      <c r="D579" s="26">
        <v>5.9027777777777783E-2</v>
      </c>
      <c r="F579" s="61" t="s">
        <v>4753</v>
      </c>
    </row>
    <row r="580" spans="1:6" x14ac:dyDescent="0.25">
      <c r="A580" s="15" t="s">
        <v>4278</v>
      </c>
      <c r="B580" s="15" t="s">
        <v>4305</v>
      </c>
      <c r="C580" s="52">
        <v>55.177278000000001</v>
      </c>
      <c r="D580" s="25">
        <v>6.0416666666666667E-2</v>
      </c>
      <c r="F580" s="61" t="s">
        <v>4754</v>
      </c>
    </row>
    <row r="581" spans="1:6" x14ac:dyDescent="0.25">
      <c r="A581" s="15" t="s">
        <v>4278</v>
      </c>
      <c r="B581" s="15" t="s">
        <v>4306</v>
      </c>
      <c r="C581" s="54">
        <v>95.627399999999994</v>
      </c>
      <c r="D581" s="26">
        <v>8.3333333333333329E-2</v>
      </c>
      <c r="F581" s="61" t="s">
        <v>4755</v>
      </c>
    </row>
    <row r="582" spans="1:6" x14ac:dyDescent="0.25">
      <c r="A582" s="15" t="s">
        <v>4278</v>
      </c>
      <c r="B582" s="15" t="s">
        <v>4307</v>
      </c>
      <c r="C582" s="52">
        <v>94.530676999999997</v>
      </c>
      <c r="D582" s="25">
        <v>8.1944444444444445E-2</v>
      </c>
      <c r="F582" s="61" t="s">
        <v>4756</v>
      </c>
    </row>
    <row r="583" spans="1:6" x14ac:dyDescent="0.25">
      <c r="A583" s="15" t="s">
        <v>4278</v>
      </c>
      <c r="B583" s="15" t="s">
        <v>4308</v>
      </c>
      <c r="C583" s="54">
        <v>92.754172999999994</v>
      </c>
      <c r="D583" s="26">
        <v>7.9166666666666663E-2</v>
      </c>
      <c r="F583" s="61" t="s">
        <v>4757</v>
      </c>
    </row>
    <row r="584" spans="1:6" x14ac:dyDescent="0.25">
      <c r="A584" s="15" t="s">
        <v>4278</v>
      </c>
      <c r="B584" s="15" t="s">
        <v>4309</v>
      </c>
      <c r="C584" s="52">
        <v>120.25550800000001</v>
      </c>
      <c r="D584" s="25">
        <v>0.10416666666666667</v>
      </c>
      <c r="F584" s="61" t="s">
        <v>4758</v>
      </c>
    </row>
    <row r="585" spans="1:6" x14ac:dyDescent="0.25">
      <c r="A585" s="15" t="s">
        <v>4278</v>
      </c>
      <c r="B585" s="15" t="s">
        <v>4310</v>
      </c>
      <c r="C585" s="54">
        <v>121.817018</v>
      </c>
      <c r="D585" s="26">
        <v>0.10694444444444444</v>
      </c>
      <c r="F585" s="61" t="s">
        <v>4759</v>
      </c>
    </row>
    <row r="586" spans="1:6" x14ac:dyDescent="0.25">
      <c r="A586" s="15" t="s">
        <v>4278</v>
      </c>
      <c r="B586" s="15" t="s">
        <v>4311</v>
      </c>
      <c r="C586" s="52">
        <v>111.110766</v>
      </c>
      <c r="D586" s="25">
        <v>9.7916666666666666E-2</v>
      </c>
      <c r="F586" s="61" t="s">
        <v>4760</v>
      </c>
    </row>
    <row r="587" spans="1:6" x14ac:dyDescent="0.25">
      <c r="A587" s="15" t="s">
        <v>4278</v>
      </c>
      <c r="B587" s="15" t="s">
        <v>4312</v>
      </c>
      <c r="C587" s="54">
        <v>107.823083</v>
      </c>
      <c r="D587" s="26">
        <v>9.0972222222222218E-2</v>
      </c>
      <c r="F587" s="61" t="s">
        <v>4761</v>
      </c>
    </row>
    <row r="588" spans="1:6" x14ac:dyDescent="0.25">
      <c r="A588" s="15" t="s">
        <v>4278</v>
      </c>
      <c r="B588" s="15" t="s">
        <v>4313</v>
      </c>
      <c r="C588" s="52">
        <v>126.497198</v>
      </c>
      <c r="D588" s="25">
        <v>0.10972222222222222</v>
      </c>
      <c r="F588" s="61" t="s">
        <v>4762</v>
      </c>
    </row>
    <row r="589" spans="1:6" x14ac:dyDescent="0.25">
      <c r="A589" s="15" t="s">
        <v>4278</v>
      </c>
      <c r="B589" s="15" t="s">
        <v>4314</v>
      </c>
      <c r="C589" s="54">
        <v>61.912958000000003</v>
      </c>
      <c r="D589" s="26">
        <v>6.3888888888888884E-2</v>
      </c>
      <c r="F589" s="61" t="s">
        <v>4763</v>
      </c>
    </row>
    <row r="590" spans="1:6" x14ac:dyDescent="0.25">
      <c r="A590" s="15" t="s">
        <v>4278</v>
      </c>
      <c r="B590" s="15" t="s">
        <v>4315</v>
      </c>
      <c r="C590" s="52">
        <v>62.699615999999999</v>
      </c>
      <c r="D590" s="25">
        <v>6.6666666666666666E-2</v>
      </c>
      <c r="F590" s="61" t="s">
        <v>4764</v>
      </c>
    </row>
    <row r="591" spans="1:6" x14ac:dyDescent="0.25">
      <c r="A591" s="15" t="s">
        <v>4278</v>
      </c>
      <c r="B591" s="15" t="s">
        <v>4316</v>
      </c>
      <c r="C591" s="54">
        <v>59.994159000000003</v>
      </c>
      <c r="D591" s="26">
        <v>6.1111111111111116E-2</v>
      </c>
      <c r="F591" s="61" t="s">
        <v>4765</v>
      </c>
    </row>
    <row r="592" spans="1:6" x14ac:dyDescent="0.25">
      <c r="A592" s="15" t="s">
        <v>4278</v>
      </c>
      <c r="B592" s="15" t="s">
        <v>4317</v>
      </c>
      <c r="C592" s="52">
        <v>142.08371099999999</v>
      </c>
      <c r="D592" s="25">
        <v>0.1173611111111111</v>
      </c>
      <c r="F592" s="61" t="s">
        <v>4766</v>
      </c>
    </row>
    <row r="593" spans="1:6" x14ac:dyDescent="0.25">
      <c r="A593" s="15" t="s">
        <v>4278</v>
      </c>
      <c r="B593" s="15" t="s">
        <v>4318</v>
      </c>
      <c r="C593" s="54">
        <v>151.19489999999999</v>
      </c>
      <c r="D593" s="26">
        <v>0.12569444444444444</v>
      </c>
      <c r="F593" s="61" t="s">
        <v>4767</v>
      </c>
    </row>
    <row r="594" spans="1:6" x14ac:dyDescent="0.25">
      <c r="A594" s="15" t="s">
        <v>4278</v>
      </c>
      <c r="B594" s="15" t="s">
        <v>4319</v>
      </c>
      <c r="C594" s="52">
        <v>144.83266399999999</v>
      </c>
      <c r="D594" s="25">
        <v>0.12152777777777778</v>
      </c>
      <c r="F594" s="61" t="s">
        <v>4768</v>
      </c>
    </row>
    <row r="595" spans="1:6" x14ac:dyDescent="0.25">
      <c r="A595" s="15" t="s">
        <v>4278</v>
      </c>
      <c r="B595" s="15" t="s">
        <v>4320</v>
      </c>
      <c r="C595" s="54">
        <v>170.51089300000001</v>
      </c>
      <c r="D595" s="26">
        <v>0.14583333333333334</v>
      </c>
      <c r="F595" s="61" t="s">
        <v>4769</v>
      </c>
    </row>
    <row r="596" spans="1:6" x14ac:dyDescent="0.25">
      <c r="A596" s="15" t="s">
        <v>4278</v>
      </c>
      <c r="B596" s="15" t="s">
        <v>4321</v>
      </c>
      <c r="C596" s="52">
        <v>169.40982</v>
      </c>
      <c r="D596" s="25">
        <v>0.14305555555555557</v>
      </c>
      <c r="F596" s="61" t="s">
        <v>4770</v>
      </c>
    </row>
    <row r="597" spans="1:6" x14ac:dyDescent="0.25">
      <c r="A597" s="15" t="s">
        <v>4279</v>
      </c>
      <c r="B597" s="15">
        <v>3423909</v>
      </c>
      <c r="C597" s="54">
        <v>51.181851000000002</v>
      </c>
      <c r="D597" s="26">
        <v>4.5833333333333337E-2</v>
      </c>
      <c r="F597" s="61" t="s">
        <v>7024</v>
      </c>
    </row>
    <row r="598" spans="1:6" x14ac:dyDescent="0.25">
      <c r="A598" s="15" t="s">
        <v>4279</v>
      </c>
      <c r="B598" s="15">
        <v>3403208</v>
      </c>
      <c r="C598" s="52">
        <v>93.361254000000002</v>
      </c>
      <c r="D598" s="25">
        <v>7.7777777777777779E-2</v>
      </c>
      <c r="F598" s="61" t="s">
        <v>7129</v>
      </c>
    </row>
    <row r="599" spans="1:6" x14ac:dyDescent="0.25">
      <c r="A599" s="15" t="s">
        <v>4279</v>
      </c>
      <c r="B599" s="15">
        <v>3424402</v>
      </c>
      <c r="C599" s="54">
        <v>108.47801</v>
      </c>
      <c r="D599" s="26">
        <v>9.3055555555555558E-2</v>
      </c>
      <c r="F599" s="61" t="s">
        <v>7236</v>
      </c>
    </row>
    <row r="600" spans="1:6" x14ac:dyDescent="0.25">
      <c r="A600" s="15" t="s">
        <v>4279</v>
      </c>
      <c r="B600" s="15" t="s">
        <v>4271</v>
      </c>
      <c r="C600" s="52">
        <v>29.650663999999999</v>
      </c>
      <c r="D600" s="25">
        <v>3.125E-2</v>
      </c>
      <c r="F600" s="61" t="s">
        <v>4771</v>
      </c>
    </row>
    <row r="601" spans="1:6" x14ac:dyDescent="0.25">
      <c r="A601" s="15" t="s">
        <v>4279</v>
      </c>
      <c r="B601" s="15" t="s">
        <v>4272</v>
      </c>
      <c r="C601" s="54">
        <v>23.206408</v>
      </c>
      <c r="D601" s="26">
        <v>2.6388888888888889E-2</v>
      </c>
      <c r="F601" s="61" t="s">
        <v>4772</v>
      </c>
    </row>
    <row r="602" spans="1:6" x14ac:dyDescent="0.25">
      <c r="A602" s="15" t="s">
        <v>4279</v>
      </c>
      <c r="B602" s="15" t="s">
        <v>4273</v>
      </c>
      <c r="C602" s="52">
        <v>24.562864000000001</v>
      </c>
      <c r="D602" s="25">
        <v>3.125E-2</v>
      </c>
      <c r="F602" s="61" t="s">
        <v>4773</v>
      </c>
    </row>
    <row r="603" spans="1:6" x14ac:dyDescent="0.25">
      <c r="A603" s="15" t="s">
        <v>4279</v>
      </c>
      <c r="B603" s="15" t="s">
        <v>4274</v>
      </c>
      <c r="C603" s="54">
        <v>21.542992999999999</v>
      </c>
      <c r="D603" s="26">
        <v>2.4305555555555556E-2</v>
      </c>
      <c r="F603" s="61" t="s">
        <v>4774</v>
      </c>
    </row>
    <row r="604" spans="1:6" x14ac:dyDescent="0.25">
      <c r="A604" s="15" t="s">
        <v>4279</v>
      </c>
      <c r="B604" s="15" t="s">
        <v>4275</v>
      </c>
      <c r="C604" s="52">
        <v>21.636199000000001</v>
      </c>
      <c r="D604" s="25">
        <v>2.4999999999999998E-2</v>
      </c>
      <c r="F604" s="61" t="s">
        <v>4775</v>
      </c>
    </row>
    <row r="605" spans="1:6" x14ac:dyDescent="0.25">
      <c r="A605" s="15" t="s">
        <v>4279</v>
      </c>
      <c r="B605" s="15" t="s">
        <v>4276</v>
      </c>
      <c r="C605" s="54">
        <v>30.341631</v>
      </c>
      <c r="D605" s="26">
        <v>3.125E-2</v>
      </c>
      <c r="F605" s="61" t="s">
        <v>4776</v>
      </c>
    </row>
    <row r="606" spans="1:6" x14ac:dyDescent="0.25">
      <c r="A606" s="15" t="s">
        <v>4279</v>
      </c>
      <c r="B606" s="15" t="s">
        <v>4277</v>
      </c>
      <c r="C606" s="52">
        <v>23.815974000000001</v>
      </c>
      <c r="D606" s="25">
        <v>2.6388888888888889E-2</v>
      </c>
      <c r="F606" s="61" t="s">
        <v>4777</v>
      </c>
    </row>
    <row r="607" spans="1:6" x14ac:dyDescent="0.25">
      <c r="A607" s="15" t="s">
        <v>4279</v>
      </c>
      <c r="B607" s="15" t="s">
        <v>4278</v>
      </c>
      <c r="C607" s="54">
        <v>31.379944999999999</v>
      </c>
      <c r="D607" s="26">
        <v>3.2638888888888891E-2</v>
      </c>
      <c r="F607" s="61" t="s">
        <v>4778</v>
      </c>
    </row>
    <row r="608" spans="1:6" x14ac:dyDescent="0.25">
      <c r="A608" s="15" t="s">
        <v>4279</v>
      </c>
      <c r="B608" s="15" t="s">
        <v>4279</v>
      </c>
      <c r="C608" s="52">
        <v>0</v>
      </c>
      <c r="D608" s="25">
        <v>0</v>
      </c>
      <c r="F608" s="61" t="s">
        <v>4779</v>
      </c>
    </row>
    <row r="609" spans="1:6" x14ac:dyDescent="0.25">
      <c r="A609" s="15" t="s">
        <v>4279</v>
      </c>
      <c r="B609" s="15" t="s">
        <v>4280</v>
      </c>
      <c r="C609" s="54">
        <v>77.236009999999993</v>
      </c>
      <c r="D609" s="26">
        <v>7.2222222222222229E-2</v>
      </c>
      <c r="F609" s="61" t="s">
        <v>4780</v>
      </c>
    </row>
    <row r="610" spans="1:6" x14ac:dyDescent="0.25">
      <c r="A610" s="15" t="s">
        <v>4279</v>
      </c>
      <c r="B610" s="15" t="s">
        <v>4281</v>
      </c>
      <c r="C610" s="52">
        <v>25.071769</v>
      </c>
      <c r="D610" s="25">
        <v>2.4999999999999998E-2</v>
      </c>
      <c r="F610" s="61" t="s">
        <v>4781</v>
      </c>
    </row>
    <row r="611" spans="1:6" x14ac:dyDescent="0.25">
      <c r="A611" s="15" t="s">
        <v>4279</v>
      </c>
      <c r="B611" s="15" t="s">
        <v>4282</v>
      </c>
      <c r="C611" s="54">
        <v>107.519231</v>
      </c>
      <c r="D611" s="26">
        <v>9.3055555555555558E-2</v>
      </c>
      <c r="F611" s="61" t="s">
        <v>4782</v>
      </c>
    </row>
    <row r="612" spans="1:6" x14ac:dyDescent="0.25">
      <c r="A612" s="15" t="s">
        <v>4279</v>
      </c>
      <c r="B612" s="15" t="s">
        <v>4283</v>
      </c>
      <c r="C612" s="52">
        <v>115.403209</v>
      </c>
      <c r="D612" s="25">
        <v>9.8611111111111108E-2</v>
      </c>
      <c r="F612" s="61" t="s">
        <v>4783</v>
      </c>
    </row>
    <row r="613" spans="1:6" x14ac:dyDescent="0.25">
      <c r="A613" s="15" t="s">
        <v>4279</v>
      </c>
      <c r="B613" s="15" t="s">
        <v>4284</v>
      </c>
      <c r="C613" s="54">
        <v>113.46576899999999</v>
      </c>
      <c r="D613" s="26">
        <v>9.5138888888888884E-2</v>
      </c>
      <c r="F613" s="61" t="s">
        <v>4784</v>
      </c>
    </row>
    <row r="614" spans="1:6" x14ac:dyDescent="0.25">
      <c r="A614" s="15" t="s">
        <v>4279</v>
      </c>
      <c r="B614" s="15" t="s">
        <v>4285</v>
      </c>
      <c r="C614" s="52">
        <v>115.84438299999999</v>
      </c>
      <c r="D614" s="25">
        <v>0.1013888888888889</v>
      </c>
      <c r="F614" s="61" t="s">
        <v>4785</v>
      </c>
    </row>
    <row r="615" spans="1:6" x14ac:dyDescent="0.25">
      <c r="A615" s="15" t="s">
        <v>4279</v>
      </c>
      <c r="B615" s="15" t="s">
        <v>4286</v>
      </c>
      <c r="C615" s="54">
        <v>114.775001</v>
      </c>
      <c r="D615" s="26">
        <v>9.9999999999999992E-2</v>
      </c>
      <c r="F615" s="61" t="s">
        <v>4786</v>
      </c>
    </row>
    <row r="616" spans="1:6" x14ac:dyDescent="0.25">
      <c r="A616" s="15" t="s">
        <v>4279</v>
      </c>
      <c r="B616" s="15" t="s">
        <v>4287</v>
      </c>
      <c r="C616" s="52">
        <v>115.830713</v>
      </c>
      <c r="D616" s="25">
        <v>9.7916666666666666E-2</v>
      </c>
      <c r="F616" s="61" t="s">
        <v>4787</v>
      </c>
    </row>
    <row r="617" spans="1:6" x14ac:dyDescent="0.25">
      <c r="A617" s="15" t="s">
        <v>4279</v>
      </c>
      <c r="B617" s="15" t="s">
        <v>4288</v>
      </c>
      <c r="C617" s="54">
        <v>120.658779</v>
      </c>
      <c r="D617" s="26">
        <v>0.10277777777777779</v>
      </c>
      <c r="F617" s="61" t="s">
        <v>4788</v>
      </c>
    </row>
    <row r="618" spans="1:6" x14ac:dyDescent="0.25">
      <c r="A618" s="15" t="s">
        <v>4279</v>
      </c>
      <c r="B618" s="15" t="s">
        <v>4289</v>
      </c>
      <c r="C618" s="52">
        <v>74.016056000000006</v>
      </c>
      <c r="D618" s="25">
        <v>6.3888888888888884E-2</v>
      </c>
      <c r="F618" s="61" t="s">
        <v>4789</v>
      </c>
    </row>
    <row r="619" spans="1:6" x14ac:dyDescent="0.25">
      <c r="A619" s="15" t="s">
        <v>4279</v>
      </c>
      <c r="B619" s="15" t="s">
        <v>4290</v>
      </c>
      <c r="C619" s="54">
        <v>75.588128999999995</v>
      </c>
      <c r="D619" s="26">
        <v>6.6666666666666666E-2</v>
      </c>
      <c r="F619" s="61" t="s">
        <v>4790</v>
      </c>
    </row>
    <row r="620" spans="1:6" x14ac:dyDescent="0.25">
      <c r="A620" s="15" t="s">
        <v>4279</v>
      </c>
      <c r="B620" s="15" t="s">
        <v>4291</v>
      </c>
      <c r="C620" s="52">
        <v>75.189829000000003</v>
      </c>
      <c r="D620" s="25">
        <v>6.7361111111111108E-2</v>
      </c>
      <c r="F620" s="61" t="s">
        <v>4791</v>
      </c>
    </row>
    <row r="621" spans="1:6" x14ac:dyDescent="0.25">
      <c r="A621" s="15" t="s">
        <v>4279</v>
      </c>
      <c r="B621" s="15" t="s">
        <v>4292</v>
      </c>
      <c r="C621" s="54">
        <v>74.313072000000005</v>
      </c>
      <c r="D621" s="26">
        <v>6.6666666666666666E-2</v>
      </c>
      <c r="F621" s="61" t="s">
        <v>4792</v>
      </c>
    </row>
    <row r="622" spans="1:6" x14ac:dyDescent="0.25">
      <c r="A622" s="15" t="s">
        <v>4279</v>
      </c>
      <c r="B622" s="15" t="s">
        <v>4293</v>
      </c>
      <c r="C622" s="52">
        <v>83.463407000000004</v>
      </c>
      <c r="D622" s="25">
        <v>7.3611111111111113E-2</v>
      </c>
      <c r="F622" s="61" t="s">
        <v>4793</v>
      </c>
    </row>
    <row r="623" spans="1:6" x14ac:dyDescent="0.25">
      <c r="A623" s="15" t="s">
        <v>4279</v>
      </c>
      <c r="B623" s="15" t="s">
        <v>4294</v>
      </c>
      <c r="C623" s="54">
        <v>84.442690999999996</v>
      </c>
      <c r="D623" s="26">
        <v>7.5694444444444439E-2</v>
      </c>
      <c r="F623" s="61" t="s">
        <v>4794</v>
      </c>
    </row>
    <row r="624" spans="1:6" x14ac:dyDescent="0.25">
      <c r="A624" s="15" t="s">
        <v>4279</v>
      </c>
      <c r="B624" s="15" t="s">
        <v>4295</v>
      </c>
      <c r="C624" s="52">
        <v>87.263102000000003</v>
      </c>
      <c r="D624" s="25">
        <v>7.8472222222222221E-2</v>
      </c>
      <c r="F624" s="61" t="s">
        <v>4795</v>
      </c>
    </row>
    <row r="625" spans="1:6" x14ac:dyDescent="0.25">
      <c r="A625" s="15" t="s">
        <v>4279</v>
      </c>
      <c r="B625" s="15" t="s">
        <v>4296</v>
      </c>
      <c r="C625" s="54">
        <v>78.925522000000001</v>
      </c>
      <c r="D625" s="26">
        <v>6.8749999999999992E-2</v>
      </c>
      <c r="F625" s="61" t="s">
        <v>4796</v>
      </c>
    </row>
    <row r="626" spans="1:6" x14ac:dyDescent="0.25">
      <c r="A626" s="15" t="s">
        <v>4279</v>
      </c>
      <c r="B626" s="15" t="s">
        <v>4297</v>
      </c>
      <c r="C626" s="52">
        <v>85.242397999999994</v>
      </c>
      <c r="D626" s="25">
        <v>7.6388888888888895E-2</v>
      </c>
      <c r="F626" s="61" t="s">
        <v>4797</v>
      </c>
    </row>
    <row r="627" spans="1:6" x14ac:dyDescent="0.25">
      <c r="A627" s="15" t="s">
        <v>4279</v>
      </c>
      <c r="B627" s="15" t="s">
        <v>4298</v>
      </c>
      <c r="C627" s="54">
        <v>86.573999000000001</v>
      </c>
      <c r="D627" s="26">
        <v>8.2638888888888887E-2</v>
      </c>
      <c r="F627" s="61" t="s">
        <v>4798</v>
      </c>
    </row>
    <row r="628" spans="1:6" x14ac:dyDescent="0.25">
      <c r="A628" s="15" t="s">
        <v>4279</v>
      </c>
      <c r="B628" s="15" t="s">
        <v>4299</v>
      </c>
      <c r="C628" s="52">
        <v>88.836416999999997</v>
      </c>
      <c r="D628" s="25">
        <v>8.6805555555555566E-2</v>
      </c>
      <c r="F628" s="61" t="s">
        <v>4799</v>
      </c>
    </row>
    <row r="629" spans="1:6" x14ac:dyDescent="0.25">
      <c r="A629" s="15" t="s">
        <v>4279</v>
      </c>
      <c r="B629" s="15" t="s">
        <v>4300</v>
      </c>
      <c r="C629" s="54">
        <v>92.895846000000006</v>
      </c>
      <c r="D629" s="26">
        <v>9.5833333333333326E-2</v>
      </c>
      <c r="F629" s="61" t="s">
        <v>4800</v>
      </c>
    </row>
    <row r="630" spans="1:6" x14ac:dyDescent="0.25">
      <c r="A630" s="15" t="s">
        <v>4279</v>
      </c>
      <c r="B630" s="15" t="s">
        <v>4301</v>
      </c>
      <c r="C630" s="52">
        <v>78.298557000000002</v>
      </c>
      <c r="D630" s="25">
        <v>7.2222222222222229E-2</v>
      </c>
      <c r="F630" s="61" t="s">
        <v>4801</v>
      </c>
    </row>
    <row r="631" spans="1:6" x14ac:dyDescent="0.25">
      <c r="A631" s="15" t="s">
        <v>4279</v>
      </c>
      <c r="B631" s="15" t="s">
        <v>4302</v>
      </c>
      <c r="C631" s="54">
        <v>73.761915000000002</v>
      </c>
      <c r="D631" s="26">
        <v>6.805555555555555E-2</v>
      </c>
      <c r="F631" s="61" t="s">
        <v>4802</v>
      </c>
    </row>
    <row r="632" spans="1:6" x14ac:dyDescent="0.25">
      <c r="A632" s="15" t="s">
        <v>4279</v>
      </c>
      <c r="B632" s="15" t="s">
        <v>4303</v>
      </c>
      <c r="C632" s="52">
        <v>86.919483</v>
      </c>
      <c r="D632" s="25">
        <v>7.9861111111111105E-2</v>
      </c>
      <c r="F632" s="61" t="s">
        <v>4803</v>
      </c>
    </row>
    <row r="633" spans="1:6" x14ac:dyDescent="0.25">
      <c r="A633" s="15" t="s">
        <v>4279</v>
      </c>
      <c r="B633" s="15" t="s">
        <v>4304</v>
      </c>
      <c r="C633" s="54">
        <v>69.635378000000003</v>
      </c>
      <c r="D633" s="26">
        <v>6.7361111111111108E-2</v>
      </c>
      <c r="F633" s="61" t="s">
        <v>4804</v>
      </c>
    </row>
    <row r="634" spans="1:6" x14ac:dyDescent="0.25">
      <c r="A634" s="15" t="s">
        <v>4279</v>
      </c>
      <c r="B634" s="15" t="s">
        <v>4305</v>
      </c>
      <c r="C634" s="52">
        <v>77.306224999999998</v>
      </c>
      <c r="D634" s="25">
        <v>7.013888888888889E-2</v>
      </c>
      <c r="F634" s="61" t="s">
        <v>4805</v>
      </c>
    </row>
    <row r="635" spans="1:6" x14ac:dyDescent="0.25">
      <c r="A635" s="15" t="s">
        <v>4279</v>
      </c>
      <c r="B635" s="15" t="s">
        <v>4306</v>
      </c>
      <c r="C635" s="54">
        <v>70.297139999999999</v>
      </c>
      <c r="D635" s="26">
        <v>6.25E-2</v>
      </c>
      <c r="F635" s="61" t="s">
        <v>4806</v>
      </c>
    </row>
    <row r="636" spans="1:6" x14ac:dyDescent="0.25">
      <c r="A636" s="15" t="s">
        <v>4279</v>
      </c>
      <c r="B636" s="15" t="s">
        <v>4307</v>
      </c>
      <c r="C636" s="52">
        <v>69.200417999999999</v>
      </c>
      <c r="D636" s="25">
        <v>6.1111111111111116E-2</v>
      </c>
      <c r="F636" s="61" t="s">
        <v>4807</v>
      </c>
    </row>
    <row r="637" spans="1:6" x14ac:dyDescent="0.25">
      <c r="A637" s="15" t="s">
        <v>4279</v>
      </c>
      <c r="B637" s="15" t="s">
        <v>4308</v>
      </c>
      <c r="C637" s="54">
        <v>67.423912999999999</v>
      </c>
      <c r="D637" s="26">
        <v>5.9027777777777783E-2</v>
      </c>
      <c r="F637" s="61" t="s">
        <v>4808</v>
      </c>
    </row>
    <row r="638" spans="1:6" x14ac:dyDescent="0.25">
      <c r="A638" s="15" t="s">
        <v>4279</v>
      </c>
      <c r="B638" s="15" t="s">
        <v>4309</v>
      </c>
      <c r="C638" s="52">
        <v>141.664906</v>
      </c>
      <c r="D638" s="25">
        <v>0.12222222222222223</v>
      </c>
      <c r="F638" s="61" t="s">
        <v>4809</v>
      </c>
    </row>
    <row r="639" spans="1:6" x14ac:dyDescent="0.25">
      <c r="A639" s="15" t="s">
        <v>4279</v>
      </c>
      <c r="B639" s="15" t="s">
        <v>4310</v>
      </c>
      <c r="C639" s="54">
        <v>143.226416</v>
      </c>
      <c r="D639" s="26">
        <v>0.12569444444444444</v>
      </c>
      <c r="F639" s="61" t="s">
        <v>4810</v>
      </c>
    </row>
    <row r="640" spans="1:6" x14ac:dyDescent="0.25">
      <c r="A640" s="15" t="s">
        <v>4279</v>
      </c>
      <c r="B640" s="15" t="s">
        <v>4311</v>
      </c>
      <c r="C640" s="52">
        <v>132.52016399999999</v>
      </c>
      <c r="D640" s="25">
        <v>0.11666666666666665</v>
      </c>
      <c r="F640" s="61" t="s">
        <v>4811</v>
      </c>
    </row>
    <row r="641" spans="1:6" x14ac:dyDescent="0.25">
      <c r="A641" s="15" t="s">
        <v>4279</v>
      </c>
      <c r="B641" s="15" t="s">
        <v>4312</v>
      </c>
      <c r="C641" s="54">
        <v>129.23248000000001</v>
      </c>
      <c r="D641" s="26">
        <v>0.10902777777777778</v>
      </c>
      <c r="F641" s="61" t="s">
        <v>4812</v>
      </c>
    </row>
    <row r="642" spans="1:6" x14ac:dyDescent="0.25">
      <c r="A642" s="15" t="s">
        <v>4279</v>
      </c>
      <c r="B642" s="15" t="s">
        <v>4313</v>
      </c>
      <c r="C642" s="52">
        <v>147.90659500000001</v>
      </c>
      <c r="D642" s="25">
        <v>0.1277777777777778</v>
      </c>
      <c r="F642" s="61" t="s">
        <v>4813</v>
      </c>
    </row>
    <row r="643" spans="1:6" x14ac:dyDescent="0.25">
      <c r="A643" s="15" t="s">
        <v>4279</v>
      </c>
      <c r="B643" s="15" t="s">
        <v>4314</v>
      </c>
      <c r="C643" s="54">
        <v>82.858189999999993</v>
      </c>
      <c r="D643" s="26">
        <v>7.3611111111111113E-2</v>
      </c>
      <c r="F643" s="61" t="s">
        <v>4814</v>
      </c>
    </row>
    <row r="644" spans="1:6" x14ac:dyDescent="0.25">
      <c r="A644" s="15" t="s">
        <v>4279</v>
      </c>
      <c r="B644" s="15" t="s">
        <v>4315</v>
      </c>
      <c r="C644" s="52">
        <v>87.151255000000006</v>
      </c>
      <c r="D644" s="25">
        <v>8.3333333333333329E-2</v>
      </c>
      <c r="F644" s="61" t="s">
        <v>4815</v>
      </c>
    </row>
    <row r="645" spans="1:6" x14ac:dyDescent="0.25">
      <c r="A645" s="15" t="s">
        <v>4279</v>
      </c>
      <c r="B645" s="15" t="s">
        <v>4316</v>
      </c>
      <c r="C645" s="54">
        <v>71.631849000000003</v>
      </c>
      <c r="D645" s="26">
        <v>6.7361111111111108E-2</v>
      </c>
      <c r="F645" s="61" t="s">
        <v>4816</v>
      </c>
    </row>
    <row r="646" spans="1:6" x14ac:dyDescent="0.25">
      <c r="A646" s="15" t="s">
        <v>4279</v>
      </c>
      <c r="B646" s="15" t="s">
        <v>4317</v>
      </c>
      <c r="C646" s="52">
        <v>116.753452</v>
      </c>
      <c r="D646" s="25">
        <v>9.6527777777777768E-2</v>
      </c>
      <c r="F646" s="61" t="s">
        <v>4817</v>
      </c>
    </row>
    <row r="647" spans="1:6" x14ac:dyDescent="0.25">
      <c r="A647" s="15" t="s">
        <v>4279</v>
      </c>
      <c r="B647" s="15" t="s">
        <v>4318</v>
      </c>
      <c r="C647" s="54">
        <v>125.86463999999999</v>
      </c>
      <c r="D647" s="26">
        <v>0.10486111111111111</v>
      </c>
      <c r="F647" s="61" t="s">
        <v>4818</v>
      </c>
    </row>
    <row r="648" spans="1:6" x14ac:dyDescent="0.25">
      <c r="A648" s="15" t="s">
        <v>4279</v>
      </c>
      <c r="B648" s="15" t="s">
        <v>4319</v>
      </c>
      <c r="C648" s="52">
        <v>119.502405</v>
      </c>
      <c r="D648" s="25">
        <v>0.10069444444444443</v>
      </c>
      <c r="F648" s="61" t="s">
        <v>4819</v>
      </c>
    </row>
    <row r="649" spans="1:6" x14ac:dyDescent="0.25">
      <c r="A649" s="15" t="s">
        <v>4279</v>
      </c>
      <c r="B649" s="15" t="s">
        <v>4320</v>
      </c>
      <c r="C649" s="54">
        <v>144.26038</v>
      </c>
      <c r="D649" s="26">
        <v>0.12361111111111112</v>
      </c>
      <c r="F649" s="61" t="s">
        <v>4820</v>
      </c>
    </row>
    <row r="650" spans="1:6" x14ac:dyDescent="0.25">
      <c r="A650" s="15" t="s">
        <v>4279</v>
      </c>
      <c r="B650" s="15" t="s">
        <v>4321</v>
      </c>
      <c r="C650" s="52">
        <v>144.07956100000001</v>
      </c>
      <c r="D650" s="25">
        <v>0.12222222222222223</v>
      </c>
      <c r="F650" s="61" t="s">
        <v>4821</v>
      </c>
    </row>
    <row r="651" spans="1:6" x14ac:dyDescent="0.25">
      <c r="A651" s="15" t="s">
        <v>4280</v>
      </c>
      <c r="B651" s="15">
        <v>3423909</v>
      </c>
      <c r="C651" s="54">
        <v>60.919383000000003</v>
      </c>
      <c r="D651" s="26">
        <v>5.8333333333333327E-2</v>
      </c>
      <c r="F651" s="61" t="s">
        <v>7025</v>
      </c>
    </row>
    <row r="652" spans="1:6" x14ac:dyDescent="0.25">
      <c r="A652" s="15" t="s">
        <v>4280</v>
      </c>
      <c r="B652" s="15">
        <v>3403208</v>
      </c>
      <c r="C652" s="52">
        <v>166.59003100000001</v>
      </c>
      <c r="D652" s="25">
        <v>0.14027777777777778</v>
      </c>
      <c r="F652" s="61" t="s">
        <v>7130</v>
      </c>
    </row>
    <row r="653" spans="1:6" x14ac:dyDescent="0.25">
      <c r="A653" s="15" t="s">
        <v>4280</v>
      </c>
      <c r="B653" s="15">
        <v>3424402</v>
      </c>
      <c r="C653" s="54">
        <v>55.425826999999998</v>
      </c>
      <c r="D653" s="26">
        <v>5.6944444444444443E-2</v>
      </c>
      <c r="F653" s="61" t="s">
        <v>7237</v>
      </c>
    </row>
    <row r="654" spans="1:6" x14ac:dyDescent="0.25">
      <c r="A654" s="15" t="s">
        <v>4280</v>
      </c>
      <c r="B654" s="15" t="s">
        <v>4271</v>
      </c>
      <c r="C654" s="52">
        <v>56.675407</v>
      </c>
      <c r="D654" s="25">
        <v>5.486111111111111E-2</v>
      </c>
      <c r="F654" s="61" t="s">
        <v>4822</v>
      </c>
    </row>
    <row r="655" spans="1:6" x14ac:dyDescent="0.25">
      <c r="A655" s="15" t="s">
        <v>4280</v>
      </c>
      <c r="B655" s="15" t="s">
        <v>4272</v>
      </c>
      <c r="C655" s="54">
        <v>60.443412000000002</v>
      </c>
      <c r="D655" s="26">
        <v>6.0416666666666667E-2</v>
      </c>
      <c r="F655" s="61" t="s">
        <v>4823</v>
      </c>
    </row>
    <row r="656" spans="1:6" x14ac:dyDescent="0.25">
      <c r="A656" s="15" t="s">
        <v>4280</v>
      </c>
      <c r="B656" s="15" t="s">
        <v>4273</v>
      </c>
      <c r="C656" s="52">
        <v>58.422707000000003</v>
      </c>
      <c r="D656" s="25">
        <v>5.7638888888888885E-2</v>
      </c>
      <c r="F656" s="61" t="s">
        <v>4824</v>
      </c>
    </row>
    <row r="657" spans="1:6" x14ac:dyDescent="0.25">
      <c r="A657" s="15" t="s">
        <v>4280</v>
      </c>
      <c r="B657" s="15" t="s">
        <v>4274</v>
      </c>
      <c r="C657" s="54">
        <v>68.579666000000003</v>
      </c>
      <c r="D657" s="26">
        <v>6.458333333333334E-2</v>
      </c>
      <c r="F657" s="61" t="s">
        <v>4825</v>
      </c>
    </row>
    <row r="658" spans="1:6" x14ac:dyDescent="0.25">
      <c r="A658" s="15" t="s">
        <v>4280</v>
      </c>
      <c r="B658" s="15" t="s">
        <v>4275</v>
      </c>
      <c r="C658" s="52">
        <v>68.672871999999998</v>
      </c>
      <c r="D658" s="25">
        <v>6.458333333333334E-2</v>
      </c>
      <c r="F658" s="61" t="s">
        <v>4826</v>
      </c>
    </row>
    <row r="659" spans="1:6" x14ac:dyDescent="0.25">
      <c r="A659" s="15" t="s">
        <v>4280</v>
      </c>
      <c r="B659" s="15" t="s">
        <v>4276</v>
      </c>
      <c r="C659" s="54">
        <v>51.048256000000002</v>
      </c>
      <c r="D659" s="26">
        <v>5.347222222222222E-2</v>
      </c>
      <c r="F659" s="61" t="s">
        <v>4827</v>
      </c>
    </row>
    <row r="660" spans="1:6" x14ac:dyDescent="0.25">
      <c r="A660" s="15" t="s">
        <v>4280</v>
      </c>
      <c r="B660" s="15" t="s">
        <v>4277</v>
      </c>
      <c r="C660" s="52">
        <v>55.766339000000002</v>
      </c>
      <c r="D660" s="25">
        <v>5.4166666666666669E-2</v>
      </c>
      <c r="F660" s="61" t="s">
        <v>4828</v>
      </c>
    </row>
    <row r="661" spans="1:6" x14ac:dyDescent="0.25">
      <c r="A661" s="15" t="s">
        <v>4280</v>
      </c>
      <c r="B661" s="15" t="s">
        <v>4278</v>
      </c>
      <c r="C661" s="54">
        <v>64.796127999999996</v>
      </c>
      <c r="D661" s="26">
        <v>6.1805555555555558E-2</v>
      </c>
      <c r="F661" s="61" t="s">
        <v>4829</v>
      </c>
    </row>
    <row r="662" spans="1:6" x14ac:dyDescent="0.25">
      <c r="A662" s="15" t="s">
        <v>4280</v>
      </c>
      <c r="B662" s="15" t="s">
        <v>4279</v>
      </c>
      <c r="C662" s="52">
        <v>76.808504999999997</v>
      </c>
      <c r="D662" s="25">
        <v>7.2916666666666671E-2</v>
      </c>
      <c r="F662" s="61" t="s">
        <v>4830</v>
      </c>
    </row>
    <row r="663" spans="1:6" x14ac:dyDescent="0.25">
      <c r="A663" s="15" t="s">
        <v>4280</v>
      </c>
      <c r="B663" s="15" t="s">
        <v>4280</v>
      </c>
      <c r="C663" s="54">
        <v>0</v>
      </c>
      <c r="D663" s="26">
        <v>0</v>
      </c>
      <c r="F663" s="61" t="s">
        <v>4831</v>
      </c>
    </row>
    <row r="664" spans="1:6" x14ac:dyDescent="0.25">
      <c r="A664" s="15" t="s">
        <v>4280</v>
      </c>
      <c r="B664" s="15" t="s">
        <v>4281</v>
      </c>
      <c r="C664" s="52">
        <v>94.029850999999994</v>
      </c>
      <c r="D664" s="25">
        <v>8.1250000000000003E-2</v>
      </c>
      <c r="F664" s="61" t="s">
        <v>4832</v>
      </c>
    </row>
    <row r="665" spans="1:6" x14ac:dyDescent="0.25">
      <c r="A665" s="15" t="s">
        <v>4280</v>
      </c>
      <c r="B665" s="15" t="s">
        <v>4282</v>
      </c>
      <c r="C665" s="54">
        <v>54.467049000000003</v>
      </c>
      <c r="D665" s="26">
        <v>5.6944444444444443E-2</v>
      </c>
      <c r="F665" s="61" t="s">
        <v>4833</v>
      </c>
    </row>
    <row r="666" spans="1:6" x14ac:dyDescent="0.25">
      <c r="A666" s="15" t="s">
        <v>4280</v>
      </c>
      <c r="B666" s="15" t="s">
        <v>4283</v>
      </c>
      <c r="C666" s="52">
        <v>62.351025999999997</v>
      </c>
      <c r="D666" s="25">
        <v>6.25E-2</v>
      </c>
      <c r="F666" s="61" t="s">
        <v>4834</v>
      </c>
    </row>
    <row r="667" spans="1:6" x14ac:dyDescent="0.25">
      <c r="A667" s="15" t="s">
        <v>4280</v>
      </c>
      <c r="B667" s="15" t="s">
        <v>4284</v>
      </c>
      <c r="C667" s="54">
        <v>60.413586000000002</v>
      </c>
      <c r="D667" s="26">
        <v>5.9722222222222225E-2</v>
      </c>
      <c r="F667" s="61" t="s">
        <v>4835</v>
      </c>
    </row>
    <row r="668" spans="1:6" x14ac:dyDescent="0.25">
      <c r="A668" s="15" t="s">
        <v>4280</v>
      </c>
      <c r="B668" s="15" t="s">
        <v>4285</v>
      </c>
      <c r="C668" s="52">
        <v>62.792200999999999</v>
      </c>
      <c r="D668" s="25">
        <v>6.5972222222222224E-2</v>
      </c>
      <c r="F668" s="61" t="s">
        <v>4836</v>
      </c>
    </row>
    <row r="669" spans="1:6" x14ac:dyDescent="0.25">
      <c r="A669" s="15" t="s">
        <v>4280</v>
      </c>
      <c r="B669" s="15" t="s">
        <v>4286</v>
      </c>
      <c r="C669" s="54">
        <v>61.722817999999997</v>
      </c>
      <c r="D669" s="26">
        <v>6.3888888888888884E-2</v>
      </c>
      <c r="F669" s="61" t="s">
        <v>4837</v>
      </c>
    </row>
    <row r="670" spans="1:6" x14ac:dyDescent="0.25">
      <c r="A670" s="15" t="s">
        <v>4280</v>
      </c>
      <c r="B670" s="15" t="s">
        <v>4287</v>
      </c>
      <c r="C670" s="52">
        <v>62.778530000000003</v>
      </c>
      <c r="D670" s="25">
        <v>6.25E-2</v>
      </c>
      <c r="F670" s="61" t="s">
        <v>4838</v>
      </c>
    </row>
    <row r="671" spans="1:6" x14ac:dyDescent="0.25">
      <c r="A671" s="15" t="s">
        <v>4280</v>
      </c>
      <c r="B671" s="15" t="s">
        <v>4288</v>
      </c>
      <c r="C671" s="54">
        <v>67.606595999999996</v>
      </c>
      <c r="D671" s="26">
        <v>6.7361111111111108E-2</v>
      </c>
      <c r="F671" s="61" t="s">
        <v>4839</v>
      </c>
    </row>
    <row r="672" spans="1:6" x14ac:dyDescent="0.25">
      <c r="A672" s="15" t="s">
        <v>4280</v>
      </c>
      <c r="B672" s="15" t="s">
        <v>4289</v>
      </c>
      <c r="C672" s="52">
        <v>5.9807129999999997</v>
      </c>
      <c r="D672" s="25">
        <v>1.3194444444444444E-2</v>
      </c>
      <c r="F672" s="61" t="s">
        <v>4840</v>
      </c>
    </row>
    <row r="673" spans="1:6" x14ac:dyDescent="0.25">
      <c r="A673" s="15" t="s">
        <v>4280</v>
      </c>
      <c r="B673" s="15" t="s">
        <v>4290</v>
      </c>
      <c r="C673" s="54">
        <v>11.224477</v>
      </c>
      <c r="D673" s="26">
        <v>2.1527777777777781E-2</v>
      </c>
      <c r="F673" s="61" t="s">
        <v>4841</v>
      </c>
    </row>
    <row r="674" spans="1:6" x14ac:dyDescent="0.25">
      <c r="A674" s="15" t="s">
        <v>4280</v>
      </c>
      <c r="B674" s="15" t="s">
        <v>4291</v>
      </c>
      <c r="C674" s="52">
        <v>9.1335580000000007</v>
      </c>
      <c r="D674" s="25">
        <v>2.1527777777777781E-2</v>
      </c>
      <c r="F674" s="61" t="s">
        <v>4842</v>
      </c>
    </row>
    <row r="675" spans="1:6" x14ac:dyDescent="0.25">
      <c r="A675" s="15" t="s">
        <v>4280</v>
      </c>
      <c r="B675" s="15" t="s">
        <v>4292</v>
      </c>
      <c r="C675" s="54">
        <v>7.3887429999999998</v>
      </c>
      <c r="D675" s="26">
        <v>1.7361111111111112E-2</v>
      </c>
      <c r="F675" s="61" t="s">
        <v>4843</v>
      </c>
    </row>
    <row r="676" spans="1:6" x14ac:dyDescent="0.25">
      <c r="A676" s="15" t="s">
        <v>4280</v>
      </c>
      <c r="B676" s="15" t="s">
        <v>4293</v>
      </c>
      <c r="C676" s="52">
        <v>15.980464</v>
      </c>
      <c r="D676" s="25">
        <v>2.8472222222222222E-2</v>
      </c>
      <c r="F676" s="61" t="s">
        <v>4844</v>
      </c>
    </row>
    <row r="677" spans="1:6" x14ac:dyDescent="0.25">
      <c r="A677" s="15" t="s">
        <v>4280</v>
      </c>
      <c r="B677" s="15" t="s">
        <v>4294</v>
      </c>
      <c r="C677" s="54">
        <v>16.959747</v>
      </c>
      <c r="D677" s="26">
        <v>3.0555555555555555E-2</v>
      </c>
      <c r="F677" s="61" t="s">
        <v>4845</v>
      </c>
    </row>
    <row r="678" spans="1:6" x14ac:dyDescent="0.25">
      <c r="A678" s="15" t="s">
        <v>4280</v>
      </c>
      <c r="B678" s="15" t="s">
        <v>4295</v>
      </c>
      <c r="C678" s="52">
        <v>18.355972000000001</v>
      </c>
      <c r="D678" s="25">
        <v>3.4722222222222224E-2</v>
      </c>
      <c r="F678" s="61" t="s">
        <v>4846</v>
      </c>
    </row>
    <row r="679" spans="1:6" x14ac:dyDescent="0.25">
      <c r="A679" s="15" t="s">
        <v>4280</v>
      </c>
      <c r="B679" s="15" t="s">
        <v>4296</v>
      </c>
      <c r="C679" s="54">
        <v>19.937366000000001</v>
      </c>
      <c r="D679" s="26">
        <v>3.0555555555555555E-2</v>
      </c>
      <c r="F679" s="61" t="s">
        <v>4847</v>
      </c>
    </row>
    <row r="680" spans="1:6" x14ac:dyDescent="0.25">
      <c r="A680" s="15" t="s">
        <v>4280</v>
      </c>
      <c r="B680" s="15" t="s">
        <v>4297</v>
      </c>
      <c r="C680" s="52">
        <v>17.759454000000002</v>
      </c>
      <c r="D680" s="25">
        <v>3.125E-2</v>
      </c>
      <c r="F680" s="61" t="s">
        <v>4848</v>
      </c>
    </row>
    <row r="681" spans="1:6" x14ac:dyDescent="0.25">
      <c r="A681" s="15" t="s">
        <v>4280</v>
      </c>
      <c r="B681" s="15" t="s">
        <v>4298</v>
      </c>
      <c r="C681" s="54">
        <v>17.322008</v>
      </c>
      <c r="D681" s="26">
        <v>3.6111111111111115E-2</v>
      </c>
      <c r="F681" s="61" t="s">
        <v>4849</v>
      </c>
    </row>
    <row r="682" spans="1:6" x14ac:dyDescent="0.25">
      <c r="A682" s="15" t="s">
        <v>4280</v>
      </c>
      <c r="B682" s="15" t="s">
        <v>4299</v>
      </c>
      <c r="C682" s="52">
        <v>20.792995999999999</v>
      </c>
      <c r="D682" s="25">
        <v>3.6805555555555557E-2</v>
      </c>
      <c r="F682" s="61" t="s">
        <v>4850</v>
      </c>
    </row>
    <row r="683" spans="1:6" x14ac:dyDescent="0.25">
      <c r="A683" s="15" t="s">
        <v>4280</v>
      </c>
      <c r="B683" s="15" t="s">
        <v>4300</v>
      </c>
      <c r="C683" s="54">
        <v>24.852423999999999</v>
      </c>
      <c r="D683" s="26">
        <v>4.5833333333333337E-2</v>
      </c>
      <c r="F683" s="61" t="s">
        <v>4851</v>
      </c>
    </row>
    <row r="684" spans="1:6" x14ac:dyDescent="0.25">
      <c r="A684" s="15" t="s">
        <v>4280</v>
      </c>
      <c r="B684" s="15" t="s">
        <v>4301</v>
      </c>
      <c r="C684" s="52">
        <v>13.939876</v>
      </c>
      <c r="D684" s="25">
        <v>2.7083333333333334E-2</v>
      </c>
      <c r="F684" s="61" t="s">
        <v>4852</v>
      </c>
    </row>
    <row r="685" spans="1:6" x14ac:dyDescent="0.25">
      <c r="A685" s="15" t="s">
        <v>4280</v>
      </c>
      <c r="B685" s="15" t="s">
        <v>4302</v>
      </c>
      <c r="C685" s="54">
        <v>8.9813220000000005</v>
      </c>
      <c r="D685" s="26">
        <v>1.9444444444444445E-2</v>
      </c>
      <c r="F685" s="61" t="s">
        <v>4853</v>
      </c>
    </row>
    <row r="686" spans="1:6" x14ac:dyDescent="0.25">
      <c r="A686" s="15" t="s">
        <v>4280</v>
      </c>
      <c r="B686" s="15" t="s">
        <v>4303</v>
      </c>
      <c r="C686" s="52">
        <v>5.7234639999999999</v>
      </c>
      <c r="D686" s="25">
        <v>1.5972222222222224E-2</v>
      </c>
      <c r="F686" s="61" t="s">
        <v>4854</v>
      </c>
    </row>
    <row r="687" spans="1:6" x14ac:dyDescent="0.25">
      <c r="A687" s="15" t="s">
        <v>4280</v>
      </c>
      <c r="B687" s="15" t="s">
        <v>4304</v>
      </c>
      <c r="C687" s="54">
        <v>18.647396000000001</v>
      </c>
      <c r="D687" s="26">
        <v>3.1944444444444449E-2</v>
      </c>
      <c r="F687" s="61" t="s">
        <v>4855</v>
      </c>
    </row>
    <row r="688" spans="1:6" x14ac:dyDescent="0.25">
      <c r="A688" s="15" t="s">
        <v>4280</v>
      </c>
      <c r="B688" s="15" t="s">
        <v>4305</v>
      </c>
      <c r="C688" s="52">
        <v>19.243292</v>
      </c>
      <c r="D688" s="25">
        <v>3.125E-2</v>
      </c>
      <c r="F688" s="61" t="s">
        <v>4856</v>
      </c>
    </row>
    <row r="689" spans="1:6" x14ac:dyDescent="0.25">
      <c r="A689" s="15" t="s">
        <v>4280</v>
      </c>
      <c r="B689" s="15" t="s">
        <v>4306</v>
      </c>
      <c r="C689" s="54">
        <v>143.52591699999999</v>
      </c>
      <c r="D689" s="26">
        <v>0.125</v>
      </c>
      <c r="F689" s="61" t="s">
        <v>4857</v>
      </c>
    </row>
    <row r="690" spans="1:6" x14ac:dyDescent="0.25">
      <c r="A690" s="15" t="s">
        <v>4280</v>
      </c>
      <c r="B690" s="15" t="s">
        <v>4307</v>
      </c>
      <c r="C690" s="52">
        <v>142.42919499999999</v>
      </c>
      <c r="D690" s="25">
        <v>0.12361111111111112</v>
      </c>
      <c r="F690" s="61" t="s">
        <v>4858</v>
      </c>
    </row>
    <row r="691" spans="1:6" x14ac:dyDescent="0.25">
      <c r="A691" s="15" t="s">
        <v>4280</v>
      </c>
      <c r="B691" s="15" t="s">
        <v>4308</v>
      </c>
      <c r="C691" s="54">
        <v>140.65269000000001</v>
      </c>
      <c r="D691" s="26">
        <v>0.12152777777777778</v>
      </c>
      <c r="F691" s="61" t="s">
        <v>4859</v>
      </c>
    </row>
    <row r="692" spans="1:6" x14ac:dyDescent="0.25">
      <c r="A692" s="15" t="s">
        <v>4280</v>
      </c>
      <c r="B692" s="15" t="s">
        <v>4309</v>
      </c>
      <c r="C692" s="52">
        <v>88.612723000000003</v>
      </c>
      <c r="D692" s="25">
        <v>8.6805555555555566E-2</v>
      </c>
      <c r="F692" s="61" t="s">
        <v>4860</v>
      </c>
    </row>
    <row r="693" spans="1:6" x14ac:dyDescent="0.25">
      <c r="A693" s="15" t="s">
        <v>4280</v>
      </c>
      <c r="B693" s="15" t="s">
        <v>4310</v>
      </c>
      <c r="C693" s="54">
        <v>90.174233000000001</v>
      </c>
      <c r="D693" s="26">
        <v>9.0277777777777776E-2</v>
      </c>
      <c r="F693" s="61" t="s">
        <v>4861</v>
      </c>
    </row>
    <row r="694" spans="1:6" x14ac:dyDescent="0.25">
      <c r="A694" s="15" t="s">
        <v>4280</v>
      </c>
      <c r="B694" s="15" t="s">
        <v>4311</v>
      </c>
      <c r="C694" s="52">
        <v>79.651285999999999</v>
      </c>
      <c r="D694" s="25">
        <v>8.1250000000000003E-2</v>
      </c>
      <c r="F694" s="61" t="s">
        <v>4862</v>
      </c>
    </row>
    <row r="695" spans="1:6" x14ac:dyDescent="0.25">
      <c r="A695" s="15" t="s">
        <v>4280</v>
      </c>
      <c r="B695" s="15" t="s">
        <v>4312</v>
      </c>
      <c r="C695" s="54">
        <v>76.180297999999993</v>
      </c>
      <c r="D695" s="26">
        <v>7.3611111111111113E-2</v>
      </c>
      <c r="F695" s="61" t="s">
        <v>4863</v>
      </c>
    </row>
    <row r="696" spans="1:6" x14ac:dyDescent="0.25">
      <c r="A696" s="15" t="s">
        <v>4280</v>
      </c>
      <c r="B696" s="15" t="s">
        <v>4313</v>
      </c>
      <c r="C696" s="52">
        <v>98.833061999999998</v>
      </c>
      <c r="D696" s="25">
        <v>9.4444444444444442E-2</v>
      </c>
      <c r="F696" s="61" t="s">
        <v>4864</v>
      </c>
    </row>
    <row r="697" spans="1:6" x14ac:dyDescent="0.25">
      <c r="A697" s="15" t="s">
        <v>4280</v>
      </c>
      <c r="B697" s="15" t="s">
        <v>4314</v>
      </c>
      <c r="C697" s="54">
        <v>62.598953999999999</v>
      </c>
      <c r="D697" s="26">
        <v>6.7361111111111108E-2</v>
      </c>
      <c r="F697" s="61" t="s">
        <v>4865</v>
      </c>
    </row>
    <row r="698" spans="1:6" x14ac:dyDescent="0.25">
      <c r="A698" s="15" t="s">
        <v>4280</v>
      </c>
      <c r="B698" s="15" t="s">
        <v>4315</v>
      </c>
      <c r="C698" s="52">
        <v>69.119017999999997</v>
      </c>
      <c r="D698" s="25">
        <v>7.2222222222222229E-2</v>
      </c>
      <c r="F698" s="61" t="s">
        <v>4866</v>
      </c>
    </row>
    <row r="699" spans="1:6" x14ac:dyDescent="0.25">
      <c r="A699" s="15" t="s">
        <v>4280</v>
      </c>
      <c r="B699" s="15" t="s">
        <v>4316</v>
      </c>
      <c r="C699" s="54">
        <v>60.671455000000002</v>
      </c>
      <c r="D699" s="26">
        <v>6.458333333333334E-2</v>
      </c>
      <c r="F699" s="61" t="s">
        <v>4867</v>
      </c>
    </row>
    <row r="700" spans="1:6" x14ac:dyDescent="0.25">
      <c r="A700" s="15" t="s">
        <v>4280</v>
      </c>
      <c r="B700" s="15" t="s">
        <v>4317</v>
      </c>
      <c r="C700" s="52">
        <v>189.98222899999999</v>
      </c>
      <c r="D700" s="25">
        <v>0.15972222222222224</v>
      </c>
      <c r="F700" s="61" t="s">
        <v>4868</v>
      </c>
    </row>
    <row r="701" spans="1:6" x14ac:dyDescent="0.25">
      <c r="A701" s="15" t="s">
        <v>4280</v>
      </c>
      <c r="B701" s="15" t="s">
        <v>4318</v>
      </c>
      <c r="C701" s="54">
        <v>199.09341699999999</v>
      </c>
      <c r="D701" s="26">
        <v>0.16805555555555554</v>
      </c>
      <c r="F701" s="61" t="s">
        <v>4869</v>
      </c>
    </row>
    <row r="702" spans="1:6" x14ac:dyDescent="0.25">
      <c r="A702" s="15" t="s">
        <v>4280</v>
      </c>
      <c r="B702" s="15" t="s">
        <v>4319</v>
      </c>
      <c r="C702" s="52">
        <v>192.73118199999999</v>
      </c>
      <c r="D702" s="25">
        <v>0.16388888888888889</v>
      </c>
      <c r="F702" s="61" t="s">
        <v>4870</v>
      </c>
    </row>
    <row r="703" spans="1:6" x14ac:dyDescent="0.25">
      <c r="A703" s="15" t="s">
        <v>4280</v>
      </c>
      <c r="B703" s="15" t="s">
        <v>4320</v>
      </c>
      <c r="C703" s="54">
        <v>203.691575</v>
      </c>
      <c r="D703" s="26">
        <v>0.17361111111111113</v>
      </c>
      <c r="F703" s="61" t="s">
        <v>4871</v>
      </c>
    </row>
    <row r="704" spans="1:6" x14ac:dyDescent="0.25">
      <c r="A704" s="15" t="s">
        <v>4280</v>
      </c>
      <c r="B704" s="15" t="s">
        <v>4321</v>
      </c>
      <c r="C704" s="52">
        <v>202.59050300000001</v>
      </c>
      <c r="D704" s="25">
        <v>0.17152777777777775</v>
      </c>
      <c r="F704" s="61" t="s">
        <v>4872</v>
      </c>
    </row>
    <row r="705" spans="1:6" x14ac:dyDescent="0.25">
      <c r="A705" s="15" t="s">
        <v>4281</v>
      </c>
      <c r="B705" s="15">
        <v>3423909</v>
      </c>
      <c r="C705" s="54">
        <v>42.343445000000003</v>
      </c>
      <c r="D705" s="26">
        <v>4.0972222222222222E-2</v>
      </c>
      <c r="F705" s="61" t="s">
        <v>7026</v>
      </c>
    </row>
    <row r="706" spans="1:6" x14ac:dyDescent="0.25">
      <c r="A706" s="15" t="s">
        <v>4281</v>
      </c>
      <c r="B706" s="15">
        <v>3403208</v>
      </c>
      <c r="C706" s="52">
        <v>85.083946999999995</v>
      </c>
      <c r="D706" s="25">
        <v>6.9444444444444434E-2</v>
      </c>
      <c r="F706" s="61" t="s">
        <v>7131</v>
      </c>
    </row>
    <row r="707" spans="1:6" x14ac:dyDescent="0.25">
      <c r="A707" s="15" t="s">
        <v>4281</v>
      </c>
      <c r="B707" s="15">
        <v>3424402</v>
      </c>
      <c r="C707" s="54">
        <v>128.460114</v>
      </c>
      <c r="D707" s="26">
        <v>0.10694444444444444</v>
      </c>
      <c r="F707" s="61" t="s">
        <v>7238</v>
      </c>
    </row>
    <row r="708" spans="1:6" x14ac:dyDescent="0.25">
      <c r="A708" s="15" t="s">
        <v>4281</v>
      </c>
      <c r="B708" s="15" t="s">
        <v>4271</v>
      </c>
      <c r="C708" s="52">
        <v>51.184336000000002</v>
      </c>
      <c r="D708" s="25">
        <v>4.3750000000000004E-2</v>
      </c>
      <c r="F708" s="61" t="s">
        <v>4873</v>
      </c>
    </row>
    <row r="709" spans="1:6" x14ac:dyDescent="0.25">
      <c r="A709" s="15" t="s">
        <v>4281</v>
      </c>
      <c r="B709" s="15" t="s">
        <v>4272</v>
      </c>
      <c r="C709" s="54">
        <v>42.558439999999997</v>
      </c>
      <c r="D709" s="26">
        <v>4.027777777777778E-2</v>
      </c>
      <c r="F709" s="61" t="s">
        <v>4874</v>
      </c>
    </row>
    <row r="710" spans="1:6" x14ac:dyDescent="0.25">
      <c r="A710" s="15" t="s">
        <v>4281</v>
      </c>
      <c r="B710" s="15" t="s">
        <v>4273</v>
      </c>
      <c r="C710" s="52">
        <v>44.113736000000003</v>
      </c>
      <c r="D710" s="25">
        <v>4.3750000000000004E-2</v>
      </c>
      <c r="F710" s="61" t="s">
        <v>4875</v>
      </c>
    </row>
    <row r="711" spans="1:6" x14ac:dyDescent="0.25">
      <c r="A711" s="15" t="s">
        <v>4281</v>
      </c>
      <c r="B711" s="15" t="s">
        <v>4274</v>
      </c>
      <c r="C711" s="54">
        <v>41.525097000000002</v>
      </c>
      <c r="D711" s="26">
        <v>3.8194444444444441E-2</v>
      </c>
      <c r="F711" s="61" t="s">
        <v>4876</v>
      </c>
    </row>
    <row r="712" spans="1:6" x14ac:dyDescent="0.25">
      <c r="A712" s="15" t="s">
        <v>4281</v>
      </c>
      <c r="B712" s="15" t="s">
        <v>4275</v>
      </c>
      <c r="C712" s="52">
        <v>41.618302999999997</v>
      </c>
      <c r="D712" s="25">
        <v>3.8194444444444441E-2</v>
      </c>
      <c r="F712" s="61" t="s">
        <v>4877</v>
      </c>
    </row>
    <row r="713" spans="1:6" x14ac:dyDescent="0.25">
      <c r="A713" s="15" t="s">
        <v>4281</v>
      </c>
      <c r="B713" s="15" t="s">
        <v>4276</v>
      </c>
      <c r="C713" s="54">
        <v>51.875303000000002</v>
      </c>
      <c r="D713" s="26">
        <v>4.3750000000000004E-2</v>
      </c>
      <c r="F713" s="61" t="s">
        <v>4878</v>
      </c>
    </row>
    <row r="714" spans="1:6" x14ac:dyDescent="0.25">
      <c r="A714" s="15" t="s">
        <v>4281</v>
      </c>
      <c r="B714" s="15" t="s">
        <v>4277</v>
      </c>
      <c r="C714" s="52">
        <v>43.798079000000001</v>
      </c>
      <c r="D714" s="25">
        <v>4.027777777777778E-2</v>
      </c>
      <c r="F714" s="61" t="s">
        <v>4879</v>
      </c>
    </row>
    <row r="715" spans="1:6" x14ac:dyDescent="0.25">
      <c r="A715" s="15" t="s">
        <v>4281</v>
      </c>
      <c r="B715" s="15" t="s">
        <v>4278</v>
      </c>
      <c r="C715" s="54">
        <v>51.362048999999999</v>
      </c>
      <c r="D715" s="26">
        <v>4.6527777777777779E-2</v>
      </c>
      <c r="F715" s="61" t="s">
        <v>4880</v>
      </c>
    </row>
    <row r="716" spans="1:6" x14ac:dyDescent="0.25">
      <c r="A716" s="15" t="s">
        <v>4281</v>
      </c>
      <c r="B716" s="15" t="s">
        <v>4279</v>
      </c>
      <c r="C716" s="52">
        <v>25.191071999999998</v>
      </c>
      <c r="D716" s="25">
        <v>2.6388888888888889E-2</v>
      </c>
      <c r="F716" s="61" t="s">
        <v>4881</v>
      </c>
    </row>
    <row r="717" spans="1:6" x14ac:dyDescent="0.25">
      <c r="A717" s="15" t="s">
        <v>4281</v>
      </c>
      <c r="B717" s="15" t="s">
        <v>4280</v>
      </c>
      <c r="C717" s="54">
        <v>93.592404000000002</v>
      </c>
      <c r="D717" s="26">
        <v>8.1944444444444445E-2</v>
      </c>
      <c r="F717" s="61" t="s">
        <v>4882</v>
      </c>
    </row>
    <row r="718" spans="1:6" x14ac:dyDescent="0.25">
      <c r="A718" s="15" t="s">
        <v>4281</v>
      </c>
      <c r="B718" s="15" t="s">
        <v>4281</v>
      </c>
      <c r="C718" s="52">
        <v>0</v>
      </c>
      <c r="D718" s="25">
        <v>0</v>
      </c>
      <c r="F718" s="61" t="s">
        <v>4883</v>
      </c>
    </row>
    <row r="719" spans="1:6" x14ac:dyDescent="0.25">
      <c r="A719" s="15" t="s">
        <v>4281</v>
      </c>
      <c r="B719" s="15" t="s">
        <v>4282</v>
      </c>
      <c r="C719" s="54">
        <v>127.50133599999999</v>
      </c>
      <c r="D719" s="26">
        <v>0.10625</v>
      </c>
      <c r="F719" s="61" t="s">
        <v>4884</v>
      </c>
    </row>
    <row r="720" spans="1:6" x14ac:dyDescent="0.25">
      <c r="A720" s="15" t="s">
        <v>4281</v>
      </c>
      <c r="B720" s="15" t="s">
        <v>4283</v>
      </c>
      <c r="C720" s="52">
        <v>135.385313</v>
      </c>
      <c r="D720" s="25">
        <v>0.11180555555555556</v>
      </c>
      <c r="F720" s="61" t="s">
        <v>4885</v>
      </c>
    </row>
    <row r="721" spans="1:6" x14ac:dyDescent="0.25">
      <c r="A721" s="15" t="s">
        <v>4281</v>
      </c>
      <c r="B721" s="15" t="s">
        <v>4284</v>
      </c>
      <c r="C721" s="54">
        <v>133.44787299999999</v>
      </c>
      <c r="D721" s="26">
        <v>0.10902777777777778</v>
      </c>
      <c r="F721" s="61" t="s">
        <v>4886</v>
      </c>
    </row>
    <row r="722" spans="1:6" x14ac:dyDescent="0.25">
      <c r="A722" s="15" t="s">
        <v>4281</v>
      </c>
      <c r="B722" s="15" t="s">
        <v>4285</v>
      </c>
      <c r="C722" s="52">
        <v>135.82648800000001</v>
      </c>
      <c r="D722" s="25">
        <v>0.11527777777777777</v>
      </c>
      <c r="F722" s="61" t="s">
        <v>4887</v>
      </c>
    </row>
    <row r="723" spans="1:6" x14ac:dyDescent="0.25">
      <c r="A723" s="15" t="s">
        <v>4281</v>
      </c>
      <c r="B723" s="15" t="s">
        <v>4286</v>
      </c>
      <c r="C723" s="54">
        <v>134.757105</v>
      </c>
      <c r="D723" s="26">
        <v>0.11319444444444444</v>
      </c>
      <c r="F723" s="61" t="s">
        <v>4888</v>
      </c>
    </row>
    <row r="724" spans="1:6" x14ac:dyDescent="0.25">
      <c r="A724" s="15" t="s">
        <v>4281</v>
      </c>
      <c r="B724" s="15" t="s">
        <v>4287</v>
      </c>
      <c r="C724" s="52">
        <v>135.81281799999999</v>
      </c>
      <c r="D724" s="25">
        <v>0.11180555555555556</v>
      </c>
      <c r="F724" s="61" t="s">
        <v>4889</v>
      </c>
    </row>
    <row r="725" spans="1:6" x14ac:dyDescent="0.25">
      <c r="A725" s="15" t="s">
        <v>4281</v>
      </c>
      <c r="B725" s="15" t="s">
        <v>4288</v>
      </c>
      <c r="C725" s="54">
        <v>140.640884</v>
      </c>
      <c r="D725" s="26">
        <v>0.11666666666666665</v>
      </c>
      <c r="F725" s="61" t="s">
        <v>4890</v>
      </c>
    </row>
    <row r="726" spans="1:6" x14ac:dyDescent="0.25">
      <c r="A726" s="15" t="s">
        <v>4281</v>
      </c>
      <c r="B726" s="15" t="s">
        <v>4289</v>
      </c>
      <c r="C726" s="52">
        <v>90.372450999999998</v>
      </c>
      <c r="D726" s="25">
        <v>7.3611111111111113E-2</v>
      </c>
      <c r="F726" s="61" t="s">
        <v>4891</v>
      </c>
    </row>
    <row r="727" spans="1:6" x14ac:dyDescent="0.25">
      <c r="A727" s="15" t="s">
        <v>4281</v>
      </c>
      <c r="B727" s="15" t="s">
        <v>4290</v>
      </c>
      <c r="C727" s="54">
        <v>91.944524000000001</v>
      </c>
      <c r="D727" s="26">
        <v>7.6388888888888895E-2</v>
      </c>
      <c r="F727" s="61" t="s">
        <v>4892</v>
      </c>
    </row>
    <row r="728" spans="1:6" x14ac:dyDescent="0.25">
      <c r="A728" s="15" t="s">
        <v>4281</v>
      </c>
      <c r="B728" s="15" t="s">
        <v>4291</v>
      </c>
      <c r="C728" s="52">
        <v>91.546223999999995</v>
      </c>
      <c r="D728" s="25">
        <v>7.7083333333333337E-2</v>
      </c>
      <c r="F728" s="61" t="s">
        <v>4893</v>
      </c>
    </row>
    <row r="729" spans="1:6" x14ac:dyDescent="0.25">
      <c r="A729" s="15" t="s">
        <v>4281</v>
      </c>
      <c r="B729" s="15" t="s">
        <v>4292</v>
      </c>
      <c r="C729" s="54">
        <v>90.669466999999997</v>
      </c>
      <c r="D729" s="26">
        <v>7.5694444444444439E-2</v>
      </c>
      <c r="F729" s="61" t="s">
        <v>4894</v>
      </c>
    </row>
    <row r="730" spans="1:6" x14ac:dyDescent="0.25">
      <c r="A730" s="15" t="s">
        <v>4281</v>
      </c>
      <c r="B730" s="15" t="s">
        <v>4293</v>
      </c>
      <c r="C730" s="52">
        <v>99.819801999999996</v>
      </c>
      <c r="D730" s="25">
        <v>8.3333333333333329E-2</v>
      </c>
      <c r="F730" s="61" t="s">
        <v>4895</v>
      </c>
    </row>
    <row r="731" spans="1:6" x14ac:dyDescent="0.25">
      <c r="A731" s="15" t="s">
        <v>4281</v>
      </c>
      <c r="B731" s="15" t="s">
        <v>4294</v>
      </c>
      <c r="C731" s="54">
        <v>100.79908500000001</v>
      </c>
      <c r="D731" s="26">
        <v>8.5416666666666655E-2</v>
      </c>
      <c r="F731" s="61" t="s">
        <v>4896</v>
      </c>
    </row>
    <row r="732" spans="1:6" x14ac:dyDescent="0.25">
      <c r="A732" s="15" t="s">
        <v>4281</v>
      </c>
      <c r="B732" s="15" t="s">
        <v>4295</v>
      </c>
      <c r="C732" s="52">
        <v>103.619496</v>
      </c>
      <c r="D732" s="25">
        <v>8.819444444444445E-2</v>
      </c>
      <c r="F732" s="61" t="s">
        <v>4897</v>
      </c>
    </row>
    <row r="733" spans="1:6" x14ac:dyDescent="0.25">
      <c r="A733" s="15" t="s">
        <v>4281</v>
      </c>
      <c r="B733" s="15" t="s">
        <v>4296</v>
      </c>
      <c r="C733" s="54">
        <v>95.281917000000007</v>
      </c>
      <c r="D733" s="26">
        <v>7.8472222222222221E-2</v>
      </c>
      <c r="F733" s="61" t="s">
        <v>4898</v>
      </c>
    </row>
    <row r="734" spans="1:6" x14ac:dyDescent="0.25">
      <c r="A734" s="15" t="s">
        <v>4281</v>
      </c>
      <c r="B734" s="15" t="s">
        <v>4297</v>
      </c>
      <c r="C734" s="52">
        <v>101.598792</v>
      </c>
      <c r="D734" s="25">
        <v>8.6111111111111124E-2</v>
      </c>
      <c r="F734" s="61" t="s">
        <v>4899</v>
      </c>
    </row>
    <row r="735" spans="1:6" x14ac:dyDescent="0.25">
      <c r="A735" s="15" t="s">
        <v>4281</v>
      </c>
      <c r="B735" s="15" t="s">
        <v>4298</v>
      </c>
      <c r="C735" s="54">
        <v>102.93039400000001</v>
      </c>
      <c r="D735" s="26">
        <v>9.2361111111111116E-2</v>
      </c>
      <c r="F735" s="61" t="s">
        <v>4900</v>
      </c>
    </row>
    <row r="736" spans="1:6" x14ac:dyDescent="0.25">
      <c r="A736" s="15" t="s">
        <v>4281</v>
      </c>
      <c r="B736" s="15" t="s">
        <v>4299</v>
      </c>
      <c r="C736" s="52">
        <v>105.192812</v>
      </c>
      <c r="D736" s="25">
        <v>9.6527777777777768E-2</v>
      </c>
      <c r="F736" s="61" t="s">
        <v>4901</v>
      </c>
    </row>
    <row r="737" spans="1:6" x14ac:dyDescent="0.25">
      <c r="A737" s="15" t="s">
        <v>4281</v>
      </c>
      <c r="B737" s="15" t="s">
        <v>4300</v>
      </c>
      <c r="C737" s="54">
        <v>109.25224</v>
      </c>
      <c r="D737" s="26">
        <v>0.10555555555555556</v>
      </c>
      <c r="F737" s="61" t="s">
        <v>4902</v>
      </c>
    </row>
    <row r="738" spans="1:6" x14ac:dyDescent="0.25">
      <c r="A738" s="15" t="s">
        <v>4281</v>
      </c>
      <c r="B738" s="15" t="s">
        <v>4301</v>
      </c>
      <c r="C738" s="52">
        <v>94.654951999999994</v>
      </c>
      <c r="D738" s="25">
        <v>8.1944444444444445E-2</v>
      </c>
      <c r="F738" s="61" t="s">
        <v>4903</v>
      </c>
    </row>
    <row r="739" spans="1:6" x14ac:dyDescent="0.25">
      <c r="A739" s="15" t="s">
        <v>4281</v>
      </c>
      <c r="B739" s="15" t="s">
        <v>4302</v>
      </c>
      <c r="C739" s="54">
        <v>90.118308999999996</v>
      </c>
      <c r="D739" s="26">
        <v>7.7083333333333337E-2</v>
      </c>
      <c r="F739" s="61" t="s">
        <v>4904</v>
      </c>
    </row>
    <row r="740" spans="1:6" x14ac:dyDescent="0.25">
      <c r="A740" s="15" t="s">
        <v>4281</v>
      </c>
      <c r="B740" s="15" t="s">
        <v>4303</v>
      </c>
      <c r="C740" s="52">
        <v>103.27587699999999</v>
      </c>
      <c r="D740" s="25">
        <v>8.9583333333333334E-2</v>
      </c>
      <c r="F740" s="61" t="s">
        <v>4905</v>
      </c>
    </row>
    <row r="741" spans="1:6" x14ac:dyDescent="0.25">
      <c r="A741" s="15" t="s">
        <v>4281</v>
      </c>
      <c r="B741" s="15" t="s">
        <v>4304</v>
      </c>
      <c r="C741" s="54">
        <v>85.991772999999995</v>
      </c>
      <c r="D741" s="26">
        <v>7.7083333333333337E-2</v>
      </c>
      <c r="F741" s="61" t="s">
        <v>4906</v>
      </c>
    </row>
    <row r="742" spans="1:6" x14ac:dyDescent="0.25">
      <c r="A742" s="15" t="s">
        <v>4281</v>
      </c>
      <c r="B742" s="15" t="s">
        <v>4305</v>
      </c>
      <c r="C742" s="52">
        <v>93.662619000000007</v>
      </c>
      <c r="D742" s="25">
        <v>7.9861111111111105E-2</v>
      </c>
      <c r="F742" s="61" t="s">
        <v>4907</v>
      </c>
    </row>
    <row r="743" spans="1:6" x14ac:dyDescent="0.25">
      <c r="A743" s="15" t="s">
        <v>4281</v>
      </c>
      <c r="B743" s="15" t="s">
        <v>4306</v>
      </c>
      <c r="C743" s="54">
        <v>62.019834000000003</v>
      </c>
      <c r="D743" s="26">
        <v>5.4166666666666669E-2</v>
      </c>
      <c r="F743" s="61" t="s">
        <v>4908</v>
      </c>
    </row>
    <row r="744" spans="1:6" x14ac:dyDescent="0.25">
      <c r="A744" s="15" t="s">
        <v>4281</v>
      </c>
      <c r="B744" s="15" t="s">
        <v>4307</v>
      </c>
      <c r="C744" s="52">
        <v>60.923110999999999</v>
      </c>
      <c r="D744" s="25">
        <v>5.2777777777777778E-2</v>
      </c>
      <c r="F744" s="61" t="s">
        <v>4909</v>
      </c>
    </row>
    <row r="745" spans="1:6" x14ac:dyDescent="0.25">
      <c r="A745" s="15" t="s">
        <v>4281</v>
      </c>
      <c r="B745" s="15" t="s">
        <v>4308</v>
      </c>
      <c r="C745" s="54">
        <v>59.146607000000003</v>
      </c>
      <c r="D745" s="26">
        <v>5.0694444444444452E-2</v>
      </c>
      <c r="F745" s="61" t="s">
        <v>4910</v>
      </c>
    </row>
    <row r="746" spans="1:6" x14ac:dyDescent="0.25">
      <c r="A746" s="15" t="s">
        <v>4281</v>
      </c>
      <c r="B746" s="15" t="s">
        <v>4309</v>
      </c>
      <c r="C746" s="52">
        <v>161.64701099999999</v>
      </c>
      <c r="D746" s="25">
        <v>0.1361111111111111</v>
      </c>
      <c r="F746" s="61" t="s">
        <v>4911</v>
      </c>
    </row>
    <row r="747" spans="1:6" x14ac:dyDescent="0.25">
      <c r="A747" s="15" t="s">
        <v>4281</v>
      </c>
      <c r="B747" s="15" t="s">
        <v>4310</v>
      </c>
      <c r="C747" s="54">
        <v>163.20851999999999</v>
      </c>
      <c r="D747" s="26">
        <v>0.13958333333333334</v>
      </c>
      <c r="F747" s="61" t="s">
        <v>4912</v>
      </c>
    </row>
    <row r="748" spans="1:6" x14ac:dyDescent="0.25">
      <c r="A748" s="15" t="s">
        <v>4281</v>
      </c>
      <c r="B748" s="15" t="s">
        <v>4311</v>
      </c>
      <c r="C748" s="52">
        <v>152.50226799999999</v>
      </c>
      <c r="D748" s="25">
        <v>0.12986111111111112</v>
      </c>
      <c r="F748" s="61" t="s">
        <v>4913</v>
      </c>
    </row>
    <row r="749" spans="1:6" x14ac:dyDescent="0.25">
      <c r="A749" s="15" t="s">
        <v>4281</v>
      </c>
      <c r="B749" s="15" t="s">
        <v>4312</v>
      </c>
      <c r="C749" s="54">
        <v>149.214585</v>
      </c>
      <c r="D749" s="26">
        <v>0.12291666666666667</v>
      </c>
      <c r="F749" s="61" t="s">
        <v>4914</v>
      </c>
    </row>
    <row r="750" spans="1:6" x14ac:dyDescent="0.25">
      <c r="A750" s="15" t="s">
        <v>4281</v>
      </c>
      <c r="B750" s="15" t="s">
        <v>4313</v>
      </c>
      <c r="C750" s="52">
        <v>167.8887</v>
      </c>
      <c r="D750" s="25">
        <v>0.14166666666666666</v>
      </c>
      <c r="F750" s="61" t="s">
        <v>4915</v>
      </c>
    </row>
    <row r="751" spans="1:6" x14ac:dyDescent="0.25">
      <c r="A751" s="15" t="s">
        <v>4281</v>
      </c>
      <c r="B751" s="15" t="s">
        <v>4314</v>
      </c>
      <c r="C751" s="54">
        <v>74.019784999999999</v>
      </c>
      <c r="D751" s="26">
        <v>6.9444444444444434E-2</v>
      </c>
      <c r="F751" s="61" t="s">
        <v>4916</v>
      </c>
    </row>
    <row r="752" spans="1:6" x14ac:dyDescent="0.25">
      <c r="A752" s="15" t="s">
        <v>4281</v>
      </c>
      <c r="B752" s="15" t="s">
        <v>4315</v>
      </c>
      <c r="C752" s="52">
        <v>78.312849</v>
      </c>
      <c r="D752" s="25">
        <v>7.8472222222222221E-2</v>
      </c>
      <c r="F752" s="61" t="s">
        <v>4917</v>
      </c>
    </row>
    <row r="753" spans="1:6" x14ac:dyDescent="0.25">
      <c r="A753" s="15" t="s">
        <v>4281</v>
      </c>
      <c r="B753" s="15" t="s">
        <v>4316</v>
      </c>
      <c r="C753" s="54">
        <v>62.793443000000003</v>
      </c>
      <c r="D753" s="26">
        <v>6.25E-2</v>
      </c>
      <c r="F753" s="61" t="s">
        <v>4918</v>
      </c>
    </row>
    <row r="754" spans="1:6" x14ac:dyDescent="0.25">
      <c r="A754" s="15" t="s">
        <v>4281</v>
      </c>
      <c r="B754" s="15" t="s">
        <v>4317</v>
      </c>
      <c r="C754" s="52">
        <v>123.36858599999999</v>
      </c>
      <c r="D754" s="25">
        <v>9.9999999999999992E-2</v>
      </c>
      <c r="F754" s="61" t="s">
        <v>4919</v>
      </c>
    </row>
    <row r="755" spans="1:6" x14ac:dyDescent="0.25">
      <c r="A755" s="15" t="s">
        <v>4281</v>
      </c>
      <c r="B755" s="15" t="s">
        <v>4318</v>
      </c>
      <c r="C755" s="54">
        <v>132.47977399999999</v>
      </c>
      <c r="D755" s="26">
        <v>0.10833333333333334</v>
      </c>
      <c r="F755" s="61" t="s">
        <v>4920</v>
      </c>
    </row>
    <row r="756" spans="1:6" x14ac:dyDescent="0.25">
      <c r="A756" s="15" t="s">
        <v>4281</v>
      </c>
      <c r="B756" s="15" t="s">
        <v>4319</v>
      </c>
      <c r="C756" s="52">
        <v>126.11753899999999</v>
      </c>
      <c r="D756" s="25">
        <v>0.10416666666666667</v>
      </c>
      <c r="F756" s="61" t="s">
        <v>4921</v>
      </c>
    </row>
    <row r="757" spans="1:6" x14ac:dyDescent="0.25">
      <c r="A757" s="15" t="s">
        <v>4281</v>
      </c>
      <c r="B757" s="15" t="s">
        <v>4320</v>
      </c>
      <c r="C757" s="54">
        <v>135.98307399999999</v>
      </c>
      <c r="D757" s="26">
        <v>0.11527777777777777</v>
      </c>
      <c r="F757" s="61" t="s">
        <v>4922</v>
      </c>
    </row>
    <row r="758" spans="1:6" x14ac:dyDescent="0.25">
      <c r="A758" s="15" t="s">
        <v>4281</v>
      </c>
      <c r="B758" s="15" t="s">
        <v>4321</v>
      </c>
      <c r="C758" s="52">
        <v>135.802254</v>
      </c>
      <c r="D758" s="25">
        <v>0.11388888888888889</v>
      </c>
      <c r="F758" s="61" t="s">
        <v>4923</v>
      </c>
    </row>
    <row r="759" spans="1:6" x14ac:dyDescent="0.25">
      <c r="A759" s="15" t="s">
        <v>4282</v>
      </c>
      <c r="B759" s="15">
        <v>3423909</v>
      </c>
      <c r="C759" s="54">
        <v>106.70647599999999</v>
      </c>
      <c r="D759" s="26">
        <v>9.375E-2</v>
      </c>
      <c r="F759" s="61" t="s">
        <v>7027</v>
      </c>
    </row>
    <row r="760" spans="1:6" x14ac:dyDescent="0.25">
      <c r="A760" s="15" t="s">
        <v>4282</v>
      </c>
      <c r="B760" s="15">
        <v>3403208</v>
      </c>
      <c r="C760" s="52">
        <v>196.79433800000001</v>
      </c>
      <c r="D760" s="25">
        <v>0.15902777777777777</v>
      </c>
      <c r="F760" s="61" t="s">
        <v>7132</v>
      </c>
    </row>
    <row r="761" spans="1:6" x14ac:dyDescent="0.25">
      <c r="A761" s="15" t="s">
        <v>4282</v>
      </c>
      <c r="B761" s="15">
        <v>3424402</v>
      </c>
      <c r="C761" s="54">
        <v>6.7052329999999998</v>
      </c>
      <c r="D761" s="26">
        <v>1.1111111111111112E-2</v>
      </c>
      <c r="F761" s="61" t="s">
        <v>7239</v>
      </c>
    </row>
    <row r="762" spans="1:6" x14ac:dyDescent="0.25">
      <c r="A762" s="15" t="s">
        <v>4282</v>
      </c>
      <c r="B762" s="15" t="s">
        <v>4271</v>
      </c>
      <c r="C762" s="52">
        <v>88.035467999999995</v>
      </c>
      <c r="D762" s="25">
        <v>7.4999999999999997E-2</v>
      </c>
      <c r="F762" s="61" t="s">
        <v>4924</v>
      </c>
    </row>
    <row r="763" spans="1:6" x14ac:dyDescent="0.25">
      <c r="A763" s="15" t="s">
        <v>4282</v>
      </c>
      <c r="B763" s="15" t="s">
        <v>4272</v>
      </c>
      <c r="C763" s="54">
        <v>85.633240999999998</v>
      </c>
      <c r="D763" s="26">
        <v>7.4999999999999997E-2</v>
      </c>
      <c r="F763" s="61" t="s">
        <v>4925</v>
      </c>
    </row>
    <row r="764" spans="1:6" x14ac:dyDescent="0.25">
      <c r="A764" s="15" t="s">
        <v>4282</v>
      </c>
      <c r="B764" s="15" t="s">
        <v>4273</v>
      </c>
      <c r="C764" s="52">
        <v>85.699727999999993</v>
      </c>
      <c r="D764" s="25">
        <v>7.5694444444444439E-2</v>
      </c>
      <c r="F764" s="61" t="s">
        <v>4926</v>
      </c>
    </row>
    <row r="765" spans="1:6" x14ac:dyDescent="0.25">
      <c r="A765" s="15" t="s">
        <v>4282</v>
      </c>
      <c r="B765" s="15" t="s">
        <v>4274</v>
      </c>
      <c r="C765" s="54">
        <v>89.549132</v>
      </c>
      <c r="D765" s="26">
        <v>7.6388888888888895E-2</v>
      </c>
      <c r="F765" s="61" t="s">
        <v>4927</v>
      </c>
    </row>
    <row r="766" spans="1:6" x14ac:dyDescent="0.25">
      <c r="A766" s="15" t="s">
        <v>4282</v>
      </c>
      <c r="B766" s="15" t="s">
        <v>4275</v>
      </c>
      <c r="C766" s="52">
        <v>89.642337999999995</v>
      </c>
      <c r="D766" s="25">
        <v>7.6388888888888895E-2</v>
      </c>
      <c r="F766" s="61" t="s">
        <v>4928</v>
      </c>
    </row>
    <row r="767" spans="1:6" x14ac:dyDescent="0.25">
      <c r="A767" s="15" t="s">
        <v>4282</v>
      </c>
      <c r="B767" s="15" t="s">
        <v>4276</v>
      </c>
      <c r="C767" s="54">
        <v>84.045012</v>
      </c>
      <c r="D767" s="26">
        <v>7.4999999999999997E-2</v>
      </c>
      <c r="F767" s="61" t="s">
        <v>4929</v>
      </c>
    </row>
    <row r="768" spans="1:6" x14ac:dyDescent="0.25">
      <c r="A768" s="15" t="s">
        <v>4282</v>
      </c>
      <c r="B768" s="15" t="s">
        <v>4277</v>
      </c>
      <c r="C768" s="52">
        <v>88.695366000000007</v>
      </c>
      <c r="D768" s="25">
        <v>7.9166666666666663E-2</v>
      </c>
      <c r="F768" s="61" t="s">
        <v>4930</v>
      </c>
    </row>
    <row r="769" spans="1:6" x14ac:dyDescent="0.25">
      <c r="A769" s="15" t="s">
        <v>4282</v>
      </c>
      <c r="B769" s="15" t="s">
        <v>4278</v>
      </c>
      <c r="C769" s="54">
        <v>83.431717000000006</v>
      </c>
      <c r="D769" s="26">
        <v>7.0833333333333331E-2</v>
      </c>
      <c r="F769" s="61" t="s">
        <v>4931</v>
      </c>
    </row>
    <row r="770" spans="1:6" x14ac:dyDescent="0.25">
      <c r="A770" s="15" t="s">
        <v>4282</v>
      </c>
      <c r="B770" s="15" t="s">
        <v>4279</v>
      </c>
      <c r="C770" s="52">
        <v>107.01281299999999</v>
      </c>
      <c r="D770" s="25">
        <v>9.1666666666666674E-2</v>
      </c>
      <c r="F770" s="61" t="s">
        <v>4932</v>
      </c>
    </row>
    <row r="771" spans="1:6" x14ac:dyDescent="0.25">
      <c r="A771" s="15" t="s">
        <v>4282</v>
      </c>
      <c r="B771" s="15" t="s">
        <v>4280</v>
      </c>
      <c r="C771" s="54">
        <v>54.286228999999999</v>
      </c>
      <c r="D771" s="26">
        <v>5.6944444444444443E-2</v>
      </c>
      <c r="F771" s="61" t="s">
        <v>4933</v>
      </c>
    </row>
    <row r="772" spans="1:6" x14ac:dyDescent="0.25">
      <c r="A772" s="15" t="s">
        <v>4282</v>
      </c>
      <c r="B772" s="15" t="s">
        <v>4281</v>
      </c>
      <c r="C772" s="52">
        <v>127.56285200000001</v>
      </c>
      <c r="D772" s="25">
        <v>0.10555555555555556</v>
      </c>
      <c r="F772" s="61" t="s">
        <v>4934</v>
      </c>
    </row>
    <row r="773" spans="1:6" x14ac:dyDescent="0.25">
      <c r="A773" s="15" t="s">
        <v>4282</v>
      </c>
      <c r="B773" s="15" t="s">
        <v>4282</v>
      </c>
      <c r="C773" s="54">
        <v>0</v>
      </c>
      <c r="D773" s="26">
        <v>0</v>
      </c>
      <c r="F773" s="61" t="s">
        <v>4935</v>
      </c>
    </row>
    <row r="774" spans="1:6" x14ac:dyDescent="0.25">
      <c r="A774" s="15" t="s">
        <v>4282</v>
      </c>
      <c r="B774" s="15" t="s">
        <v>4283</v>
      </c>
      <c r="C774" s="52">
        <v>13.630432000000001</v>
      </c>
      <c r="D774" s="25">
        <v>1.6666666666666666E-2</v>
      </c>
      <c r="F774" s="61" t="s">
        <v>4936</v>
      </c>
    </row>
    <row r="775" spans="1:6" x14ac:dyDescent="0.25">
      <c r="A775" s="15" t="s">
        <v>4282</v>
      </c>
      <c r="B775" s="15" t="s">
        <v>4284</v>
      </c>
      <c r="C775" s="54">
        <v>11.692992</v>
      </c>
      <c r="D775" s="26">
        <v>1.3888888888888888E-2</v>
      </c>
      <c r="F775" s="61" t="s">
        <v>4937</v>
      </c>
    </row>
    <row r="776" spans="1:6" x14ac:dyDescent="0.25">
      <c r="A776" s="15" t="s">
        <v>4282</v>
      </c>
      <c r="B776" s="15" t="s">
        <v>4285</v>
      </c>
      <c r="C776" s="52">
        <v>14.071607</v>
      </c>
      <c r="D776" s="25">
        <v>1.9444444444444445E-2</v>
      </c>
      <c r="F776" s="61" t="s">
        <v>4938</v>
      </c>
    </row>
    <row r="777" spans="1:6" x14ac:dyDescent="0.25">
      <c r="A777" s="15" t="s">
        <v>4282</v>
      </c>
      <c r="B777" s="15" t="s">
        <v>4286</v>
      </c>
      <c r="C777" s="54">
        <v>13.002224999999999</v>
      </c>
      <c r="D777" s="26">
        <v>1.8055555555555557E-2</v>
      </c>
      <c r="F777" s="61" t="s">
        <v>4939</v>
      </c>
    </row>
    <row r="778" spans="1:6" x14ac:dyDescent="0.25">
      <c r="A778" s="15" t="s">
        <v>4282</v>
      </c>
      <c r="B778" s="15" t="s">
        <v>4287</v>
      </c>
      <c r="C778" s="52">
        <v>14.057937000000001</v>
      </c>
      <c r="D778" s="25">
        <v>1.5972222222222224E-2</v>
      </c>
      <c r="F778" s="61" t="s">
        <v>4940</v>
      </c>
    </row>
    <row r="779" spans="1:6" x14ac:dyDescent="0.25">
      <c r="A779" s="15" t="s">
        <v>4282</v>
      </c>
      <c r="B779" s="15" t="s">
        <v>4288</v>
      </c>
      <c r="C779" s="54">
        <v>18.886002999999999</v>
      </c>
      <c r="D779" s="26">
        <v>2.0833333333333332E-2</v>
      </c>
      <c r="F779" s="61" t="s">
        <v>4941</v>
      </c>
    </row>
    <row r="780" spans="1:6" x14ac:dyDescent="0.25">
      <c r="A780" s="15" t="s">
        <v>4282</v>
      </c>
      <c r="B780" s="15" t="s">
        <v>4289</v>
      </c>
      <c r="C780" s="52">
        <v>49.458784000000001</v>
      </c>
      <c r="D780" s="25">
        <v>4.7916666666666663E-2</v>
      </c>
      <c r="F780" s="61" t="s">
        <v>4942</v>
      </c>
    </row>
    <row r="781" spans="1:6" x14ac:dyDescent="0.25">
      <c r="A781" s="15" t="s">
        <v>4282</v>
      </c>
      <c r="B781" s="15" t="s">
        <v>4290</v>
      </c>
      <c r="C781" s="54">
        <v>57.011569999999999</v>
      </c>
      <c r="D781" s="26">
        <v>5.6944444444444443E-2</v>
      </c>
      <c r="F781" s="61" t="s">
        <v>4943</v>
      </c>
    </row>
    <row r="782" spans="1:6" x14ac:dyDescent="0.25">
      <c r="A782" s="15" t="s">
        <v>4282</v>
      </c>
      <c r="B782" s="15" t="s">
        <v>4291</v>
      </c>
      <c r="C782" s="52">
        <v>56.618240999999998</v>
      </c>
      <c r="D782" s="25">
        <v>5.6944444444444443E-2</v>
      </c>
      <c r="F782" s="61" t="s">
        <v>4944</v>
      </c>
    </row>
    <row r="783" spans="1:6" x14ac:dyDescent="0.25">
      <c r="A783" s="15" t="s">
        <v>4282</v>
      </c>
      <c r="B783" s="15" t="s">
        <v>4292</v>
      </c>
      <c r="C783" s="54">
        <v>53.328693999999999</v>
      </c>
      <c r="D783" s="26">
        <v>5.4166666666666669E-2</v>
      </c>
      <c r="F783" s="61" t="s">
        <v>4945</v>
      </c>
    </row>
    <row r="784" spans="1:6" x14ac:dyDescent="0.25">
      <c r="A784" s="15" t="s">
        <v>4282</v>
      </c>
      <c r="B784" s="15" t="s">
        <v>4293</v>
      </c>
      <c r="C784" s="52">
        <v>61.767556999999996</v>
      </c>
      <c r="D784" s="25">
        <v>6.3888888888888884E-2</v>
      </c>
      <c r="F784" s="61" t="s">
        <v>4946</v>
      </c>
    </row>
    <row r="785" spans="1:6" x14ac:dyDescent="0.25">
      <c r="A785" s="15" t="s">
        <v>4282</v>
      </c>
      <c r="B785" s="15" t="s">
        <v>4294</v>
      </c>
      <c r="C785" s="54">
        <v>56.612026999999998</v>
      </c>
      <c r="D785" s="26">
        <v>6.6666666666666666E-2</v>
      </c>
      <c r="F785" s="61" t="s">
        <v>4947</v>
      </c>
    </row>
    <row r="786" spans="1:6" x14ac:dyDescent="0.25">
      <c r="A786" s="15" t="s">
        <v>4282</v>
      </c>
      <c r="B786" s="15" t="s">
        <v>4295</v>
      </c>
      <c r="C786" s="52">
        <v>59.035381000000001</v>
      </c>
      <c r="D786" s="25">
        <v>7.2222222222222229E-2</v>
      </c>
      <c r="F786" s="61" t="s">
        <v>4948</v>
      </c>
    </row>
    <row r="787" spans="1:6" x14ac:dyDescent="0.25">
      <c r="A787" s="15" t="s">
        <v>4282</v>
      </c>
      <c r="B787" s="15" t="s">
        <v>4296</v>
      </c>
      <c r="C787" s="54">
        <v>65.724457999999998</v>
      </c>
      <c r="D787" s="26">
        <v>6.5277777777777782E-2</v>
      </c>
      <c r="F787" s="61" t="s">
        <v>4949</v>
      </c>
    </row>
    <row r="788" spans="1:6" x14ac:dyDescent="0.25">
      <c r="A788" s="15" t="s">
        <v>4282</v>
      </c>
      <c r="B788" s="15" t="s">
        <v>4297</v>
      </c>
      <c r="C788" s="52">
        <v>58.438862999999998</v>
      </c>
      <c r="D788" s="25">
        <v>6.8749999999999992E-2</v>
      </c>
      <c r="F788" s="61" t="s">
        <v>4950</v>
      </c>
    </row>
    <row r="789" spans="1:6" x14ac:dyDescent="0.25">
      <c r="A789" s="15" t="s">
        <v>4282</v>
      </c>
      <c r="B789" s="15" t="s">
        <v>4298</v>
      </c>
      <c r="C789" s="54">
        <v>58.226354000000001</v>
      </c>
      <c r="D789" s="26">
        <v>6.3888888888888884E-2</v>
      </c>
      <c r="F789" s="61" t="s">
        <v>4951</v>
      </c>
    </row>
    <row r="790" spans="1:6" x14ac:dyDescent="0.25">
      <c r="A790" s="15" t="s">
        <v>4282</v>
      </c>
      <c r="B790" s="15" t="s">
        <v>4299</v>
      </c>
      <c r="C790" s="52">
        <v>55.811078000000002</v>
      </c>
      <c r="D790" s="25">
        <v>5.9027777777777783E-2</v>
      </c>
      <c r="F790" s="61" t="s">
        <v>4952</v>
      </c>
    </row>
    <row r="791" spans="1:6" x14ac:dyDescent="0.25">
      <c r="A791" s="15" t="s">
        <v>4282</v>
      </c>
      <c r="B791" s="15" t="s">
        <v>4300</v>
      </c>
      <c r="C791" s="54">
        <v>56.873004000000002</v>
      </c>
      <c r="D791" s="26">
        <v>5.2777777777777778E-2</v>
      </c>
      <c r="F791" s="61" t="s">
        <v>4953</v>
      </c>
    </row>
    <row r="792" spans="1:6" x14ac:dyDescent="0.25">
      <c r="A792" s="15" t="s">
        <v>4282</v>
      </c>
      <c r="B792" s="15" t="s">
        <v>4301</v>
      </c>
      <c r="C792" s="52">
        <v>59.726968999999997</v>
      </c>
      <c r="D792" s="25">
        <v>6.1805555555555558E-2</v>
      </c>
      <c r="F792" s="61" t="s">
        <v>4954</v>
      </c>
    </row>
    <row r="793" spans="1:6" x14ac:dyDescent="0.25">
      <c r="A793" s="15" t="s">
        <v>4282</v>
      </c>
      <c r="B793" s="15" t="s">
        <v>4302</v>
      </c>
      <c r="C793" s="54">
        <v>54.757851000000002</v>
      </c>
      <c r="D793" s="26">
        <v>5.486111111111111E-2</v>
      </c>
      <c r="F793" s="61" t="s">
        <v>4955</v>
      </c>
    </row>
    <row r="794" spans="1:6" x14ac:dyDescent="0.25">
      <c r="A794" s="15" t="s">
        <v>4282</v>
      </c>
      <c r="B794" s="15" t="s">
        <v>4303</v>
      </c>
      <c r="C794" s="52">
        <v>44.823965000000001</v>
      </c>
      <c r="D794" s="25">
        <v>4.4444444444444446E-2</v>
      </c>
      <c r="F794" s="61" t="s">
        <v>4956</v>
      </c>
    </row>
    <row r="795" spans="1:6" x14ac:dyDescent="0.25">
      <c r="A795" s="15" t="s">
        <v>4282</v>
      </c>
      <c r="B795" s="15" t="s">
        <v>4304</v>
      </c>
      <c r="C795" s="54">
        <v>64.434488999999999</v>
      </c>
      <c r="D795" s="26">
        <v>6.6666666666666666E-2</v>
      </c>
      <c r="F795" s="61" t="s">
        <v>4957</v>
      </c>
    </row>
    <row r="796" spans="1:6" x14ac:dyDescent="0.25">
      <c r="A796" s="15" t="s">
        <v>4282</v>
      </c>
      <c r="B796" s="15" t="s">
        <v>4305</v>
      </c>
      <c r="C796" s="52">
        <v>65.030384999999995</v>
      </c>
      <c r="D796" s="25">
        <v>6.6666666666666666E-2</v>
      </c>
      <c r="F796" s="61" t="s">
        <v>4958</v>
      </c>
    </row>
    <row r="797" spans="1:6" x14ac:dyDescent="0.25">
      <c r="A797" s="15" t="s">
        <v>4282</v>
      </c>
      <c r="B797" s="15" t="s">
        <v>4306</v>
      </c>
      <c r="C797" s="54">
        <v>173.73022499999999</v>
      </c>
      <c r="D797" s="26">
        <v>0.14375000000000002</v>
      </c>
      <c r="F797" s="61" t="s">
        <v>4959</v>
      </c>
    </row>
    <row r="798" spans="1:6" x14ac:dyDescent="0.25">
      <c r="A798" s="15" t="s">
        <v>4282</v>
      </c>
      <c r="B798" s="15" t="s">
        <v>4307</v>
      </c>
      <c r="C798" s="52">
        <v>172.63350199999999</v>
      </c>
      <c r="D798" s="25">
        <v>0.1423611111111111</v>
      </c>
      <c r="F798" s="61" t="s">
        <v>4960</v>
      </c>
    </row>
    <row r="799" spans="1:6" x14ac:dyDescent="0.25">
      <c r="A799" s="15" t="s">
        <v>4282</v>
      </c>
      <c r="B799" s="15" t="s">
        <v>4308</v>
      </c>
      <c r="C799" s="54">
        <v>170.85699700000001</v>
      </c>
      <c r="D799" s="26">
        <v>0.14027777777777778</v>
      </c>
      <c r="F799" s="61" t="s">
        <v>4961</v>
      </c>
    </row>
    <row r="800" spans="1:6" x14ac:dyDescent="0.25">
      <c r="A800" s="15" t="s">
        <v>4282</v>
      </c>
      <c r="B800" s="15" t="s">
        <v>4309</v>
      </c>
      <c r="C800" s="52">
        <v>39.892130000000002</v>
      </c>
      <c r="D800" s="25">
        <v>4.027777777777778E-2</v>
      </c>
      <c r="F800" s="61" t="s">
        <v>4962</v>
      </c>
    </row>
    <row r="801" spans="1:6" x14ac:dyDescent="0.25">
      <c r="A801" s="15" t="s">
        <v>4282</v>
      </c>
      <c r="B801" s="15" t="s">
        <v>4310</v>
      </c>
      <c r="C801" s="54">
        <v>41.453639000000003</v>
      </c>
      <c r="D801" s="26">
        <v>4.3750000000000004E-2</v>
      </c>
      <c r="F801" s="61" t="s">
        <v>4963</v>
      </c>
    </row>
    <row r="802" spans="1:6" x14ac:dyDescent="0.25">
      <c r="A802" s="15" t="s">
        <v>4282</v>
      </c>
      <c r="B802" s="15" t="s">
        <v>4311</v>
      </c>
      <c r="C802" s="52">
        <v>30.747387</v>
      </c>
      <c r="D802" s="25">
        <v>3.4722222222222224E-2</v>
      </c>
      <c r="F802" s="61" t="s">
        <v>4964</v>
      </c>
    </row>
    <row r="803" spans="1:6" x14ac:dyDescent="0.25">
      <c r="A803" s="15" t="s">
        <v>4282</v>
      </c>
      <c r="B803" s="15" t="s">
        <v>4312</v>
      </c>
      <c r="C803" s="54">
        <v>27.459703999999999</v>
      </c>
      <c r="D803" s="26">
        <v>2.7083333333333334E-2</v>
      </c>
      <c r="F803" s="61" t="s">
        <v>4965</v>
      </c>
    </row>
    <row r="804" spans="1:6" x14ac:dyDescent="0.25">
      <c r="A804" s="15" t="s">
        <v>4282</v>
      </c>
      <c r="B804" s="15" t="s">
        <v>4313</v>
      </c>
      <c r="C804" s="52">
        <v>46.133819000000003</v>
      </c>
      <c r="D804" s="25">
        <v>4.5833333333333337E-2</v>
      </c>
      <c r="F804" s="61" t="s">
        <v>4966</v>
      </c>
    </row>
    <row r="805" spans="1:6" x14ac:dyDescent="0.25">
      <c r="A805" s="15" t="s">
        <v>4282</v>
      </c>
      <c r="B805" s="15" t="s">
        <v>4314</v>
      </c>
      <c r="C805" s="54">
        <v>117.736463</v>
      </c>
      <c r="D805" s="26">
        <v>0.10555555555555556</v>
      </c>
      <c r="F805" s="61" t="s">
        <v>4967</v>
      </c>
    </row>
    <row r="806" spans="1:6" x14ac:dyDescent="0.25">
      <c r="A806" s="15" t="s">
        <v>4282</v>
      </c>
      <c r="B806" s="15" t="s">
        <v>4315</v>
      </c>
      <c r="C806" s="52">
        <v>115.230467</v>
      </c>
      <c r="D806" s="25">
        <v>0.11180555555555556</v>
      </c>
      <c r="F806" s="61" t="s">
        <v>4968</v>
      </c>
    </row>
    <row r="807" spans="1:6" x14ac:dyDescent="0.25">
      <c r="A807" s="15" t="s">
        <v>4282</v>
      </c>
      <c r="B807" s="15" t="s">
        <v>4316</v>
      </c>
      <c r="C807" s="54">
        <v>106.45854799999999</v>
      </c>
      <c r="D807" s="26">
        <v>9.9999999999999992E-2</v>
      </c>
      <c r="F807" s="61" t="s">
        <v>4969</v>
      </c>
    </row>
    <row r="808" spans="1:6" x14ac:dyDescent="0.25">
      <c r="A808" s="15" t="s">
        <v>4282</v>
      </c>
      <c r="B808" s="15" t="s">
        <v>4317</v>
      </c>
      <c r="C808" s="52">
        <v>220.18653599999999</v>
      </c>
      <c r="D808" s="25">
        <v>0.17847222222222223</v>
      </c>
      <c r="F808" s="61" t="s">
        <v>4970</v>
      </c>
    </row>
    <row r="809" spans="1:6" x14ac:dyDescent="0.25">
      <c r="A809" s="15" t="s">
        <v>4282</v>
      </c>
      <c r="B809" s="15" t="s">
        <v>4318</v>
      </c>
      <c r="C809" s="54">
        <v>229.29772500000001</v>
      </c>
      <c r="D809" s="26">
        <v>0.18680555555555556</v>
      </c>
      <c r="F809" s="61" t="s">
        <v>4971</v>
      </c>
    </row>
    <row r="810" spans="1:6" x14ac:dyDescent="0.25">
      <c r="A810" s="15" t="s">
        <v>4282</v>
      </c>
      <c r="B810" s="15" t="s">
        <v>4319</v>
      </c>
      <c r="C810" s="52">
        <v>222.93548899999999</v>
      </c>
      <c r="D810" s="25">
        <v>0.18263888888888891</v>
      </c>
      <c r="F810" s="61" t="s">
        <v>4972</v>
      </c>
    </row>
    <row r="811" spans="1:6" x14ac:dyDescent="0.25">
      <c r="A811" s="15" t="s">
        <v>4282</v>
      </c>
      <c r="B811" s="15" t="s">
        <v>4320</v>
      </c>
      <c r="C811" s="54">
        <v>253.857482</v>
      </c>
      <c r="D811" s="26">
        <v>0.20833333333333334</v>
      </c>
      <c r="F811" s="61" t="s">
        <v>4973</v>
      </c>
    </row>
    <row r="812" spans="1:6" x14ac:dyDescent="0.25">
      <c r="A812" s="15" t="s">
        <v>4282</v>
      </c>
      <c r="B812" s="15" t="s">
        <v>4321</v>
      </c>
      <c r="C812" s="52">
        <v>247.51264499999999</v>
      </c>
      <c r="D812" s="25">
        <v>0.20416666666666669</v>
      </c>
      <c r="F812" s="61" t="s">
        <v>4974</v>
      </c>
    </row>
    <row r="813" spans="1:6" x14ac:dyDescent="0.25">
      <c r="A813" s="15" t="s">
        <v>4283</v>
      </c>
      <c r="B813" s="15">
        <v>3423909</v>
      </c>
      <c r="C813" s="54">
        <v>112.868008</v>
      </c>
      <c r="D813" s="26">
        <v>9.7222222222222224E-2</v>
      </c>
      <c r="F813" s="61" t="s">
        <v>7028</v>
      </c>
    </row>
    <row r="814" spans="1:6" x14ac:dyDescent="0.25">
      <c r="A814" s="15" t="s">
        <v>4283</v>
      </c>
      <c r="B814" s="15">
        <v>3403208</v>
      </c>
      <c r="C814" s="52">
        <v>202.95587</v>
      </c>
      <c r="D814" s="25">
        <v>0.16250000000000001</v>
      </c>
      <c r="F814" s="61" t="s">
        <v>7133</v>
      </c>
    </row>
    <row r="815" spans="1:6" x14ac:dyDescent="0.25">
      <c r="A815" s="15" t="s">
        <v>4283</v>
      </c>
      <c r="B815" s="15">
        <v>3424402</v>
      </c>
      <c r="C815" s="54">
        <v>7.8510450000000001</v>
      </c>
      <c r="D815" s="26">
        <v>1.1111111111111112E-2</v>
      </c>
      <c r="F815" s="61" t="s">
        <v>7240</v>
      </c>
    </row>
    <row r="816" spans="1:6" x14ac:dyDescent="0.25">
      <c r="A816" s="15" t="s">
        <v>4283</v>
      </c>
      <c r="B816" s="15" t="s">
        <v>4271</v>
      </c>
      <c r="C816" s="52">
        <v>94.197000000000003</v>
      </c>
      <c r="D816" s="25">
        <v>7.8472222222222221E-2</v>
      </c>
      <c r="F816" s="61" t="s">
        <v>4975</v>
      </c>
    </row>
    <row r="817" spans="1:6" x14ac:dyDescent="0.25">
      <c r="A817" s="15" t="s">
        <v>4283</v>
      </c>
      <c r="B817" s="15" t="s">
        <v>4272</v>
      </c>
      <c r="C817" s="54">
        <v>91.794773000000006</v>
      </c>
      <c r="D817" s="26">
        <v>7.7777777777777779E-2</v>
      </c>
      <c r="F817" s="61" t="s">
        <v>4976</v>
      </c>
    </row>
    <row r="818" spans="1:6" x14ac:dyDescent="0.25">
      <c r="A818" s="15" t="s">
        <v>4283</v>
      </c>
      <c r="B818" s="15" t="s">
        <v>4273</v>
      </c>
      <c r="C818" s="52">
        <v>91.861260000000001</v>
      </c>
      <c r="D818" s="25">
        <v>7.8472222222222221E-2</v>
      </c>
      <c r="F818" s="61" t="s">
        <v>4977</v>
      </c>
    </row>
    <row r="819" spans="1:6" x14ac:dyDescent="0.25">
      <c r="A819" s="15" t="s">
        <v>4283</v>
      </c>
      <c r="B819" s="15" t="s">
        <v>4274</v>
      </c>
      <c r="C819" s="54">
        <v>95.710663999999994</v>
      </c>
      <c r="D819" s="26">
        <v>7.9166666666666663E-2</v>
      </c>
      <c r="F819" s="61" t="s">
        <v>4978</v>
      </c>
    </row>
    <row r="820" spans="1:6" x14ac:dyDescent="0.25">
      <c r="A820" s="15" t="s">
        <v>4283</v>
      </c>
      <c r="B820" s="15" t="s">
        <v>4275</v>
      </c>
      <c r="C820" s="52">
        <v>95.803870000000003</v>
      </c>
      <c r="D820" s="25">
        <v>7.9861111111111105E-2</v>
      </c>
      <c r="F820" s="61" t="s">
        <v>4979</v>
      </c>
    </row>
    <row r="821" spans="1:6" x14ac:dyDescent="0.25">
      <c r="A821" s="15" t="s">
        <v>4283</v>
      </c>
      <c r="B821" s="15" t="s">
        <v>4276</v>
      </c>
      <c r="C821" s="54">
        <v>90.206543999999994</v>
      </c>
      <c r="D821" s="26">
        <v>7.8472222222222221E-2</v>
      </c>
      <c r="F821" s="61" t="s">
        <v>4980</v>
      </c>
    </row>
    <row r="822" spans="1:6" x14ac:dyDescent="0.25">
      <c r="A822" s="15" t="s">
        <v>4283</v>
      </c>
      <c r="B822" s="15" t="s">
        <v>4277</v>
      </c>
      <c r="C822" s="52">
        <v>94.856898000000001</v>
      </c>
      <c r="D822" s="25">
        <v>8.1944444444444445E-2</v>
      </c>
      <c r="F822" s="61" t="s">
        <v>4981</v>
      </c>
    </row>
    <row r="823" spans="1:6" x14ac:dyDescent="0.25">
      <c r="A823" s="15" t="s">
        <v>4283</v>
      </c>
      <c r="B823" s="15" t="s">
        <v>4278</v>
      </c>
      <c r="C823" s="54">
        <v>89.593249</v>
      </c>
      <c r="D823" s="26">
        <v>7.3611111111111113E-2</v>
      </c>
      <c r="F823" s="61" t="s">
        <v>4982</v>
      </c>
    </row>
    <row r="824" spans="1:6" x14ac:dyDescent="0.25">
      <c r="A824" s="15" t="s">
        <v>4283</v>
      </c>
      <c r="B824" s="15" t="s">
        <v>4279</v>
      </c>
      <c r="C824" s="52">
        <v>113.174345</v>
      </c>
      <c r="D824" s="25">
        <v>9.4444444444444442E-2</v>
      </c>
      <c r="F824" s="61" t="s">
        <v>4983</v>
      </c>
    </row>
    <row r="825" spans="1:6" x14ac:dyDescent="0.25">
      <c r="A825" s="15" t="s">
        <v>4283</v>
      </c>
      <c r="B825" s="15" t="s">
        <v>4280</v>
      </c>
      <c r="C825" s="54">
        <v>60.447761</v>
      </c>
      <c r="D825" s="26">
        <v>5.9722222222222225E-2</v>
      </c>
      <c r="F825" s="61" t="s">
        <v>4984</v>
      </c>
    </row>
    <row r="826" spans="1:6" x14ac:dyDescent="0.25">
      <c r="A826" s="15" t="s">
        <v>4283</v>
      </c>
      <c r="B826" s="15" t="s">
        <v>4281</v>
      </c>
      <c r="C826" s="52">
        <v>133.72438399999999</v>
      </c>
      <c r="D826" s="25">
        <v>0.10902777777777778</v>
      </c>
      <c r="F826" s="61" t="s">
        <v>4985</v>
      </c>
    </row>
    <row r="827" spans="1:6" x14ac:dyDescent="0.25">
      <c r="A827" s="15" t="s">
        <v>4283</v>
      </c>
      <c r="B827" s="15" t="s">
        <v>4282</v>
      </c>
      <c r="C827" s="54">
        <v>12.655499000000001</v>
      </c>
      <c r="D827" s="26">
        <v>1.5277777777777777E-2</v>
      </c>
      <c r="F827" s="61" t="s">
        <v>4986</v>
      </c>
    </row>
    <row r="828" spans="1:6" x14ac:dyDescent="0.25">
      <c r="A828" s="15" t="s">
        <v>4283</v>
      </c>
      <c r="B828" s="15" t="s">
        <v>4283</v>
      </c>
      <c r="C828" s="52">
        <v>0</v>
      </c>
      <c r="D828" s="25">
        <v>0</v>
      </c>
      <c r="F828" s="61" t="s">
        <v>4987</v>
      </c>
    </row>
    <row r="829" spans="1:6" x14ac:dyDescent="0.25">
      <c r="A829" s="15" t="s">
        <v>4283</v>
      </c>
      <c r="B829" s="15" t="s">
        <v>4284</v>
      </c>
      <c r="C829" s="54">
        <v>2.4196249999999999</v>
      </c>
      <c r="D829" s="26">
        <v>5.5555555555555558E-3</v>
      </c>
      <c r="F829" s="61" t="s">
        <v>4988</v>
      </c>
    </row>
    <row r="830" spans="1:6" x14ac:dyDescent="0.25">
      <c r="A830" s="15" t="s">
        <v>4283</v>
      </c>
      <c r="B830" s="15" t="s">
        <v>4285</v>
      </c>
      <c r="C830" s="52">
        <v>4.8081820000000004</v>
      </c>
      <c r="D830" s="25">
        <v>1.1805555555555555E-2</v>
      </c>
      <c r="F830" s="61" t="s">
        <v>4989</v>
      </c>
    </row>
    <row r="831" spans="1:6" x14ac:dyDescent="0.25">
      <c r="A831" s="15" t="s">
        <v>4283</v>
      </c>
      <c r="B831" s="15" t="s">
        <v>4286</v>
      </c>
      <c r="C831" s="54">
        <v>3.7288579999999998</v>
      </c>
      <c r="D831" s="26">
        <v>9.7222222222222224E-3</v>
      </c>
      <c r="F831" s="61" t="s">
        <v>4990</v>
      </c>
    </row>
    <row r="832" spans="1:6" x14ac:dyDescent="0.25">
      <c r="A832" s="15" t="s">
        <v>4283</v>
      </c>
      <c r="B832" s="15" t="s">
        <v>4287</v>
      </c>
      <c r="C832" s="52">
        <v>0.62945099999999998</v>
      </c>
      <c r="D832" s="25">
        <v>2.7777777777777779E-3</v>
      </c>
      <c r="F832" s="61" t="s">
        <v>4991</v>
      </c>
    </row>
    <row r="833" spans="1:6" x14ac:dyDescent="0.25">
      <c r="A833" s="15" t="s">
        <v>4283</v>
      </c>
      <c r="B833" s="15" t="s">
        <v>4288</v>
      </c>
      <c r="C833" s="54">
        <v>9.6225780000000007</v>
      </c>
      <c r="D833" s="26">
        <v>1.3194444444444444E-2</v>
      </c>
      <c r="F833" s="61" t="s">
        <v>4992</v>
      </c>
    </row>
    <row r="834" spans="1:6" x14ac:dyDescent="0.25">
      <c r="A834" s="15" t="s">
        <v>4283</v>
      </c>
      <c r="B834" s="15" t="s">
        <v>4289</v>
      </c>
      <c r="C834" s="52">
        <v>55.620316000000003</v>
      </c>
      <c r="D834" s="25">
        <v>5.0694444444444452E-2</v>
      </c>
      <c r="F834" s="61" t="s">
        <v>4993</v>
      </c>
    </row>
    <row r="835" spans="1:6" x14ac:dyDescent="0.25">
      <c r="A835" s="15" t="s">
        <v>4283</v>
      </c>
      <c r="B835" s="15" t="s">
        <v>4290</v>
      </c>
      <c r="C835" s="54">
        <v>63.173102</v>
      </c>
      <c r="D835" s="26">
        <v>5.9722222222222225E-2</v>
      </c>
      <c r="F835" s="61" t="s">
        <v>4994</v>
      </c>
    </row>
    <row r="836" spans="1:6" x14ac:dyDescent="0.25">
      <c r="A836" s="15" t="s">
        <v>4283</v>
      </c>
      <c r="B836" s="15" t="s">
        <v>4291</v>
      </c>
      <c r="C836" s="52">
        <v>62.779772999999999</v>
      </c>
      <c r="D836" s="25">
        <v>6.0416666666666667E-2</v>
      </c>
      <c r="F836" s="61" t="s">
        <v>4995</v>
      </c>
    </row>
    <row r="837" spans="1:6" x14ac:dyDescent="0.25">
      <c r="A837" s="15" t="s">
        <v>4283</v>
      </c>
      <c r="B837" s="15" t="s">
        <v>4292</v>
      </c>
      <c r="C837" s="54">
        <v>59.490226</v>
      </c>
      <c r="D837" s="26">
        <v>5.6944444444444443E-2</v>
      </c>
      <c r="F837" s="61" t="s">
        <v>4996</v>
      </c>
    </row>
    <row r="838" spans="1:6" x14ac:dyDescent="0.25">
      <c r="A838" s="15" t="s">
        <v>4283</v>
      </c>
      <c r="B838" s="15" t="s">
        <v>4293</v>
      </c>
      <c r="C838" s="52">
        <v>67.929089000000005</v>
      </c>
      <c r="D838" s="25">
        <v>6.6666666666666666E-2</v>
      </c>
      <c r="F838" s="61" t="s">
        <v>4997</v>
      </c>
    </row>
    <row r="839" spans="1:6" x14ac:dyDescent="0.25">
      <c r="A839" s="15" t="s">
        <v>4283</v>
      </c>
      <c r="B839" s="15" t="s">
        <v>4294</v>
      </c>
      <c r="C839" s="54">
        <v>62.773558999999999</v>
      </c>
      <c r="D839" s="26">
        <v>6.9444444444444434E-2</v>
      </c>
      <c r="F839" s="61" t="s">
        <v>4998</v>
      </c>
    </row>
    <row r="840" spans="1:6" x14ac:dyDescent="0.25">
      <c r="A840" s="15" t="s">
        <v>4283</v>
      </c>
      <c r="B840" s="15" t="s">
        <v>4295</v>
      </c>
      <c r="C840" s="52">
        <v>65.196912999999995</v>
      </c>
      <c r="D840" s="25">
        <v>7.4999999999999997E-2</v>
      </c>
      <c r="F840" s="61" t="s">
        <v>4999</v>
      </c>
    </row>
    <row r="841" spans="1:6" x14ac:dyDescent="0.25">
      <c r="A841" s="15" t="s">
        <v>4283</v>
      </c>
      <c r="B841" s="15" t="s">
        <v>4296</v>
      </c>
      <c r="C841" s="54">
        <v>71.885991000000004</v>
      </c>
      <c r="D841" s="26">
        <v>6.8749999999999992E-2</v>
      </c>
      <c r="F841" s="61" t="s">
        <v>5000</v>
      </c>
    </row>
    <row r="842" spans="1:6" x14ac:dyDescent="0.25">
      <c r="A842" s="15" t="s">
        <v>4283</v>
      </c>
      <c r="B842" s="15" t="s">
        <v>4297</v>
      </c>
      <c r="C842" s="52">
        <v>64.600395000000006</v>
      </c>
      <c r="D842" s="25">
        <v>7.1527777777777787E-2</v>
      </c>
      <c r="F842" s="61" t="s">
        <v>5001</v>
      </c>
    </row>
    <row r="843" spans="1:6" x14ac:dyDescent="0.25">
      <c r="A843" s="15" t="s">
        <v>4283</v>
      </c>
      <c r="B843" s="15" t="s">
        <v>4298</v>
      </c>
      <c r="C843" s="54">
        <v>64.387885999999995</v>
      </c>
      <c r="D843" s="26">
        <v>6.6666666666666666E-2</v>
      </c>
      <c r="F843" s="61" t="s">
        <v>5002</v>
      </c>
    </row>
    <row r="844" spans="1:6" x14ac:dyDescent="0.25">
      <c r="A844" s="15" t="s">
        <v>4283</v>
      </c>
      <c r="B844" s="15" t="s">
        <v>4299</v>
      </c>
      <c r="C844" s="52">
        <v>61.972610000000003</v>
      </c>
      <c r="D844" s="25">
        <v>6.25E-2</v>
      </c>
      <c r="F844" s="61" t="s">
        <v>5003</v>
      </c>
    </row>
    <row r="845" spans="1:6" x14ac:dyDescent="0.25">
      <c r="A845" s="15" t="s">
        <v>4283</v>
      </c>
      <c r="B845" s="15" t="s">
        <v>4300</v>
      </c>
      <c r="C845" s="54">
        <v>63.034536000000003</v>
      </c>
      <c r="D845" s="26">
        <v>5.5555555555555552E-2</v>
      </c>
      <c r="F845" s="61" t="s">
        <v>5004</v>
      </c>
    </row>
    <row r="846" spans="1:6" x14ac:dyDescent="0.25">
      <c r="A846" s="15" t="s">
        <v>4283</v>
      </c>
      <c r="B846" s="15" t="s">
        <v>4301</v>
      </c>
      <c r="C846" s="52">
        <v>65.888501000000005</v>
      </c>
      <c r="D846" s="25">
        <v>6.5277777777777782E-2</v>
      </c>
      <c r="F846" s="61" t="s">
        <v>5005</v>
      </c>
    </row>
    <row r="847" spans="1:6" x14ac:dyDescent="0.25">
      <c r="A847" s="15" t="s">
        <v>4283</v>
      </c>
      <c r="B847" s="15" t="s">
        <v>4302</v>
      </c>
      <c r="C847" s="54">
        <v>60.919383000000003</v>
      </c>
      <c r="D847" s="26">
        <v>5.8333333333333327E-2</v>
      </c>
      <c r="F847" s="61" t="s">
        <v>5006</v>
      </c>
    </row>
    <row r="848" spans="1:6" x14ac:dyDescent="0.25">
      <c r="A848" s="15" t="s">
        <v>4283</v>
      </c>
      <c r="B848" s="15" t="s">
        <v>4303</v>
      </c>
      <c r="C848" s="52">
        <v>50.985497000000002</v>
      </c>
      <c r="D848" s="25">
        <v>4.7916666666666663E-2</v>
      </c>
      <c r="F848" s="61" t="s">
        <v>5007</v>
      </c>
    </row>
    <row r="849" spans="1:6" x14ac:dyDescent="0.25">
      <c r="A849" s="15" t="s">
        <v>4283</v>
      </c>
      <c r="B849" s="15" t="s">
        <v>4304</v>
      </c>
      <c r="C849" s="54">
        <v>70.596020999999993</v>
      </c>
      <c r="D849" s="26">
        <v>7.013888888888889E-2</v>
      </c>
      <c r="F849" s="61" t="s">
        <v>5008</v>
      </c>
    </row>
    <row r="850" spans="1:6" x14ac:dyDescent="0.25">
      <c r="A850" s="15" t="s">
        <v>4283</v>
      </c>
      <c r="B850" s="15" t="s">
        <v>4305</v>
      </c>
      <c r="C850" s="52">
        <v>71.191917000000004</v>
      </c>
      <c r="D850" s="25">
        <v>6.9444444444444434E-2</v>
      </c>
      <c r="F850" s="61" t="s">
        <v>5009</v>
      </c>
    </row>
    <row r="851" spans="1:6" x14ac:dyDescent="0.25">
      <c r="A851" s="15" t="s">
        <v>4283</v>
      </c>
      <c r="B851" s="15" t="s">
        <v>4306</v>
      </c>
      <c r="C851" s="54">
        <v>179.89175700000001</v>
      </c>
      <c r="D851" s="26">
        <v>0.14722222222222223</v>
      </c>
      <c r="F851" s="61" t="s">
        <v>5010</v>
      </c>
    </row>
    <row r="852" spans="1:6" x14ac:dyDescent="0.25">
      <c r="A852" s="15" t="s">
        <v>4283</v>
      </c>
      <c r="B852" s="15" t="s">
        <v>4307</v>
      </c>
      <c r="C852" s="52">
        <v>178.79503399999999</v>
      </c>
      <c r="D852" s="25">
        <v>0.14583333333333334</v>
      </c>
      <c r="F852" s="61" t="s">
        <v>5011</v>
      </c>
    </row>
    <row r="853" spans="1:6" x14ac:dyDescent="0.25">
      <c r="A853" s="15" t="s">
        <v>4283</v>
      </c>
      <c r="B853" s="15" t="s">
        <v>4308</v>
      </c>
      <c r="C853" s="54">
        <v>177.018529</v>
      </c>
      <c r="D853" s="26">
        <v>0.14375000000000002</v>
      </c>
      <c r="F853" s="61" t="s">
        <v>5012</v>
      </c>
    </row>
    <row r="854" spans="1:6" x14ac:dyDescent="0.25">
      <c r="A854" s="15" t="s">
        <v>4283</v>
      </c>
      <c r="B854" s="15" t="s">
        <v>4309</v>
      </c>
      <c r="C854" s="52">
        <v>30.628705</v>
      </c>
      <c r="D854" s="25">
        <v>3.2638888888888891E-2</v>
      </c>
      <c r="F854" s="61" t="s">
        <v>5013</v>
      </c>
    </row>
    <row r="855" spans="1:6" x14ac:dyDescent="0.25">
      <c r="A855" s="15" t="s">
        <v>4283</v>
      </c>
      <c r="B855" s="15" t="s">
        <v>4310</v>
      </c>
      <c r="C855" s="54">
        <v>32.190215000000002</v>
      </c>
      <c r="D855" s="26">
        <v>3.6111111111111115E-2</v>
      </c>
      <c r="F855" s="61" t="s">
        <v>5014</v>
      </c>
    </row>
    <row r="856" spans="1:6" x14ac:dyDescent="0.25">
      <c r="A856" s="15" t="s">
        <v>4283</v>
      </c>
      <c r="B856" s="15" t="s">
        <v>4311</v>
      </c>
      <c r="C856" s="52">
        <v>21.483961999999998</v>
      </c>
      <c r="D856" s="25">
        <v>2.7083333333333334E-2</v>
      </c>
      <c r="F856" s="61" t="s">
        <v>5015</v>
      </c>
    </row>
    <row r="857" spans="1:6" x14ac:dyDescent="0.25">
      <c r="A857" s="15" t="s">
        <v>4283</v>
      </c>
      <c r="B857" s="15" t="s">
        <v>4312</v>
      </c>
      <c r="C857" s="54">
        <v>18.196279000000001</v>
      </c>
      <c r="D857" s="26">
        <v>1.9444444444444445E-2</v>
      </c>
      <c r="F857" s="61" t="s">
        <v>5016</v>
      </c>
    </row>
    <row r="858" spans="1:6" x14ac:dyDescent="0.25">
      <c r="A858" s="15" t="s">
        <v>4283</v>
      </c>
      <c r="B858" s="15" t="s">
        <v>4313</v>
      </c>
      <c r="C858" s="52">
        <v>36.870393999999997</v>
      </c>
      <c r="D858" s="25">
        <v>3.888888888888889E-2</v>
      </c>
      <c r="F858" s="61" t="s">
        <v>5017</v>
      </c>
    </row>
    <row r="859" spans="1:6" x14ac:dyDescent="0.25">
      <c r="A859" s="15" t="s">
        <v>4283</v>
      </c>
      <c r="B859" s="15" t="s">
        <v>4314</v>
      </c>
      <c r="C859" s="54">
        <v>123.89799499999999</v>
      </c>
      <c r="D859" s="26">
        <v>0.10902777777777778</v>
      </c>
      <c r="F859" s="61" t="s">
        <v>5018</v>
      </c>
    </row>
    <row r="860" spans="1:6" x14ac:dyDescent="0.25">
      <c r="A860" s="15" t="s">
        <v>4283</v>
      </c>
      <c r="B860" s="15" t="s">
        <v>4315</v>
      </c>
      <c r="C860" s="52">
        <v>128.19105999999999</v>
      </c>
      <c r="D860" s="25">
        <v>0.11805555555555557</v>
      </c>
      <c r="F860" s="61" t="s">
        <v>5019</v>
      </c>
    </row>
    <row r="861" spans="1:6" x14ac:dyDescent="0.25">
      <c r="A861" s="15" t="s">
        <v>4283</v>
      </c>
      <c r="B861" s="15" t="s">
        <v>4316</v>
      </c>
      <c r="C861" s="54">
        <v>112.62008</v>
      </c>
      <c r="D861" s="26">
        <v>0.10277777777777779</v>
      </c>
      <c r="F861" s="61" t="s">
        <v>5020</v>
      </c>
    </row>
    <row r="862" spans="1:6" x14ac:dyDescent="0.25">
      <c r="A862" s="15" t="s">
        <v>4283</v>
      </c>
      <c r="B862" s="15" t="s">
        <v>4317</v>
      </c>
      <c r="C862" s="52">
        <v>226.34806800000001</v>
      </c>
      <c r="D862" s="25">
        <v>0.18124999999999999</v>
      </c>
      <c r="F862" s="61" t="s">
        <v>5021</v>
      </c>
    </row>
    <row r="863" spans="1:6" x14ac:dyDescent="0.25">
      <c r="A863" s="15" t="s">
        <v>4283</v>
      </c>
      <c r="B863" s="15" t="s">
        <v>4318</v>
      </c>
      <c r="C863" s="54">
        <v>235.45925700000001</v>
      </c>
      <c r="D863" s="26">
        <v>0.18958333333333333</v>
      </c>
      <c r="F863" s="61" t="s">
        <v>5022</v>
      </c>
    </row>
    <row r="864" spans="1:6" x14ac:dyDescent="0.25">
      <c r="A864" s="15" t="s">
        <v>4283</v>
      </c>
      <c r="B864" s="15" t="s">
        <v>4319</v>
      </c>
      <c r="C864" s="52">
        <v>229.09702100000001</v>
      </c>
      <c r="D864" s="25">
        <v>0.18541666666666667</v>
      </c>
      <c r="F864" s="61" t="s">
        <v>5023</v>
      </c>
    </row>
    <row r="865" spans="1:6" x14ac:dyDescent="0.25">
      <c r="A865" s="15" t="s">
        <v>4283</v>
      </c>
      <c r="B865" s="15" t="s">
        <v>4320</v>
      </c>
      <c r="C865" s="54">
        <v>260.01901400000003</v>
      </c>
      <c r="D865" s="26">
        <v>0.21111111111111111</v>
      </c>
      <c r="F865" s="61" t="s">
        <v>5024</v>
      </c>
    </row>
    <row r="866" spans="1:6" x14ac:dyDescent="0.25">
      <c r="A866" s="15" t="s">
        <v>4283</v>
      </c>
      <c r="B866" s="15" t="s">
        <v>4321</v>
      </c>
      <c r="C866" s="52">
        <v>253.67417699999999</v>
      </c>
      <c r="D866" s="25">
        <v>0.20694444444444446</v>
      </c>
      <c r="F866" s="61" t="s">
        <v>5025</v>
      </c>
    </row>
    <row r="867" spans="1:6" x14ac:dyDescent="0.25">
      <c r="A867" s="15" t="s">
        <v>4284</v>
      </c>
      <c r="B867" s="15">
        <v>3423909</v>
      </c>
      <c r="C867" s="54">
        <v>114.608473</v>
      </c>
      <c r="D867" s="26">
        <v>9.7916666666666666E-2</v>
      </c>
      <c r="F867" s="61" t="s">
        <v>7029</v>
      </c>
    </row>
    <row r="868" spans="1:6" x14ac:dyDescent="0.25">
      <c r="A868" s="15" t="s">
        <v>4284</v>
      </c>
      <c r="B868" s="15">
        <v>3403208</v>
      </c>
      <c r="C868" s="52">
        <v>204.696335</v>
      </c>
      <c r="D868" s="25">
        <v>0.16388888888888889</v>
      </c>
      <c r="F868" s="61" t="s">
        <v>7134</v>
      </c>
    </row>
    <row r="869" spans="1:6" x14ac:dyDescent="0.25">
      <c r="A869" s="15" t="s">
        <v>4284</v>
      </c>
      <c r="B869" s="15">
        <v>3424402</v>
      </c>
      <c r="C869" s="54">
        <v>9.5915099999999995</v>
      </c>
      <c r="D869" s="26">
        <v>1.2499999999999999E-2</v>
      </c>
      <c r="F869" s="61" t="s">
        <v>7241</v>
      </c>
    </row>
    <row r="870" spans="1:6" x14ac:dyDescent="0.25">
      <c r="A870" s="15" t="s">
        <v>4284</v>
      </c>
      <c r="B870" s="15" t="s">
        <v>4271</v>
      </c>
      <c r="C870" s="52">
        <v>95.675246000000001</v>
      </c>
      <c r="D870" s="25">
        <v>8.4027777777777771E-2</v>
      </c>
      <c r="F870" s="61" t="s">
        <v>5026</v>
      </c>
    </row>
    <row r="871" spans="1:6" x14ac:dyDescent="0.25">
      <c r="A871" s="15" t="s">
        <v>4284</v>
      </c>
      <c r="B871" s="15" t="s">
        <v>4272</v>
      </c>
      <c r="C871" s="54">
        <v>93.535238000000007</v>
      </c>
      <c r="D871" s="26">
        <v>7.9166666666666663E-2</v>
      </c>
      <c r="F871" s="61" t="s">
        <v>5027</v>
      </c>
    </row>
    <row r="872" spans="1:6" x14ac:dyDescent="0.25">
      <c r="A872" s="15" t="s">
        <v>4284</v>
      </c>
      <c r="B872" s="15" t="s">
        <v>4273</v>
      </c>
      <c r="C872" s="52">
        <v>93.601725000000002</v>
      </c>
      <c r="D872" s="25">
        <v>7.9861111111111105E-2</v>
      </c>
      <c r="F872" s="61" t="s">
        <v>5028</v>
      </c>
    </row>
    <row r="873" spans="1:6" x14ac:dyDescent="0.25">
      <c r="A873" s="15" t="s">
        <v>4284</v>
      </c>
      <c r="B873" s="15" t="s">
        <v>4274</v>
      </c>
      <c r="C873" s="54">
        <v>97.451128999999995</v>
      </c>
      <c r="D873" s="26">
        <v>8.0555555555555561E-2</v>
      </c>
      <c r="F873" s="61" t="s">
        <v>5029</v>
      </c>
    </row>
    <row r="874" spans="1:6" x14ac:dyDescent="0.25">
      <c r="A874" s="15" t="s">
        <v>4284</v>
      </c>
      <c r="B874" s="15" t="s">
        <v>4275</v>
      </c>
      <c r="C874" s="52">
        <v>97.544335000000004</v>
      </c>
      <c r="D874" s="25">
        <v>8.0555555555555561E-2</v>
      </c>
      <c r="F874" s="61" t="s">
        <v>5030</v>
      </c>
    </row>
    <row r="875" spans="1:6" x14ac:dyDescent="0.25">
      <c r="A875" s="15" t="s">
        <v>4284</v>
      </c>
      <c r="B875" s="15" t="s">
        <v>4276</v>
      </c>
      <c r="C875" s="54">
        <v>97.866206000000005</v>
      </c>
      <c r="D875" s="26">
        <v>8.6805555555555566E-2</v>
      </c>
      <c r="F875" s="61" t="s">
        <v>5031</v>
      </c>
    </row>
    <row r="876" spans="1:6" x14ac:dyDescent="0.25">
      <c r="A876" s="15" t="s">
        <v>4284</v>
      </c>
      <c r="B876" s="15" t="s">
        <v>4277</v>
      </c>
      <c r="C876" s="52">
        <v>96.597363000000001</v>
      </c>
      <c r="D876" s="25">
        <v>8.3333333333333329E-2</v>
      </c>
      <c r="F876" s="61" t="s">
        <v>5032</v>
      </c>
    </row>
    <row r="877" spans="1:6" x14ac:dyDescent="0.25">
      <c r="A877" s="15" t="s">
        <v>4284</v>
      </c>
      <c r="B877" s="15" t="s">
        <v>4278</v>
      </c>
      <c r="C877" s="54">
        <v>91.333714000000001</v>
      </c>
      <c r="D877" s="26">
        <v>7.4999999999999997E-2</v>
      </c>
      <c r="F877" s="61" t="s">
        <v>5033</v>
      </c>
    </row>
    <row r="878" spans="1:6" x14ac:dyDescent="0.25">
      <c r="A878" s="15" t="s">
        <v>4284</v>
      </c>
      <c r="B878" s="15" t="s">
        <v>4279</v>
      </c>
      <c r="C878" s="52">
        <v>114.91481</v>
      </c>
      <c r="D878" s="25">
        <v>9.5833333333333326E-2</v>
      </c>
      <c r="F878" s="61" t="s">
        <v>5034</v>
      </c>
    </row>
    <row r="879" spans="1:6" x14ac:dyDescent="0.25">
      <c r="A879" s="15" t="s">
        <v>4284</v>
      </c>
      <c r="B879" s="15" t="s">
        <v>4280</v>
      </c>
      <c r="C879" s="54">
        <v>62.188226</v>
      </c>
      <c r="D879" s="26">
        <v>6.1111111111111116E-2</v>
      </c>
      <c r="F879" s="61" t="s">
        <v>5035</v>
      </c>
    </row>
    <row r="880" spans="1:6" x14ac:dyDescent="0.25">
      <c r="A880" s="15" t="s">
        <v>4284</v>
      </c>
      <c r="B880" s="15" t="s">
        <v>4281</v>
      </c>
      <c r="C880" s="52">
        <v>135.46484899999999</v>
      </c>
      <c r="D880" s="25">
        <v>0.10972222222222222</v>
      </c>
      <c r="F880" s="61" t="s">
        <v>5036</v>
      </c>
    </row>
    <row r="881" spans="1:6" x14ac:dyDescent="0.25">
      <c r="A881" s="15" t="s">
        <v>4284</v>
      </c>
      <c r="B881" s="15" t="s">
        <v>4282</v>
      </c>
      <c r="C881" s="54">
        <v>14.395963999999999</v>
      </c>
      <c r="D881" s="26">
        <v>1.6666666666666666E-2</v>
      </c>
      <c r="F881" s="61" t="s">
        <v>5037</v>
      </c>
    </row>
    <row r="882" spans="1:6" x14ac:dyDescent="0.25">
      <c r="A882" s="15" t="s">
        <v>4284</v>
      </c>
      <c r="B882" s="15" t="s">
        <v>4283</v>
      </c>
      <c r="C882" s="52">
        <v>1.9424110000000001</v>
      </c>
      <c r="D882" s="25">
        <v>4.1666666666666666E-3</v>
      </c>
      <c r="F882" s="61" t="s">
        <v>5038</v>
      </c>
    </row>
    <row r="883" spans="1:6" x14ac:dyDescent="0.25">
      <c r="A883" s="15" t="s">
        <v>4284</v>
      </c>
      <c r="B883" s="15" t="s">
        <v>4284</v>
      </c>
      <c r="C883" s="54">
        <v>0</v>
      </c>
      <c r="D883" s="26">
        <v>0</v>
      </c>
      <c r="F883" s="61" t="s">
        <v>5039</v>
      </c>
    </row>
    <row r="884" spans="1:6" x14ac:dyDescent="0.25">
      <c r="A884" s="15" t="s">
        <v>4284</v>
      </c>
      <c r="B884" s="15" t="s">
        <v>4285</v>
      </c>
      <c r="C884" s="52">
        <v>2.3835860000000002</v>
      </c>
      <c r="D884" s="25">
        <v>6.9444444444444441E-3</v>
      </c>
      <c r="F884" s="61" t="s">
        <v>5040</v>
      </c>
    </row>
    <row r="885" spans="1:6" x14ac:dyDescent="0.25">
      <c r="A885" s="15" t="s">
        <v>4284</v>
      </c>
      <c r="B885" s="15" t="s">
        <v>4286</v>
      </c>
      <c r="C885" s="54">
        <v>2.916102</v>
      </c>
      <c r="D885" s="26">
        <v>6.2499999999999995E-3</v>
      </c>
      <c r="F885" s="61" t="s">
        <v>5041</v>
      </c>
    </row>
    <row r="886" spans="1:6" x14ac:dyDescent="0.25">
      <c r="A886" s="15" t="s">
        <v>4284</v>
      </c>
      <c r="B886" s="15" t="s">
        <v>4287</v>
      </c>
      <c r="C886" s="52">
        <v>2.3699159999999999</v>
      </c>
      <c r="D886" s="25">
        <v>4.1666666666666666E-3</v>
      </c>
      <c r="F886" s="61" t="s">
        <v>5042</v>
      </c>
    </row>
    <row r="887" spans="1:6" x14ac:dyDescent="0.25">
      <c r="A887" s="15" t="s">
        <v>4284</v>
      </c>
      <c r="B887" s="15" t="s">
        <v>4288</v>
      </c>
      <c r="C887" s="54">
        <v>7.1992250000000002</v>
      </c>
      <c r="D887" s="26">
        <v>9.7222222222222224E-3</v>
      </c>
      <c r="F887" s="61" t="s">
        <v>5043</v>
      </c>
    </row>
    <row r="888" spans="1:6" x14ac:dyDescent="0.25">
      <c r="A888" s="15" t="s">
        <v>4284</v>
      </c>
      <c r="B888" s="15" t="s">
        <v>4289</v>
      </c>
      <c r="C888" s="52">
        <v>57.360781000000003</v>
      </c>
      <c r="D888" s="25">
        <v>5.2083333333333336E-2</v>
      </c>
      <c r="F888" s="61" t="s">
        <v>5044</v>
      </c>
    </row>
    <row r="889" spans="1:6" x14ac:dyDescent="0.25">
      <c r="A889" s="15" t="s">
        <v>4284</v>
      </c>
      <c r="B889" s="15" t="s">
        <v>4290</v>
      </c>
      <c r="C889" s="54">
        <v>64.913567</v>
      </c>
      <c r="D889" s="26">
        <v>6.1111111111111116E-2</v>
      </c>
      <c r="F889" s="61" t="s">
        <v>5045</v>
      </c>
    </row>
    <row r="890" spans="1:6" x14ac:dyDescent="0.25">
      <c r="A890" s="15" t="s">
        <v>4284</v>
      </c>
      <c r="B890" s="15" t="s">
        <v>4291</v>
      </c>
      <c r="C890" s="52">
        <v>64.520238000000006</v>
      </c>
      <c r="D890" s="25">
        <v>6.1111111111111116E-2</v>
      </c>
      <c r="F890" s="61" t="s">
        <v>5046</v>
      </c>
    </row>
    <row r="891" spans="1:6" x14ac:dyDescent="0.25">
      <c r="A891" s="15" t="s">
        <v>4284</v>
      </c>
      <c r="B891" s="15" t="s">
        <v>4292</v>
      </c>
      <c r="C891" s="54">
        <v>61.230691</v>
      </c>
      <c r="D891" s="26">
        <v>5.8333333333333327E-2</v>
      </c>
      <c r="F891" s="61" t="s">
        <v>5047</v>
      </c>
    </row>
    <row r="892" spans="1:6" x14ac:dyDescent="0.25">
      <c r="A892" s="15" t="s">
        <v>4284</v>
      </c>
      <c r="B892" s="15" t="s">
        <v>4293</v>
      </c>
      <c r="C892" s="52">
        <v>69.669554000000005</v>
      </c>
      <c r="D892" s="25">
        <v>6.805555555555555E-2</v>
      </c>
      <c r="F892" s="61" t="s">
        <v>5048</v>
      </c>
    </row>
    <row r="893" spans="1:6" x14ac:dyDescent="0.25">
      <c r="A893" s="15" t="s">
        <v>4284</v>
      </c>
      <c r="B893" s="15" t="s">
        <v>4294</v>
      </c>
      <c r="C893" s="54">
        <v>64.514024000000006</v>
      </c>
      <c r="D893" s="26">
        <v>7.0833333333333331E-2</v>
      </c>
      <c r="F893" s="61" t="s">
        <v>5049</v>
      </c>
    </row>
    <row r="894" spans="1:6" x14ac:dyDescent="0.25">
      <c r="A894" s="15" t="s">
        <v>4284</v>
      </c>
      <c r="B894" s="15" t="s">
        <v>4295</v>
      </c>
      <c r="C894" s="52">
        <v>72.045062000000001</v>
      </c>
      <c r="D894" s="25">
        <v>7.4305555555555555E-2</v>
      </c>
      <c r="F894" s="61" t="s">
        <v>5050</v>
      </c>
    </row>
    <row r="895" spans="1:6" x14ac:dyDescent="0.25">
      <c r="A895" s="15" t="s">
        <v>4284</v>
      </c>
      <c r="B895" s="15" t="s">
        <v>4296</v>
      </c>
      <c r="C895" s="54">
        <v>73.626456000000005</v>
      </c>
      <c r="D895" s="26">
        <v>6.9444444444444434E-2</v>
      </c>
      <c r="F895" s="61" t="s">
        <v>5051</v>
      </c>
    </row>
    <row r="896" spans="1:6" x14ac:dyDescent="0.25">
      <c r="A896" s="15" t="s">
        <v>4284</v>
      </c>
      <c r="B896" s="15" t="s">
        <v>4297</v>
      </c>
      <c r="C896" s="52">
        <v>71.448543999999998</v>
      </c>
      <c r="D896" s="25">
        <v>7.0833333333333331E-2</v>
      </c>
      <c r="F896" s="61" t="s">
        <v>5052</v>
      </c>
    </row>
    <row r="897" spans="1:6" x14ac:dyDescent="0.25">
      <c r="A897" s="15" t="s">
        <v>4284</v>
      </c>
      <c r="B897" s="15" t="s">
        <v>4298</v>
      </c>
      <c r="C897" s="54">
        <v>66.128350999999995</v>
      </c>
      <c r="D897" s="26">
        <v>6.805555555555555E-2</v>
      </c>
      <c r="F897" s="61" t="s">
        <v>5053</v>
      </c>
    </row>
    <row r="898" spans="1:6" x14ac:dyDescent="0.25">
      <c r="A898" s="15" t="s">
        <v>4284</v>
      </c>
      <c r="B898" s="15" t="s">
        <v>4299</v>
      </c>
      <c r="C898" s="52">
        <v>63.713075000000003</v>
      </c>
      <c r="D898" s="25">
        <v>6.3194444444444442E-2</v>
      </c>
      <c r="F898" s="61" t="s">
        <v>5054</v>
      </c>
    </row>
    <row r="899" spans="1:6" x14ac:dyDescent="0.25">
      <c r="A899" s="15" t="s">
        <v>4284</v>
      </c>
      <c r="B899" s="15" t="s">
        <v>4300</v>
      </c>
      <c r="C899" s="54">
        <v>64.775001000000003</v>
      </c>
      <c r="D899" s="26">
        <v>5.6944444444444443E-2</v>
      </c>
      <c r="F899" s="61" t="s">
        <v>5055</v>
      </c>
    </row>
    <row r="900" spans="1:6" x14ac:dyDescent="0.25">
      <c r="A900" s="15" t="s">
        <v>4284</v>
      </c>
      <c r="B900" s="15" t="s">
        <v>4301</v>
      </c>
      <c r="C900" s="52">
        <v>67.628966000000005</v>
      </c>
      <c r="D900" s="25">
        <v>6.6666666666666666E-2</v>
      </c>
      <c r="F900" s="61" t="s">
        <v>5056</v>
      </c>
    </row>
    <row r="901" spans="1:6" x14ac:dyDescent="0.25">
      <c r="A901" s="15" t="s">
        <v>4284</v>
      </c>
      <c r="B901" s="15" t="s">
        <v>4302</v>
      </c>
      <c r="C901" s="54">
        <v>62.659847999999997</v>
      </c>
      <c r="D901" s="26">
        <v>5.9722222222222225E-2</v>
      </c>
      <c r="F901" s="61" t="s">
        <v>5057</v>
      </c>
    </row>
    <row r="902" spans="1:6" x14ac:dyDescent="0.25">
      <c r="A902" s="15" t="s">
        <v>4284</v>
      </c>
      <c r="B902" s="15" t="s">
        <v>4303</v>
      </c>
      <c r="C902" s="52">
        <v>52.725962000000003</v>
      </c>
      <c r="D902" s="25">
        <v>4.8611111111111112E-2</v>
      </c>
      <c r="F902" s="61" t="s">
        <v>5058</v>
      </c>
    </row>
    <row r="903" spans="1:6" x14ac:dyDescent="0.25">
      <c r="A903" s="15" t="s">
        <v>4284</v>
      </c>
      <c r="B903" s="15" t="s">
        <v>4304</v>
      </c>
      <c r="C903" s="54">
        <v>72.336485999999994</v>
      </c>
      <c r="D903" s="26">
        <v>7.0833333333333331E-2</v>
      </c>
      <c r="F903" s="61" t="s">
        <v>5059</v>
      </c>
    </row>
    <row r="904" spans="1:6" x14ac:dyDescent="0.25">
      <c r="A904" s="15" t="s">
        <v>4284</v>
      </c>
      <c r="B904" s="15" t="s">
        <v>4305</v>
      </c>
      <c r="C904" s="52">
        <v>72.932382000000004</v>
      </c>
      <c r="D904" s="25">
        <v>7.0833333333333331E-2</v>
      </c>
      <c r="F904" s="61" t="s">
        <v>5060</v>
      </c>
    </row>
    <row r="905" spans="1:6" x14ac:dyDescent="0.25">
      <c r="A905" s="15" t="s">
        <v>4284</v>
      </c>
      <c r="B905" s="15" t="s">
        <v>4306</v>
      </c>
      <c r="C905" s="54">
        <v>181.63222200000001</v>
      </c>
      <c r="D905" s="26">
        <v>0.14861111111111111</v>
      </c>
      <c r="F905" s="61" t="s">
        <v>5061</v>
      </c>
    </row>
    <row r="906" spans="1:6" x14ac:dyDescent="0.25">
      <c r="A906" s="15" t="s">
        <v>4284</v>
      </c>
      <c r="B906" s="15" t="s">
        <v>4307</v>
      </c>
      <c r="C906" s="52">
        <v>180.53549899999999</v>
      </c>
      <c r="D906" s="25">
        <v>0.14722222222222223</v>
      </c>
      <c r="F906" s="61" t="s">
        <v>5062</v>
      </c>
    </row>
    <row r="907" spans="1:6" x14ac:dyDescent="0.25">
      <c r="A907" s="15" t="s">
        <v>4284</v>
      </c>
      <c r="B907" s="15" t="s">
        <v>4308</v>
      </c>
      <c r="C907" s="54">
        <v>178.758994</v>
      </c>
      <c r="D907" s="26">
        <v>0.14444444444444446</v>
      </c>
      <c r="F907" s="61" t="s">
        <v>5063</v>
      </c>
    </row>
    <row r="908" spans="1:6" x14ac:dyDescent="0.25">
      <c r="A908" s="15" t="s">
        <v>4284</v>
      </c>
      <c r="B908" s="15" t="s">
        <v>4309</v>
      </c>
      <c r="C908" s="52">
        <v>28.205351</v>
      </c>
      <c r="D908" s="25">
        <v>2.9166666666666664E-2</v>
      </c>
      <c r="F908" s="61" t="s">
        <v>5064</v>
      </c>
    </row>
    <row r="909" spans="1:6" x14ac:dyDescent="0.25">
      <c r="A909" s="15" t="s">
        <v>4284</v>
      </c>
      <c r="B909" s="15" t="s">
        <v>4310</v>
      </c>
      <c r="C909" s="54">
        <v>29.766860999999999</v>
      </c>
      <c r="D909" s="26">
        <v>3.2638888888888891E-2</v>
      </c>
      <c r="F909" s="61" t="s">
        <v>5065</v>
      </c>
    </row>
    <row r="910" spans="1:6" x14ac:dyDescent="0.25">
      <c r="A910" s="15" t="s">
        <v>4284</v>
      </c>
      <c r="B910" s="15" t="s">
        <v>4311</v>
      </c>
      <c r="C910" s="52">
        <v>19.060608999999999</v>
      </c>
      <c r="D910" s="25">
        <v>2.2916666666666669E-2</v>
      </c>
      <c r="F910" s="61" t="s">
        <v>5066</v>
      </c>
    </row>
    <row r="911" spans="1:6" x14ac:dyDescent="0.25">
      <c r="A911" s="15" t="s">
        <v>4284</v>
      </c>
      <c r="B911" s="15" t="s">
        <v>4312</v>
      </c>
      <c r="C911" s="54">
        <v>15.772926</v>
      </c>
      <c r="D911" s="26">
        <v>1.5972222222222224E-2</v>
      </c>
      <c r="F911" s="61" t="s">
        <v>5067</v>
      </c>
    </row>
    <row r="912" spans="1:6" x14ac:dyDescent="0.25">
      <c r="A912" s="15" t="s">
        <v>4284</v>
      </c>
      <c r="B912" s="15" t="s">
        <v>4313</v>
      </c>
      <c r="C912" s="52">
        <v>34.447040000000001</v>
      </c>
      <c r="D912" s="25">
        <v>3.4722222222222224E-2</v>
      </c>
      <c r="F912" s="61" t="s">
        <v>5068</v>
      </c>
    </row>
    <row r="913" spans="1:6" x14ac:dyDescent="0.25">
      <c r="A913" s="15" t="s">
        <v>4284</v>
      </c>
      <c r="B913" s="15" t="s">
        <v>4314</v>
      </c>
      <c r="C913" s="54">
        <v>125.63845999999999</v>
      </c>
      <c r="D913" s="26">
        <v>0.11041666666666666</v>
      </c>
      <c r="F913" s="61" t="s">
        <v>5069</v>
      </c>
    </row>
    <row r="914" spans="1:6" x14ac:dyDescent="0.25">
      <c r="A914" s="15" t="s">
        <v>4284</v>
      </c>
      <c r="B914" s="15" t="s">
        <v>4315</v>
      </c>
      <c r="C914" s="52">
        <v>123.132464</v>
      </c>
      <c r="D914" s="25">
        <v>0.11597222222222221</v>
      </c>
      <c r="F914" s="61" t="s">
        <v>5070</v>
      </c>
    </row>
    <row r="915" spans="1:6" x14ac:dyDescent="0.25">
      <c r="A915" s="15" t="s">
        <v>4284</v>
      </c>
      <c r="B915" s="15" t="s">
        <v>4316</v>
      </c>
      <c r="C915" s="54">
        <v>114.360545</v>
      </c>
      <c r="D915" s="26">
        <v>0.10416666666666667</v>
      </c>
      <c r="F915" s="61" t="s">
        <v>5071</v>
      </c>
    </row>
    <row r="916" spans="1:6" x14ac:dyDescent="0.25">
      <c r="A916" s="15" t="s">
        <v>4284</v>
      </c>
      <c r="B916" s="15" t="s">
        <v>4317</v>
      </c>
      <c r="C916" s="52">
        <v>228.08853300000001</v>
      </c>
      <c r="D916" s="25">
        <v>0.18263888888888891</v>
      </c>
      <c r="F916" s="61" t="s">
        <v>5072</v>
      </c>
    </row>
    <row r="917" spans="1:6" x14ac:dyDescent="0.25">
      <c r="A917" s="15" t="s">
        <v>4284</v>
      </c>
      <c r="B917" s="15" t="s">
        <v>4318</v>
      </c>
      <c r="C917" s="54">
        <v>237.19972200000001</v>
      </c>
      <c r="D917" s="26">
        <v>0.19097222222222221</v>
      </c>
      <c r="F917" s="61" t="s">
        <v>5073</v>
      </c>
    </row>
    <row r="918" spans="1:6" x14ac:dyDescent="0.25">
      <c r="A918" s="15" t="s">
        <v>4284</v>
      </c>
      <c r="B918" s="15" t="s">
        <v>4319</v>
      </c>
      <c r="C918" s="52">
        <v>230.83748600000001</v>
      </c>
      <c r="D918" s="25">
        <v>0.18680555555555556</v>
      </c>
      <c r="F918" s="61" t="s">
        <v>5074</v>
      </c>
    </row>
    <row r="919" spans="1:6" x14ac:dyDescent="0.25">
      <c r="A919" s="15" t="s">
        <v>4284</v>
      </c>
      <c r="B919" s="15" t="s">
        <v>4320</v>
      </c>
      <c r="C919" s="54">
        <v>261.759479</v>
      </c>
      <c r="D919" s="26">
        <v>0.21249999999999999</v>
      </c>
      <c r="F919" s="61" t="s">
        <v>5075</v>
      </c>
    </row>
    <row r="920" spans="1:6" x14ac:dyDescent="0.25">
      <c r="A920" s="15" t="s">
        <v>4284</v>
      </c>
      <c r="B920" s="15" t="s">
        <v>4321</v>
      </c>
      <c r="C920" s="52">
        <v>255.41464199999999</v>
      </c>
      <c r="D920" s="25">
        <v>0.20833333333333334</v>
      </c>
      <c r="F920" s="61" t="s">
        <v>5076</v>
      </c>
    </row>
    <row r="921" spans="1:6" x14ac:dyDescent="0.25">
      <c r="A921" s="15" t="s">
        <v>4285</v>
      </c>
      <c r="B921" s="15">
        <v>3423909</v>
      </c>
      <c r="C921" s="54">
        <v>115.19877700000001</v>
      </c>
      <c r="D921" s="26">
        <v>0.10208333333333335</v>
      </c>
      <c r="F921" s="61" t="s">
        <v>7030</v>
      </c>
    </row>
    <row r="922" spans="1:6" x14ac:dyDescent="0.25">
      <c r="A922" s="15" t="s">
        <v>4285</v>
      </c>
      <c r="B922" s="15">
        <v>3403208</v>
      </c>
      <c r="C922" s="52">
        <v>205.28663900000001</v>
      </c>
      <c r="D922" s="25">
        <v>0.1673611111111111</v>
      </c>
      <c r="F922" s="61" t="s">
        <v>7135</v>
      </c>
    </row>
    <row r="923" spans="1:6" x14ac:dyDescent="0.25">
      <c r="A923" s="15" t="s">
        <v>4285</v>
      </c>
      <c r="B923" s="15">
        <v>3424402</v>
      </c>
      <c r="C923" s="54">
        <v>10.181813999999999</v>
      </c>
      <c r="D923" s="26">
        <v>1.5972222222222224E-2</v>
      </c>
      <c r="F923" s="61" t="s">
        <v>7242</v>
      </c>
    </row>
    <row r="924" spans="1:6" x14ac:dyDescent="0.25">
      <c r="A924" s="15" t="s">
        <v>4285</v>
      </c>
      <c r="B924" s="15" t="s">
        <v>4271</v>
      </c>
      <c r="C924" s="52">
        <v>96.265550000000005</v>
      </c>
      <c r="D924" s="25">
        <v>8.819444444444445E-2</v>
      </c>
      <c r="F924" s="61" t="s">
        <v>5077</v>
      </c>
    </row>
    <row r="925" spans="1:6" x14ac:dyDescent="0.25">
      <c r="A925" s="15" t="s">
        <v>4285</v>
      </c>
      <c r="B925" s="15" t="s">
        <v>4272</v>
      </c>
      <c r="C925" s="54">
        <v>94.125541999999996</v>
      </c>
      <c r="D925" s="26">
        <v>8.3333333333333329E-2</v>
      </c>
      <c r="F925" s="61" t="s">
        <v>5078</v>
      </c>
    </row>
    <row r="926" spans="1:6" x14ac:dyDescent="0.25">
      <c r="A926" s="15" t="s">
        <v>4285</v>
      </c>
      <c r="B926" s="15" t="s">
        <v>4273</v>
      </c>
      <c r="C926" s="52">
        <v>94.192029000000005</v>
      </c>
      <c r="D926" s="25">
        <v>8.3333333333333329E-2</v>
      </c>
      <c r="F926" s="61" t="s">
        <v>5079</v>
      </c>
    </row>
    <row r="927" spans="1:6" x14ac:dyDescent="0.25">
      <c r="A927" s="15" t="s">
        <v>4285</v>
      </c>
      <c r="B927" s="15" t="s">
        <v>4274</v>
      </c>
      <c r="C927" s="54">
        <v>98.041432999999998</v>
      </c>
      <c r="D927" s="26">
        <v>8.4027777777777771E-2</v>
      </c>
      <c r="F927" s="61" t="s">
        <v>5080</v>
      </c>
    </row>
    <row r="928" spans="1:6" x14ac:dyDescent="0.25">
      <c r="A928" s="15" t="s">
        <v>4285</v>
      </c>
      <c r="B928" s="15" t="s">
        <v>4275</v>
      </c>
      <c r="C928" s="52">
        <v>98.134639000000007</v>
      </c>
      <c r="D928" s="25">
        <v>8.4722222222222213E-2</v>
      </c>
      <c r="F928" s="61" t="s">
        <v>5081</v>
      </c>
    </row>
    <row r="929" spans="1:6" x14ac:dyDescent="0.25">
      <c r="A929" s="15" t="s">
        <v>4285</v>
      </c>
      <c r="B929" s="15" t="s">
        <v>4276</v>
      </c>
      <c r="C929" s="54">
        <v>92.537312999999997</v>
      </c>
      <c r="D929" s="26">
        <v>8.3333333333333329E-2</v>
      </c>
      <c r="F929" s="61" t="s">
        <v>5082</v>
      </c>
    </row>
    <row r="930" spans="1:6" x14ac:dyDescent="0.25">
      <c r="A930" s="15" t="s">
        <v>4285</v>
      </c>
      <c r="B930" s="15" t="s">
        <v>4277</v>
      </c>
      <c r="C930" s="52">
        <v>97.187667000000005</v>
      </c>
      <c r="D930" s="25">
        <v>8.7500000000000008E-2</v>
      </c>
      <c r="F930" s="61" t="s">
        <v>5083</v>
      </c>
    </row>
    <row r="931" spans="1:6" x14ac:dyDescent="0.25">
      <c r="A931" s="15" t="s">
        <v>4285</v>
      </c>
      <c r="B931" s="15" t="s">
        <v>4278</v>
      </c>
      <c r="C931" s="54">
        <v>91.924019000000001</v>
      </c>
      <c r="D931" s="26">
        <v>7.9166666666666663E-2</v>
      </c>
      <c r="F931" s="61" t="s">
        <v>5084</v>
      </c>
    </row>
    <row r="932" spans="1:6" x14ac:dyDescent="0.25">
      <c r="A932" s="15" t="s">
        <v>4285</v>
      </c>
      <c r="B932" s="15" t="s">
        <v>4279</v>
      </c>
      <c r="C932" s="52">
        <v>115.50511400000001</v>
      </c>
      <c r="D932" s="25">
        <v>9.9999999999999992E-2</v>
      </c>
      <c r="F932" s="61" t="s">
        <v>5085</v>
      </c>
    </row>
    <row r="933" spans="1:6" x14ac:dyDescent="0.25">
      <c r="A933" s="15" t="s">
        <v>4285</v>
      </c>
      <c r="B933" s="15" t="s">
        <v>4280</v>
      </c>
      <c r="C933" s="54">
        <v>62.778530000000003</v>
      </c>
      <c r="D933" s="26">
        <v>6.5277777777777782E-2</v>
      </c>
      <c r="F933" s="61" t="s">
        <v>5086</v>
      </c>
    </row>
    <row r="934" spans="1:6" x14ac:dyDescent="0.25">
      <c r="A934" s="15" t="s">
        <v>4285</v>
      </c>
      <c r="B934" s="15" t="s">
        <v>4281</v>
      </c>
      <c r="C934" s="52">
        <v>136.05515299999999</v>
      </c>
      <c r="D934" s="25">
        <v>0.11388888888888889</v>
      </c>
      <c r="F934" s="61" t="s">
        <v>5087</v>
      </c>
    </row>
    <row r="935" spans="1:6" x14ac:dyDescent="0.25">
      <c r="A935" s="15" t="s">
        <v>4285</v>
      </c>
      <c r="B935" s="15" t="s">
        <v>4282</v>
      </c>
      <c r="C935" s="54">
        <v>14.986268000000001</v>
      </c>
      <c r="D935" s="26">
        <v>2.0833333333333332E-2</v>
      </c>
      <c r="F935" s="61" t="s">
        <v>5088</v>
      </c>
    </row>
    <row r="936" spans="1:6" x14ac:dyDescent="0.25">
      <c r="A936" s="15" t="s">
        <v>4285</v>
      </c>
      <c r="B936" s="15" t="s">
        <v>4283</v>
      </c>
      <c r="C936" s="52">
        <v>2.532715</v>
      </c>
      <c r="D936" s="25">
        <v>7.6388888888888886E-3</v>
      </c>
      <c r="F936" s="61" t="s">
        <v>5089</v>
      </c>
    </row>
    <row r="937" spans="1:6" x14ac:dyDescent="0.25">
      <c r="A937" s="15" t="s">
        <v>4285</v>
      </c>
      <c r="B937" s="15" t="s">
        <v>4284</v>
      </c>
      <c r="C937" s="54">
        <v>2.2897590000000001</v>
      </c>
      <c r="D937" s="26">
        <v>6.9444444444444441E-3</v>
      </c>
      <c r="F937" s="61" t="s">
        <v>5090</v>
      </c>
    </row>
    <row r="938" spans="1:6" x14ac:dyDescent="0.25">
      <c r="A938" s="15" t="s">
        <v>4285</v>
      </c>
      <c r="B938" s="15" t="s">
        <v>4285</v>
      </c>
      <c r="C938" s="52">
        <v>0</v>
      </c>
      <c r="D938" s="25">
        <v>0</v>
      </c>
      <c r="F938" s="61" t="s">
        <v>5091</v>
      </c>
    </row>
    <row r="939" spans="1:6" x14ac:dyDescent="0.25">
      <c r="A939" s="15" t="s">
        <v>4285</v>
      </c>
      <c r="B939" s="15" t="s">
        <v>4286</v>
      </c>
      <c r="C939" s="54">
        <v>1.2234830000000001</v>
      </c>
      <c r="D939" s="26">
        <v>4.1666666666666666E-3</v>
      </c>
      <c r="F939" s="61" t="s">
        <v>5092</v>
      </c>
    </row>
    <row r="940" spans="1:6" x14ac:dyDescent="0.25">
      <c r="A940" s="15" t="s">
        <v>4285</v>
      </c>
      <c r="B940" s="15" t="s">
        <v>4287</v>
      </c>
      <c r="C940" s="52">
        <v>2.9602200000000001</v>
      </c>
      <c r="D940" s="25">
        <v>7.6388888888888886E-3</v>
      </c>
      <c r="F940" s="61" t="s">
        <v>5093</v>
      </c>
    </row>
    <row r="941" spans="1:6" x14ac:dyDescent="0.25">
      <c r="A941" s="15" t="s">
        <v>4285</v>
      </c>
      <c r="B941" s="15" t="s">
        <v>4288</v>
      </c>
      <c r="C941" s="54">
        <v>8.2350530000000006</v>
      </c>
      <c r="D941" s="26">
        <v>1.4583333333333332E-2</v>
      </c>
      <c r="F941" s="61" t="s">
        <v>5094</v>
      </c>
    </row>
    <row r="942" spans="1:6" x14ac:dyDescent="0.25">
      <c r="A942" s="15" t="s">
        <v>4285</v>
      </c>
      <c r="B942" s="15" t="s">
        <v>4289</v>
      </c>
      <c r="C942" s="52">
        <v>57.951085999999997</v>
      </c>
      <c r="D942" s="25">
        <v>5.5555555555555552E-2</v>
      </c>
      <c r="F942" s="61" t="s">
        <v>5095</v>
      </c>
    </row>
    <row r="943" spans="1:6" x14ac:dyDescent="0.25">
      <c r="A943" s="15" t="s">
        <v>4285</v>
      </c>
      <c r="B943" s="15" t="s">
        <v>4290</v>
      </c>
      <c r="C943" s="54">
        <v>65.503871000000004</v>
      </c>
      <c r="D943" s="26">
        <v>6.5277777777777782E-2</v>
      </c>
      <c r="F943" s="61" t="s">
        <v>5096</v>
      </c>
    </row>
    <row r="944" spans="1:6" x14ac:dyDescent="0.25">
      <c r="A944" s="15" t="s">
        <v>4285</v>
      </c>
      <c r="B944" s="15" t="s">
        <v>4291</v>
      </c>
      <c r="C944" s="52">
        <v>65.110541999999995</v>
      </c>
      <c r="D944" s="25">
        <v>6.5277777777777782E-2</v>
      </c>
      <c r="F944" s="61" t="s">
        <v>5097</v>
      </c>
    </row>
    <row r="945" spans="1:6" x14ac:dyDescent="0.25">
      <c r="A945" s="15" t="s">
        <v>4285</v>
      </c>
      <c r="B945" s="15" t="s">
        <v>4292</v>
      </c>
      <c r="C945" s="54">
        <v>61.820995000000003</v>
      </c>
      <c r="D945" s="26">
        <v>6.25E-2</v>
      </c>
      <c r="F945" s="61" t="s">
        <v>5098</v>
      </c>
    </row>
    <row r="946" spans="1:6" x14ac:dyDescent="0.25">
      <c r="A946" s="15" t="s">
        <v>4285</v>
      </c>
      <c r="B946" s="15" t="s">
        <v>4293</v>
      </c>
      <c r="C946" s="52">
        <v>70.259857999999994</v>
      </c>
      <c r="D946" s="25">
        <v>7.1527777777777787E-2</v>
      </c>
      <c r="F946" s="61" t="s">
        <v>5099</v>
      </c>
    </row>
    <row r="947" spans="1:6" x14ac:dyDescent="0.25">
      <c r="A947" s="15" t="s">
        <v>4285</v>
      </c>
      <c r="B947" s="15" t="s">
        <v>4294</v>
      </c>
      <c r="C947" s="54">
        <v>65.104327999999995</v>
      </c>
      <c r="D947" s="26">
        <v>7.4305555555555555E-2</v>
      </c>
      <c r="F947" s="61" t="s">
        <v>5100</v>
      </c>
    </row>
    <row r="948" spans="1:6" x14ac:dyDescent="0.25">
      <c r="A948" s="15" t="s">
        <v>4285</v>
      </c>
      <c r="B948" s="15" t="s">
        <v>4295</v>
      </c>
      <c r="C948" s="52">
        <v>67.527681999999999</v>
      </c>
      <c r="D948" s="25">
        <v>7.9861111111111105E-2</v>
      </c>
      <c r="F948" s="61" t="s">
        <v>5101</v>
      </c>
    </row>
    <row r="949" spans="1:6" x14ac:dyDescent="0.25">
      <c r="A949" s="15" t="s">
        <v>4285</v>
      </c>
      <c r="B949" s="15" t="s">
        <v>4296</v>
      </c>
      <c r="C949" s="54">
        <v>74.216759999999994</v>
      </c>
      <c r="D949" s="26">
        <v>7.3611111111111113E-2</v>
      </c>
      <c r="F949" s="61" t="s">
        <v>5102</v>
      </c>
    </row>
    <row r="950" spans="1:6" x14ac:dyDescent="0.25">
      <c r="A950" s="15" t="s">
        <v>4285</v>
      </c>
      <c r="B950" s="15" t="s">
        <v>4297</v>
      </c>
      <c r="C950" s="52">
        <v>66.931163999999995</v>
      </c>
      <c r="D950" s="25">
        <v>7.6388888888888895E-2</v>
      </c>
      <c r="F950" s="61" t="s">
        <v>5103</v>
      </c>
    </row>
    <row r="951" spans="1:6" x14ac:dyDescent="0.25">
      <c r="A951" s="15" t="s">
        <v>4285</v>
      </c>
      <c r="B951" s="15" t="s">
        <v>4298</v>
      </c>
      <c r="C951" s="54">
        <v>66.718654999999998</v>
      </c>
      <c r="D951" s="26">
        <v>7.2222222222222229E-2</v>
      </c>
      <c r="F951" s="61" t="s">
        <v>5104</v>
      </c>
    </row>
    <row r="952" spans="1:6" x14ac:dyDescent="0.25">
      <c r="A952" s="15" t="s">
        <v>4285</v>
      </c>
      <c r="B952" s="15" t="s">
        <v>4299</v>
      </c>
      <c r="C952" s="52">
        <v>64.303379000000007</v>
      </c>
      <c r="D952" s="25">
        <v>6.7361111111111108E-2</v>
      </c>
      <c r="F952" s="61" t="s">
        <v>5105</v>
      </c>
    </row>
    <row r="953" spans="1:6" x14ac:dyDescent="0.25">
      <c r="A953" s="15" t="s">
        <v>4285</v>
      </c>
      <c r="B953" s="15" t="s">
        <v>4300</v>
      </c>
      <c r="C953" s="54">
        <v>65.365305000000006</v>
      </c>
      <c r="D953" s="26">
        <v>6.1111111111111116E-2</v>
      </c>
      <c r="F953" s="61" t="s">
        <v>5106</v>
      </c>
    </row>
    <row r="954" spans="1:6" x14ac:dyDescent="0.25">
      <c r="A954" s="15" t="s">
        <v>4285</v>
      </c>
      <c r="B954" s="15" t="s">
        <v>4301</v>
      </c>
      <c r="C954" s="52">
        <v>68.219269999999995</v>
      </c>
      <c r="D954" s="25">
        <v>7.013888888888889E-2</v>
      </c>
      <c r="F954" s="61" t="s">
        <v>5107</v>
      </c>
    </row>
    <row r="955" spans="1:6" x14ac:dyDescent="0.25">
      <c r="A955" s="15" t="s">
        <v>4285</v>
      </c>
      <c r="B955" s="15" t="s">
        <v>4302</v>
      </c>
      <c r="C955" s="54">
        <v>63.250152</v>
      </c>
      <c r="D955" s="26">
        <v>6.3194444444444442E-2</v>
      </c>
      <c r="F955" s="61" t="s">
        <v>5108</v>
      </c>
    </row>
    <row r="956" spans="1:6" x14ac:dyDescent="0.25">
      <c r="A956" s="15" t="s">
        <v>4285</v>
      </c>
      <c r="B956" s="15" t="s">
        <v>4303</v>
      </c>
      <c r="C956" s="52">
        <v>53.316265999999999</v>
      </c>
      <c r="D956" s="25">
        <v>5.2777777777777778E-2</v>
      </c>
      <c r="F956" s="61" t="s">
        <v>5109</v>
      </c>
    </row>
    <row r="957" spans="1:6" x14ac:dyDescent="0.25">
      <c r="A957" s="15" t="s">
        <v>4285</v>
      </c>
      <c r="B957" s="15" t="s">
        <v>4304</v>
      </c>
      <c r="C957" s="54">
        <v>72.926789999999997</v>
      </c>
      <c r="D957" s="26">
        <v>7.4999999999999997E-2</v>
      </c>
      <c r="F957" s="61" t="s">
        <v>5110</v>
      </c>
    </row>
    <row r="958" spans="1:6" x14ac:dyDescent="0.25">
      <c r="A958" s="15" t="s">
        <v>4285</v>
      </c>
      <c r="B958" s="15" t="s">
        <v>4305</v>
      </c>
      <c r="C958" s="52">
        <v>73.522685999999993</v>
      </c>
      <c r="D958" s="25">
        <v>7.4305555555555555E-2</v>
      </c>
      <c r="F958" s="61" t="s">
        <v>5111</v>
      </c>
    </row>
    <row r="959" spans="1:6" x14ac:dyDescent="0.25">
      <c r="A959" s="15" t="s">
        <v>4285</v>
      </c>
      <c r="B959" s="15" t="s">
        <v>4306</v>
      </c>
      <c r="C959" s="54">
        <v>182.22252599999999</v>
      </c>
      <c r="D959" s="26">
        <v>0.15208333333333332</v>
      </c>
      <c r="F959" s="61" t="s">
        <v>5112</v>
      </c>
    </row>
    <row r="960" spans="1:6" x14ac:dyDescent="0.25">
      <c r="A960" s="15" t="s">
        <v>4285</v>
      </c>
      <c r="B960" s="15" t="s">
        <v>4307</v>
      </c>
      <c r="C960" s="52">
        <v>181.12580299999999</v>
      </c>
      <c r="D960" s="25">
        <v>0.15069444444444444</v>
      </c>
      <c r="F960" s="61" t="s">
        <v>5113</v>
      </c>
    </row>
    <row r="961" spans="1:6" x14ac:dyDescent="0.25">
      <c r="A961" s="15" t="s">
        <v>4285</v>
      </c>
      <c r="B961" s="15" t="s">
        <v>4308</v>
      </c>
      <c r="C961" s="54">
        <v>179.349298</v>
      </c>
      <c r="D961" s="26">
        <v>0.14861111111111111</v>
      </c>
      <c r="F961" s="61" t="s">
        <v>5114</v>
      </c>
    </row>
    <row r="962" spans="1:6" x14ac:dyDescent="0.25">
      <c r="A962" s="15" t="s">
        <v>4285</v>
      </c>
      <c r="B962" s="15" t="s">
        <v>4309</v>
      </c>
      <c r="C962" s="52">
        <v>29.24118</v>
      </c>
      <c r="D962" s="25">
        <v>3.4027777777777775E-2</v>
      </c>
      <c r="F962" s="61" t="s">
        <v>5115</v>
      </c>
    </row>
    <row r="963" spans="1:6" x14ac:dyDescent="0.25">
      <c r="A963" s="15" t="s">
        <v>4285</v>
      </c>
      <c r="B963" s="15" t="s">
        <v>4310</v>
      </c>
      <c r="C963" s="54">
        <v>30.802689000000001</v>
      </c>
      <c r="D963" s="26">
        <v>3.7499999999999999E-2</v>
      </c>
      <c r="F963" s="61" t="s">
        <v>5116</v>
      </c>
    </row>
    <row r="964" spans="1:6" x14ac:dyDescent="0.25">
      <c r="A964" s="15" t="s">
        <v>4285</v>
      </c>
      <c r="B964" s="15" t="s">
        <v>4311</v>
      </c>
      <c r="C964" s="52">
        <v>20.096437000000002</v>
      </c>
      <c r="D964" s="25">
        <v>2.7777777777777776E-2</v>
      </c>
      <c r="F964" s="61" t="s">
        <v>5117</v>
      </c>
    </row>
    <row r="965" spans="1:6" x14ac:dyDescent="0.25">
      <c r="A965" s="15" t="s">
        <v>4285</v>
      </c>
      <c r="B965" s="15" t="s">
        <v>4312</v>
      </c>
      <c r="C965" s="54">
        <v>16.808754</v>
      </c>
      <c r="D965" s="26">
        <v>2.0833333333333332E-2</v>
      </c>
      <c r="F965" s="61" t="s">
        <v>5118</v>
      </c>
    </row>
    <row r="966" spans="1:6" x14ac:dyDescent="0.25">
      <c r="A966" s="15" t="s">
        <v>4285</v>
      </c>
      <c r="B966" s="15" t="s">
        <v>4313</v>
      </c>
      <c r="C966" s="52">
        <v>35.482869000000001</v>
      </c>
      <c r="D966" s="25">
        <v>3.9583333333333331E-2</v>
      </c>
      <c r="F966" s="61" t="s">
        <v>5119</v>
      </c>
    </row>
    <row r="967" spans="1:6" x14ac:dyDescent="0.25">
      <c r="A967" s="15" t="s">
        <v>4285</v>
      </c>
      <c r="B967" s="15" t="s">
        <v>4314</v>
      </c>
      <c r="C967" s="54">
        <v>126.228765</v>
      </c>
      <c r="D967" s="26">
        <v>0.11388888888888889</v>
      </c>
      <c r="F967" s="61" t="s">
        <v>5120</v>
      </c>
    </row>
    <row r="968" spans="1:6" x14ac:dyDescent="0.25">
      <c r="A968" s="15" t="s">
        <v>4285</v>
      </c>
      <c r="B968" s="15" t="s">
        <v>4315</v>
      </c>
      <c r="C968" s="52">
        <v>123.722768</v>
      </c>
      <c r="D968" s="25">
        <v>0.11944444444444445</v>
      </c>
      <c r="F968" s="61" t="s">
        <v>5121</v>
      </c>
    </row>
    <row r="969" spans="1:6" x14ac:dyDescent="0.25">
      <c r="A969" s="15" t="s">
        <v>4285</v>
      </c>
      <c r="B969" s="15" t="s">
        <v>4316</v>
      </c>
      <c r="C969" s="54">
        <v>114.95084900000001</v>
      </c>
      <c r="D969" s="26">
        <v>0.10833333333333334</v>
      </c>
      <c r="F969" s="61" t="s">
        <v>5122</v>
      </c>
    </row>
    <row r="970" spans="1:6" x14ac:dyDescent="0.25">
      <c r="A970" s="15" t="s">
        <v>4285</v>
      </c>
      <c r="B970" s="15" t="s">
        <v>4317</v>
      </c>
      <c r="C970" s="52">
        <v>228.67883699999999</v>
      </c>
      <c r="D970" s="25">
        <v>0.18611111111111112</v>
      </c>
      <c r="F970" s="61" t="s">
        <v>5123</v>
      </c>
    </row>
    <row r="971" spans="1:6" x14ac:dyDescent="0.25">
      <c r="A971" s="15" t="s">
        <v>4285</v>
      </c>
      <c r="B971" s="15" t="s">
        <v>4318</v>
      </c>
      <c r="C971" s="54">
        <v>237.79002600000001</v>
      </c>
      <c r="D971" s="26">
        <v>0.19444444444444445</v>
      </c>
      <c r="F971" s="61" t="s">
        <v>5124</v>
      </c>
    </row>
    <row r="972" spans="1:6" x14ac:dyDescent="0.25">
      <c r="A972" s="15" t="s">
        <v>4285</v>
      </c>
      <c r="B972" s="15" t="s">
        <v>4319</v>
      </c>
      <c r="C972" s="52">
        <v>231.42778999999999</v>
      </c>
      <c r="D972" s="25">
        <v>0.19027777777777777</v>
      </c>
      <c r="F972" s="61" t="s">
        <v>5125</v>
      </c>
    </row>
    <row r="973" spans="1:6" x14ac:dyDescent="0.25">
      <c r="A973" s="15" t="s">
        <v>4285</v>
      </c>
      <c r="B973" s="15" t="s">
        <v>4320</v>
      </c>
      <c r="C973" s="54">
        <v>262.349783</v>
      </c>
      <c r="D973" s="26">
        <v>0.21666666666666667</v>
      </c>
      <c r="F973" s="61" t="s">
        <v>5126</v>
      </c>
    </row>
    <row r="974" spans="1:6" x14ac:dyDescent="0.25">
      <c r="A974" s="15" t="s">
        <v>4285</v>
      </c>
      <c r="B974" s="15" t="s">
        <v>4321</v>
      </c>
      <c r="C974" s="52">
        <v>256.00494600000002</v>
      </c>
      <c r="D974" s="25">
        <v>0.21249999999999999</v>
      </c>
      <c r="F974" s="61" t="s">
        <v>5127</v>
      </c>
    </row>
    <row r="975" spans="1:6" x14ac:dyDescent="0.25">
      <c r="A975" s="15" t="s">
        <v>4286</v>
      </c>
      <c r="B975" s="15">
        <v>3423909</v>
      </c>
      <c r="C975" s="54">
        <v>115.048405</v>
      </c>
      <c r="D975" s="26">
        <v>9.9999999999999992E-2</v>
      </c>
      <c r="F975" s="61" t="s">
        <v>7031</v>
      </c>
    </row>
    <row r="976" spans="1:6" x14ac:dyDescent="0.25">
      <c r="A976" s="15" t="s">
        <v>4286</v>
      </c>
      <c r="B976" s="15">
        <v>3403208</v>
      </c>
      <c r="C976" s="52">
        <v>205.136267</v>
      </c>
      <c r="D976" s="25">
        <v>0.16527777777777777</v>
      </c>
      <c r="F976" s="61" t="s">
        <v>7136</v>
      </c>
    </row>
    <row r="977" spans="1:6" x14ac:dyDescent="0.25">
      <c r="A977" s="15" t="s">
        <v>4286</v>
      </c>
      <c r="B977" s="15">
        <v>3424402</v>
      </c>
      <c r="C977" s="54">
        <v>10.031440999999999</v>
      </c>
      <c r="D977" s="26">
        <v>1.3888888888888888E-2</v>
      </c>
      <c r="F977" s="61" t="s">
        <v>7243</v>
      </c>
    </row>
    <row r="978" spans="1:6" x14ac:dyDescent="0.25">
      <c r="A978" s="15" t="s">
        <v>4286</v>
      </c>
      <c r="B978" s="15" t="s">
        <v>4271</v>
      </c>
      <c r="C978" s="52">
        <v>96.377397000000002</v>
      </c>
      <c r="D978" s="25">
        <v>8.1250000000000003E-2</v>
      </c>
      <c r="F978" s="61" t="s">
        <v>5128</v>
      </c>
    </row>
    <row r="979" spans="1:6" x14ac:dyDescent="0.25">
      <c r="A979" s="15" t="s">
        <v>4286</v>
      </c>
      <c r="B979" s="15" t="s">
        <v>4272</v>
      </c>
      <c r="C979" s="54">
        <v>93.975170000000006</v>
      </c>
      <c r="D979" s="26">
        <v>8.1250000000000003E-2</v>
      </c>
      <c r="F979" s="61" t="s">
        <v>5129</v>
      </c>
    </row>
    <row r="980" spans="1:6" x14ac:dyDescent="0.25">
      <c r="A980" s="15" t="s">
        <v>4286</v>
      </c>
      <c r="B980" s="15" t="s">
        <v>4273</v>
      </c>
      <c r="C980" s="52">
        <v>94.041657000000001</v>
      </c>
      <c r="D980" s="25">
        <v>8.1944444444444445E-2</v>
      </c>
      <c r="F980" s="61" t="s">
        <v>5130</v>
      </c>
    </row>
    <row r="981" spans="1:6" x14ac:dyDescent="0.25">
      <c r="A981" s="15" t="s">
        <v>4286</v>
      </c>
      <c r="B981" s="15" t="s">
        <v>4274</v>
      </c>
      <c r="C981" s="54">
        <v>97.891060999999993</v>
      </c>
      <c r="D981" s="26">
        <v>8.2638888888888887E-2</v>
      </c>
      <c r="F981" s="61" t="s">
        <v>5131</v>
      </c>
    </row>
    <row r="982" spans="1:6" x14ac:dyDescent="0.25">
      <c r="A982" s="15" t="s">
        <v>4286</v>
      </c>
      <c r="B982" s="15" t="s">
        <v>4275</v>
      </c>
      <c r="C982" s="52">
        <v>97.984267000000003</v>
      </c>
      <c r="D982" s="25">
        <v>8.2638888888888887E-2</v>
      </c>
      <c r="F982" s="61" t="s">
        <v>5132</v>
      </c>
    </row>
    <row r="983" spans="1:6" x14ac:dyDescent="0.25">
      <c r="A983" s="15" t="s">
        <v>4286</v>
      </c>
      <c r="B983" s="15" t="s">
        <v>4276</v>
      </c>
      <c r="C983" s="54">
        <v>92.386940999999993</v>
      </c>
      <c r="D983" s="26">
        <v>8.1250000000000003E-2</v>
      </c>
      <c r="F983" s="61" t="s">
        <v>5133</v>
      </c>
    </row>
    <row r="984" spans="1:6" x14ac:dyDescent="0.25">
      <c r="A984" s="15" t="s">
        <v>4286</v>
      </c>
      <c r="B984" s="15" t="s">
        <v>4277</v>
      </c>
      <c r="C984" s="52">
        <v>97.037295</v>
      </c>
      <c r="D984" s="25">
        <v>8.5416666666666655E-2</v>
      </c>
      <c r="F984" s="61" t="s">
        <v>5134</v>
      </c>
    </row>
    <row r="985" spans="1:6" x14ac:dyDescent="0.25">
      <c r="A985" s="15" t="s">
        <v>4286</v>
      </c>
      <c r="B985" s="15" t="s">
        <v>4278</v>
      </c>
      <c r="C985" s="54">
        <v>91.773645999999999</v>
      </c>
      <c r="D985" s="26">
        <v>7.7083333333333337E-2</v>
      </c>
      <c r="F985" s="61" t="s">
        <v>5135</v>
      </c>
    </row>
    <row r="986" spans="1:6" x14ac:dyDescent="0.25">
      <c r="A986" s="15" t="s">
        <v>4286</v>
      </c>
      <c r="B986" s="15" t="s">
        <v>4279</v>
      </c>
      <c r="C986" s="52">
        <v>115.354742</v>
      </c>
      <c r="D986" s="25">
        <v>9.7916666666666666E-2</v>
      </c>
      <c r="F986" s="61" t="s">
        <v>5136</v>
      </c>
    </row>
    <row r="987" spans="1:6" x14ac:dyDescent="0.25">
      <c r="A987" s="15" t="s">
        <v>4286</v>
      </c>
      <c r="B987" s="15" t="s">
        <v>4280</v>
      </c>
      <c r="C987" s="54">
        <v>62.628157999999999</v>
      </c>
      <c r="D987" s="26">
        <v>6.3194444444444442E-2</v>
      </c>
      <c r="F987" s="61" t="s">
        <v>5137</v>
      </c>
    </row>
    <row r="988" spans="1:6" x14ac:dyDescent="0.25">
      <c r="A988" s="15" t="s">
        <v>4286</v>
      </c>
      <c r="B988" s="15" t="s">
        <v>4281</v>
      </c>
      <c r="C988" s="52">
        <v>135.90478100000001</v>
      </c>
      <c r="D988" s="25">
        <v>0.11180555555555556</v>
      </c>
      <c r="F988" s="61" t="s">
        <v>5138</v>
      </c>
    </row>
    <row r="989" spans="1:6" x14ac:dyDescent="0.25">
      <c r="A989" s="15" t="s">
        <v>4286</v>
      </c>
      <c r="B989" s="15" t="s">
        <v>4282</v>
      </c>
      <c r="C989" s="54">
        <v>14.835895000000001</v>
      </c>
      <c r="D989" s="26">
        <v>1.8749999999999999E-2</v>
      </c>
      <c r="F989" s="61" t="s">
        <v>5139</v>
      </c>
    </row>
    <row r="990" spans="1:6" x14ac:dyDescent="0.25">
      <c r="A990" s="15" t="s">
        <v>4286</v>
      </c>
      <c r="B990" s="15" t="s">
        <v>4283</v>
      </c>
      <c r="C990" s="52">
        <v>2.3823430000000001</v>
      </c>
      <c r="D990" s="25">
        <v>5.5555555555555558E-3</v>
      </c>
      <c r="F990" s="61" t="s">
        <v>5140</v>
      </c>
    </row>
    <row r="991" spans="1:6" x14ac:dyDescent="0.25">
      <c r="A991" s="15" t="s">
        <v>4286</v>
      </c>
      <c r="B991" s="15" t="s">
        <v>4284</v>
      </c>
      <c r="C991" s="54">
        <v>2.1772900000000002</v>
      </c>
      <c r="D991" s="26">
        <v>5.5555555555555558E-3</v>
      </c>
      <c r="F991" s="61" t="s">
        <v>5141</v>
      </c>
    </row>
    <row r="992" spans="1:6" x14ac:dyDescent="0.25">
      <c r="A992" s="15" t="s">
        <v>4286</v>
      </c>
      <c r="B992" s="15" t="s">
        <v>4285</v>
      </c>
      <c r="C992" s="52">
        <v>1.2924549999999999</v>
      </c>
      <c r="D992" s="25">
        <v>5.5555555555555558E-3</v>
      </c>
      <c r="F992" s="61" t="s">
        <v>5142</v>
      </c>
    </row>
    <row r="993" spans="1:6" x14ac:dyDescent="0.25">
      <c r="A993" s="15" t="s">
        <v>4286</v>
      </c>
      <c r="B993" s="15" t="s">
        <v>4286</v>
      </c>
      <c r="C993" s="54">
        <v>0</v>
      </c>
      <c r="D993" s="26">
        <v>0</v>
      </c>
      <c r="F993" s="61" t="s">
        <v>5143</v>
      </c>
    </row>
    <row r="994" spans="1:6" x14ac:dyDescent="0.25">
      <c r="A994" s="15" t="s">
        <v>4286</v>
      </c>
      <c r="B994" s="15" t="s">
        <v>4287</v>
      </c>
      <c r="C994" s="52">
        <v>2.8098480000000001</v>
      </c>
      <c r="D994" s="25">
        <v>5.5555555555555558E-3</v>
      </c>
      <c r="F994" s="61" t="s">
        <v>5144</v>
      </c>
    </row>
    <row r="995" spans="1:6" x14ac:dyDescent="0.25">
      <c r="A995" s="15" t="s">
        <v>4286</v>
      </c>
      <c r="B995" s="15" t="s">
        <v>4288</v>
      </c>
      <c r="C995" s="54">
        <v>8.0846809999999998</v>
      </c>
      <c r="D995" s="26">
        <v>1.2499999999999999E-2</v>
      </c>
      <c r="F995" s="61" t="s">
        <v>5145</v>
      </c>
    </row>
    <row r="996" spans="1:6" x14ac:dyDescent="0.25">
      <c r="A996" s="15" t="s">
        <v>4286</v>
      </c>
      <c r="B996" s="15" t="s">
        <v>4289</v>
      </c>
      <c r="C996" s="52">
        <v>57.800713000000002</v>
      </c>
      <c r="D996" s="25">
        <v>5.4166666666666669E-2</v>
      </c>
      <c r="F996" s="61" t="s">
        <v>5146</v>
      </c>
    </row>
    <row r="997" spans="1:6" x14ac:dyDescent="0.25">
      <c r="A997" s="15" t="s">
        <v>4286</v>
      </c>
      <c r="B997" s="15" t="s">
        <v>4290</v>
      </c>
      <c r="C997" s="54">
        <v>65.353498999999999</v>
      </c>
      <c r="D997" s="26">
        <v>6.3194444444444442E-2</v>
      </c>
      <c r="F997" s="61" t="s">
        <v>5147</v>
      </c>
    </row>
    <row r="998" spans="1:6" x14ac:dyDescent="0.25">
      <c r="A998" s="15" t="s">
        <v>4286</v>
      </c>
      <c r="B998" s="15" t="s">
        <v>4291</v>
      </c>
      <c r="C998" s="52">
        <v>64.960170000000005</v>
      </c>
      <c r="D998" s="25">
        <v>6.3194444444444442E-2</v>
      </c>
      <c r="F998" s="61" t="s">
        <v>5148</v>
      </c>
    </row>
    <row r="999" spans="1:6" x14ac:dyDescent="0.25">
      <c r="A999" s="15" t="s">
        <v>4286</v>
      </c>
      <c r="B999" s="15" t="s">
        <v>4292</v>
      </c>
      <c r="C999" s="54">
        <v>61.670622999999999</v>
      </c>
      <c r="D999" s="26">
        <v>6.0416666666666667E-2</v>
      </c>
      <c r="F999" s="61" t="s">
        <v>5149</v>
      </c>
    </row>
    <row r="1000" spans="1:6" x14ac:dyDescent="0.25">
      <c r="A1000" s="15" t="s">
        <v>4286</v>
      </c>
      <c r="B1000" s="15" t="s">
        <v>4293</v>
      </c>
      <c r="C1000" s="52">
        <v>70.109486000000004</v>
      </c>
      <c r="D1000" s="25">
        <v>7.013888888888889E-2</v>
      </c>
      <c r="F1000" s="61" t="s">
        <v>5150</v>
      </c>
    </row>
    <row r="1001" spans="1:6" x14ac:dyDescent="0.25">
      <c r="A1001" s="15" t="s">
        <v>4286</v>
      </c>
      <c r="B1001" s="15" t="s">
        <v>4294</v>
      </c>
      <c r="C1001" s="54">
        <v>64.953956000000005</v>
      </c>
      <c r="D1001" s="26">
        <v>7.2222222222222229E-2</v>
      </c>
      <c r="F1001" s="61" t="s">
        <v>5151</v>
      </c>
    </row>
    <row r="1002" spans="1:6" x14ac:dyDescent="0.25">
      <c r="A1002" s="15" t="s">
        <v>4286</v>
      </c>
      <c r="B1002" s="15" t="s">
        <v>4295</v>
      </c>
      <c r="C1002" s="52">
        <v>67.377309999999994</v>
      </c>
      <c r="D1002" s="25">
        <v>7.7777777777777779E-2</v>
      </c>
      <c r="F1002" s="61" t="s">
        <v>5152</v>
      </c>
    </row>
    <row r="1003" spans="1:6" x14ac:dyDescent="0.25">
      <c r="A1003" s="15" t="s">
        <v>4286</v>
      </c>
      <c r="B1003" s="15" t="s">
        <v>4296</v>
      </c>
      <c r="C1003" s="54">
        <v>74.066387000000006</v>
      </c>
      <c r="D1003" s="26">
        <v>7.1527777777777787E-2</v>
      </c>
      <c r="F1003" s="61" t="s">
        <v>5153</v>
      </c>
    </row>
    <row r="1004" spans="1:6" x14ac:dyDescent="0.25">
      <c r="A1004" s="15" t="s">
        <v>4286</v>
      </c>
      <c r="B1004" s="15" t="s">
        <v>4297</v>
      </c>
      <c r="C1004" s="52">
        <v>66.780792000000005</v>
      </c>
      <c r="D1004" s="25">
        <v>7.4999999999999997E-2</v>
      </c>
      <c r="F1004" s="61" t="s">
        <v>5154</v>
      </c>
    </row>
    <row r="1005" spans="1:6" x14ac:dyDescent="0.25">
      <c r="A1005" s="15" t="s">
        <v>4286</v>
      </c>
      <c r="B1005" s="15" t="s">
        <v>4298</v>
      </c>
      <c r="C1005" s="54">
        <v>66.568282999999994</v>
      </c>
      <c r="D1005" s="26">
        <v>7.013888888888889E-2</v>
      </c>
      <c r="F1005" s="61" t="s">
        <v>5155</v>
      </c>
    </row>
    <row r="1006" spans="1:6" x14ac:dyDescent="0.25">
      <c r="A1006" s="15" t="s">
        <v>4286</v>
      </c>
      <c r="B1006" s="15" t="s">
        <v>4299</v>
      </c>
      <c r="C1006" s="52">
        <v>64.153007000000002</v>
      </c>
      <c r="D1006" s="25">
        <v>6.5277777777777782E-2</v>
      </c>
      <c r="F1006" s="61" t="s">
        <v>5156</v>
      </c>
    </row>
    <row r="1007" spans="1:6" x14ac:dyDescent="0.25">
      <c r="A1007" s="15" t="s">
        <v>4286</v>
      </c>
      <c r="B1007" s="15" t="s">
        <v>4300</v>
      </c>
      <c r="C1007" s="54">
        <v>65.214933000000002</v>
      </c>
      <c r="D1007" s="26">
        <v>5.9027777777777783E-2</v>
      </c>
      <c r="F1007" s="61" t="s">
        <v>5157</v>
      </c>
    </row>
    <row r="1008" spans="1:6" x14ac:dyDescent="0.25">
      <c r="A1008" s="15" t="s">
        <v>4286</v>
      </c>
      <c r="B1008" s="15" t="s">
        <v>4301</v>
      </c>
      <c r="C1008" s="52">
        <v>68.068898000000004</v>
      </c>
      <c r="D1008" s="25">
        <v>6.805555555555555E-2</v>
      </c>
      <c r="F1008" s="61" t="s">
        <v>5158</v>
      </c>
    </row>
    <row r="1009" spans="1:6" x14ac:dyDescent="0.25">
      <c r="A1009" s="15" t="s">
        <v>4286</v>
      </c>
      <c r="B1009" s="15" t="s">
        <v>4302</v>
      </c>
      <c r="C1009" s="54">
        <v>63.099780000000003</v>
      </c>
      <c r="D1009" s="26">
        <v>6.1111111111111116E-2</v>
      </c>
      <c r="F1009" s="61" t="s">
        <v>5159</v>
      </c>
    </row>
    <row r="1010" spans="1:6" x14ac:dyDescent="0.25">
      <c r="A1010" s="15" t="s">
        <v>4286</v>
      </c>
      <c r="B1010" s="15" t="s">
        <v>4303</v>
      </c>
      <c r="C1010" s="52">
        <v>53.165894000000002</v>
      </c>
      <c r="D1010" s="25">
        <v>5.0694444444444452E-2</v>
      </c>
      <c r="F1010" s="61" t="s">
        <v>5160</v>
      </c>
    </row>
    <row r="1011" spans="1:6" x14ac:dyDescent="0.25">
      <c r="A1011" s="15" t="s">
        <v>4286</v>
      </c>
      <c r="B1011" s="15" t="s">
        <v>4304</v>
      </c>
      <c r="C1011" s="54">
        <v>72.776418000000007</v>
      </c>
      <c r="D1011" s="26">
        <v>7.2916666666666671E-2</v>
      </c>
      <c r="F1011" s="61" t="s">
        <v>5161</v>
      </c>
    </row>
    <row r="1012" spans="1:6" x14ac:dyDescent="0.25">
      <c r="A1012" s="15" t="s">
        <v>4286</v>
      </c>
      <c r="B1012" s="15" t="s">
        <v>4305</v>
      </c>
      <c r="C1012" s="52">
        <v>73.372314000000003</v>
      </c>
      <c r="D1012" s="25">
        <v>7.2222222222222229E-2</v>
      </c>
      <c r="F1012" s="61" t="s">
        <v>5162</v>
      </c>
    </row>
    <row r="1013" spans="1:6" x14ac:dyDescent="0.25">
      <c r="A1013" s="15" t="s">
        <v>4286</v>
      </c>
      <c r="B1013" s="15" t="s">
        <v>4306</v>
      </c>
      <c r="C1013" s="54">
        <v>182.07215400000001</v>
      </c>
      <c r="D1013" s="26">
        <v>0.15</v>
      </c>
      <c r="F1013" s="61" t="s">
        <v>5163</v>
      </c>
    </row>
    <row r="1014" spans="1:6" x14ac:dyDescent="0.25">
      <c r="A1014" s="15" t="s">
        <v>4286</v>
      </c>
      <c r="B1014" s="15" t="s">
        <v>4307</v>
      </c>
      <c r="C1014" s="52">
        <v>180.97543099999999</v>
      </c>
      <c r="D1014" s="25">
        <v>0.14861111111111111</v>
      </c>
      <c r="F1014" s="61" t="s">
        <v>5164</v>
      </c>
    </row>
    <row r="1015" spans="1:6" x14ac:dyDescent="0.25">
      <c r="A1015" s="15" t="s">
        <v>4286</v>
      </c>
      <c r="B1015" s="15" t="s">
        <v>4308</v>
      </c>
      <c r="C1015" s="54">
        <v>179.198926</v>
      </c>
      <c r="D1015" s="26">
        <v>0.14652777777777778</v>
      </c>
      <c r="F1015" s="61" t="s">
        <v>5165</v>
      </c>
    </row>
    <row r="1016" spans="1:6" x14ac:dyDescent="0.25">
      <c r="A1016" s="15" t="s">
        <v>4286</v>
      </c>
      <c r="B1016" s="15" t="s">
        <v>4309</v>
      </c>
      <c r="C1016" s="52">
        <v>29.090807000000002</v>
      </c>
      <c r="D1016" s="25">
        <v>3.1944444444444449E-2</v>
      </c>
      <c r="F1016" s="61" t="s">
        <v>5166</v>
      </c>
    </row>
    <row r="1017" spans="1:6" x14ac:dyDescent="0.25">
      <c r="A1017" s="15" t="s">
        <v>4286</v>
      </c>
      <c r="B1017" s="15" t="s">
        <v>4310</v>
      </c>
      <c r="C1017" s="54">
        <v>30.652317</v>
      </c>
      <c r="D1017" s="26">
        <v>3.5416666666666666E-2</v>
      </c>
      <c r="F1017" s="61" t="s">
        <v>5167</v>
      </c>
    </row>
    <row r="1018" spans="1:6" x14ac:dyDescent="0.25">
      <c r="A1018" s="15" t="s">
        <v>4286</v>
      </c>
      <c r="B1018" s="15" t="s">
        <v>4311</v>
      </c>
      <c r="C1018" s="52">
        <v>19.946065000000001</v>
      </c>
      <c r="D1018" s="25">
        <v>2.6388888888888889E-2</v>
      </c>
      <c r="F1018" s="61" t="s">
        <v>5168</v>
      </c>
    </row>
    <row r="1019" spans="1:6" x14ac:dyDescent="0.25">
      <c r="A1019" s="15" t="s">
        <v>4286</v>
      </c>
      <c r="B1019" s="15" t="s">
        <v>4312</v>
      </c>
      <c r="C1019" s="54">
        <v>16.658382</v>
      </c>
      <c r="D1019" s="26">
        <v>1.8749999999999999E-2</v>
      </c>
      <c r="F1019" s="61" t="s">
        <v>5169</v>
      </c>
    </row>
    <row r="1020" spans="1:6" x14ac:dyDescent="0.25">
      <c r="A1020" s="15" t="s">
        <v>4286</v>
      </c>
      <c r="B1020" s="15" t="s">
        <v>4313</v>
      </c>
      <c r="C1020" s="52">
        <v>35.332496999999996</v>
      </c>
      <c r="D1020" s="25">
        <v>3.7499999999999999E-2</v>
      </c>
      <c r="F1020" s="61" t="s">
        <v>5170</v>
      </c>
    </row>
    <row r="1021" spans="1:6" x14ac:dyDescent="0.25">
      <c r="A1021" s="15" t="s">
        <v>4286</v>
      </c>
      <c r="B1021" s="15" t="s">
        <v>4314</v>
      </c>
      <c r="C1021" s="54">
        <v>126.07839199999999</v>
      </c>
      <c r="D1021" s="26">
        <v>0.11180555555555556</v>
      </c>
      <c r="F1021" s="61" t="s">
        <v>5171</v>
      </c>
    </row>
    <row r="1022" spans="1:6" x14ac:dyDescent="0.25">
      <c r="A1022" s="15" t="s">
        <v>4286</v>
      </c>
      <c r="B1022" s="15" t="s">
        <v>4315</v>
      </c>
      <c r="C1022" s="52">
        <v>123.572396</v>
      </c>
      <c r="D1022" s="25">
        <v>0.11805555555555557</v>
      </c>
      <c r="F1022" s="61" t="s">
        <v>5172</v>
      </c>
    </row>
    <row r="1023" spans="1:6" x14ac:dyDescent="0.25">
      <c r="A1023" s="15" t="s">
        <v>4286</v>
      </c>
      <c r="B1023" s="15" t="s">
        <v>4316</v>
      </c>
      <c r="C1023" s="54">
        <v>114.800477</v>
      </c>
      <c r="D1023" s="26">
        <v>0.10625</v>
      </c>
      <c r="F1023" s="61" t="s">
        <v>5173</v>
      </c>
    </row>
    <row r="1024" spans="1:6" x14ac:dyDescent="0.25">
      <c r="A1024" s="15" t="s">
        <v>4286</v>
      </c>
      <c r="B1024" s="15" t="s">
        <v>4317</v>
      </c>
      <c r="C1024" s="52">
        <v>228.52846500000001</v>
      </c>
      <c r="D1024" s="25">
        <v>0.18472222222222223</v>
      </c>
      <c r="F1024" s="61" t="s">
        <v>5174</v>
      </c>
    </row>
    <row r="1025" spans="1:6" x14ac:dyDescent="0.25">
      <c r="A1025" s="15" t="s">
        <v>4286</v>
      </c>
      <c r="B1025" s="15" t="s">
        <v>4318</v>
      </c>
      <c r="C1025" s="54">
        <v>237.63965400000001</v>
      </c>
      <c r="D1025" s="26">
        <v>0.19305555555555554</v>
      </c>
      <c r="F1025" s="61" t="s">
        <v>5175</v>
      </c>
    </row>
    <row r="1026" spans="1:6" x14ac:dyDescent="0.25">
      <c r="A1026" s="15" t="s">
        <v>4286</v>
      </c>
      <c r="B1026" s="15" t="s">
        <v>4319</v>
      </c>
      <c r="C1026" s="52">
        <v>231.27741800000001</v>
      </c>
      <c r="D1026" s="25">
        <v>0.18888888888888888</v>
      </c>
      <c r="F1026" s="61" t="s">
        <v>5176</v>
      </c>
    </row>
    <row r="1027" spans="1:6" x14ac:dyDescent="0.25">
      <c r="A1027" s="15" t="s">
        <v>4286</v>
      </c>
      <c r="B1027" s="15" t="s">
        <v>4320</v>
      </c>
      <c r="C1027" s="54">
        <v>262.199411</v>
      </c>
      <c r="D1027" s="26">
        <v>0.21458333333333335</v>
      </c>
      <c r="F1027" s="61" t="s">
        <v>5177</v>
      </c>
    </row>
    <row r="1028" spans="1:6" x14ac:dyDescent="0.25">
      <c r="A1028" s="15" t="s">
        <v>4286</v>
      </c>
      <c r="B1028" s="15" t="s">
        <v>4321</v>
      </c>
      <c r="C1028" s="52">
        <v>255.85457400000001</v>
      </c>
      <c r="D1028" s="25">
        <v>0.21041666666666667</v>
      </c>
      <c r="F1028" s="61" t="s">
        <v>5178</v>
      </c>
    </row>
    <row r="1029" spans="1:6" x14ac:dyDescent="0.25">
      <c r="A1029" s="15" t="s">
        <v>4287</v>
      </c>
      <c r="B1029" s="15">
        <v>3423909</v>
      </c>
      <c r="C1029" s="54">
        <v>112.321821</v>
      </c>
      <c r="D1029" s="26">
        <v>9.5138888888888884E-2</v>
      </c>
      <c r="F1029" s="61" t="s">
        <v>7032</v>
      </c>
    </row>
    <row r="1030" spans="1:6" x14ac:dyDescent="0.25">
      <c r="A1030" s="15" t="s">
        <v>4287</v>
      </c>
      <c r="B1030" s="15">
        <v>3403208</v>
      </c>
      <c r="C1030" s="52">
        <v>202.409683</v>
      </c>
      <c r="D1030" s="25">
        <v>0.16041666666666668</v>
      </c>
      <c r="F1030" s="61" t="s">
        <v>7137</v>
      </c>
    </row>
    <row r="1031" spans="1:6" x14ac:dyDescent="0.25">
      <c r="A1031" s="15" t="s">
        <v>4287</v>
      </c>
      <c r="B1031" s="15">
        <v>3424402</v>
      </c>
      <c r="C1031" s="54">
        <v>7.3048580000000003</v>
      </c>
      <c r="D1031" s="26">
        <v>9.7222222222222224E-3</v>
      </c>
      <c r="F1031" s="61" t="s">
        <v>7244</v>
      </c>
    </row>
    <row r="1032" spans="1:6" x14ac:dyDescent="0.25">
      <c r="A1032" s="15" t="s">
        <v>4287</v>
      </c>
      <c r="B1032" s="15" t="s">
        <v>4271</v>
      </c>
      <c r="C1032" s="52">
        <v>93.388593999999998</v>
      </c>
      <c r="D1032" s="25">
        <v>8.1250000000000003E-2</v>
      </c>
      <c r="F1032" s="61" t="s">
        <v>5179</v>
      </c>
    </row>
    <row r="1033" spans="1:6" x14ac:dyDescent="0.25">
      <c r="A1033" s="15" t="s">
        <v>4287</v>
      </c>
      <c r="B1033" s="15" t="s">
        <v>4272</v>
      </c>
      <c r="C1033" s="54">
        <v>91.248586000000003</v>
      </c>
      <c r="D1033" s="26">
        <v>7.6388888888888895E-2</v>
      </c>
      <c r="F1033" s="61" t="s">
        <v>5180</v>
      </c>
    </row>
    <row r="1034" spans="1:6" x14ac:dyDescent="0.25">
      <c r="A1034" s="15" t="s">
        <v>4287</v>
      </c>
      <c r="B1034" s="15" t="s">
        <v>4273</v>
      </c>
      <c r="C1034" s="52">
        <v>91.315072999999998</v>
      </c>
      <c r="D1034" s="25">
        <v>7.7083333333333337E-2</v>
      </c>
      <c r="F1034" s="61" t="s">
        <v>5181</v>
      </c>
    </row>
    <row r="1035" spans="1:6" x14ac:dyDescent="0.25">
      <c r="A1035" s="15" t="s">
        <v>4287</v>
      </c>
      <c r="B1035" s="15" t="s">
        <v>4274</v>
      </c>
      <c r="C1035" s="54">
        <v>95.164477000000005</v>
      </c>
      <c r="D1035" s="26">
        <v>7.7777777777777779E-2</v>
      </c>
      <c r="F1035" s="61" t="s">
        <v>5182</v>
      </c>
    </row>
    <row r="1036" spans="1:6" x14ac:dyDescent="0.25">
      <c r="A1036" s="15" t="s">
        <v>4287</v>
      </c>
      <c r="B1036" s="15" t="s">
        <v>4275</v>
      </c>
      <c r="C1036" s="52">
        <v>95.257683</v>
      </c>
      <c r="D1036" s="25">
        <v>7.7777777777777779E-2</v>
      </c>
      <c r="F1036" s="61" t="s">
        <v>5183</v>
      </c>
    </row>
    <row r="1037" spans="1:6" x14ac:dyDescent="0.25">
      <c r="A1037" s="15" t="s">
        <v>4287</v>
      </c>
      <c r="B1037" s="15" t="s">
        <v>4276</v>
      </c>
      <c r="C1037" s="54">
        <v>89.660358000000002</v>
      </c>
      <c r="D1037" s="26">
        <v>7.6388888888888895E-2</v>
      </c>
      <c r="F1037" s="61" t="s">
        <v>5184</v>
      </c>
    </row>
    <row r="1038" spans="1:6" x14ac:dyDescent="0.25">
      <c r="A1038" s="15" t="s">
        <v>4287</v>
      </c>
      <c r="B1038" s="15" t="s">
        <v>4277</v>
      </c>
      <c r="C1038" s="52">
        <v>94.310710999999998</v>
      </c>
      <c r="D1038" s="25">
        <v>8.0555555555555561E-2</v>
      </c>
      <c r="F1038" s="61" t="s">
        <v>5185</v>
      </c>
    </row>
    <row r="1039" spans="1:6" x14ac:dyDescent="0.25">
      <c r="A1039" s="15" t="s">
        <v>4287</v>
      </c>
      <c r="B1039" s="15" t="s">
        <v>4278</v>
      </c>
      <c r="C1039" s="54">
        <v>89.047062999999994</v>
      </c>
      <c r="D1039" s="26">
        <v>7.2222222222222229E-2</v>
      </c>
      <c r="F1039" s="61" t="s">
        <v>5186</v>
      </c>
    </row>
    <row r="1040" spans="1:6" x14ac:dyDescent="0.25">
      <c r="A1040" s="15" t="s">
        <v>4287</v>
      </c>
      <c r="B1040" s="15" t="s">
        <v>4279</v>
      </c>
      <c r="C1040" s="52">
        <v>112.628158</v>
      </c>
      <c r="D1040" s="25">
        <v>9.3055555555555558E-2</v>
      </c>
      <c r="F1040" s="61" t="s">
        <v>5187</v>
      </c>
    </row>
    <row r="1041" spans="1:6" x14ac:dyDescent="0.25">
      <c r="A1041" s="15" t="s">
        <v>4287</v>
      </c>
      <c r="B1041" s="15" t="s">
        <v>4280</v>
      </c>
      <c r="C1041" s="54">
        <v>59.901575000000001</v>
      </c>
      <c r="D1041" s="26">
        <v>5.8333333333333327E-2</v>
      </c>
      <c r="F1041" s="61" t="s">
        <v>5188</v>
      </c>
    </row>
    <row r="1042" spans="1:6" x14ac:dyDescent="0.25">
      <c r="A1042" s="15" t="s">
        <v>4287</v>
      </c>
      <c r="B1042" s="15" t="s">
        <v>4281</v>
      </c>
      <c r="C1042" s="52">
        <v>133.17819700000001</v>
      </c>
      <c r="D1042" s="25">
        <v>0.10694444444444444</v>
      </c>
      <c r="F1042" s="61" t="s">
        <v>5189</v>
      </c>
    </row>
    <row r="1043" spans="1:6" x14ac:dyDescent="0.25">
      <c r="A1043" s="15" t="s">
        <v>4287</v>
      </c>
      <c r="B1043" s="15" t="s">
        <v>4282</v>
      </c>
      <c r="C1043" s="54">
        <v>12.109311999999999</v>
      </c>
      <c r="D1043" s="26">
        <v>1.3888888888888888E-2</v>
      </c>
      <c r="F1043" s="61" t="s">
        <v>5190</v>
      </c>
    </row>
    <row r="1044" spans="1:6" x14ac:dyDescent="0.25">
      <c r="A1044" s="15" t="s">
        <v>4287</v>
      </c>
      <c r="B1044" s="15" t="s">
        <v>4283</v>
      </c>
      <c r="C1044" s="52">
        <v>1.377583</v>
      </c>
      <c r="D1044" s="25">
        <v>5.5555555555555558E-3</v>
      </c>
      <c r="F1044" s="61" t="s">
        <v>5191</v>
      </c>
    </row>
    <row r="1045" spans="1:6" x14ac:dyDescent="0.25">
      <c r="A1045" s="15" t="s">
        <v>4287</v>
      </c>
      <c r="B1045" s="15" t="s">
        <v>4284</v>
      </c>
      <c r="C1045" s="54">
        <v>1.8734390000000001</v>
      </c>
      <c r="D1045" s="26">
        <v>3.472222222222222E-3</v>
      </c>
      <c r="F1045" s="61" t="s">
        <v>5192</v>
      </c>
    </row>
    <row r="1046" spans="1:6" x14ac:dyDescent="0.25">
      <c r="A1046" s="15" t="s">
        <v>4287</v>
      </c>
      <c r="B1046" s="15" t="s">
        <v>4285</v>
      </c>
      <c r="C1046" s="52">
        <v>4.2619959999999999</v>
      </c>
      <c r="D1046" s="25">
        <v>1.0416666666666666E-2</v>
      </c>
      <c r="F1046" s="61" t="s">
        <v>5193</v>
      </c>
    </row>
    <row r="1047" spans="1:6" x14ac:dyDescent="0.25">
      <c r="A1047" s="15" t="s">
        <v>4287</v>
      </c>
      <c r="B1047" s="15" t="s">
        <v>4286</v>
      </c>
      <c r="C1047" s="54">
        <v>3.182671</v>
      </c>
      <c r="D1047" s="26">
        <v>8.3333333333333332E-3</v>
      </c>
      <c r="F1047" s="61" t="s">
        <v>5194</v>
      </c>
    </row>
    <row r="1048" spans="1:6" x14ac:dyDescent="0.25">
      <c r="A1048" s="15" t="s">
        <v>4287</v>
      </c>
      <c r="B1048" s="15" t="s">
        <v>4287</v>
      </c>
      <c r="C1048" s="52">
        <v>0</v>
      </c>
      <c r="D1048" s="25">
        <v>0</v>
      </c>
      <c r="F1048" s="61" t="s">
        <v>5195</v>
      </c>
    </row>
    <row r="1049" spans="1:6" x14ac:dyDescent="0.25">
      <c r="A1049" s="15" t="s">
        <v>4287</v>
      </c>
      <c r="B1049" s="15" t="s">
        <v>4288</v>
      </c>
      <c r="C1049" s="54">
        <v>9.0763920000000002</v>
      </c>
      <c r="D1049" s="26">
        <v>1.1805555555555555E-2</v>
      </c>
      <c r="F1049" s="61" t="s">
        <v>5196</v>
      </c>
    </row>
    <row r="1050" spans="1:6" x14ac:dyDescent="0.25">
      <c r="A1050" s="15" t="s">
        <v>4287</v>
      </c>
      <c r="B1050" s="15" t="s">
        <v>4289</v>
      </c>
      <c r="C1050" s="52">
        <v>55.074129999999997</v>
      </c>
      <c r="D1050" s="25">
        <v>4.9305555555555554E-2</v>
      </c>
      <c r="F1050" s="61" t="s">
        <v>5197</v>
      </c>
    </row>
    <row r="1051" spans="1:6" x14ac:dyDescent="0.25">
      <c r="A1051" s="15" t="s">
        <v>4287</v>
      </c>
      <c r="B1051" s="15" t="s">
        <v>4290</v>
      </c>
      <c r="C1051" s="54">
        <v>62.626914999999997</v>
      </c>
      <c r="D1051" s="26">
        <v>5.8333333333333327E-2</v>
      </c>
      <c r="F1051" s="61" t="s">
        <v>5198</v>
      </c>
    </row>
    <row r="1052" spans="1:6" x14ac:dyDescent="0.25">
      <c r="A1052" s="15" t="s">
        <v>4287</v>
      </c>
      <c r="B1052" s="15" t="s">
        <v>4291</v>
      </c>
      <c r="C1052" s="52">
        <v>62.233586000000003</v>
      </c>
      <c r="D1052" s="25">
        <v>5.8333333333333327E-2</v>
      </c>
      <c r="F1052" s="61" t="s">
        <v>5199</v>
      </c>
    </row>
    <row r="1053" spans="1:6" x14ac:dyDescent="0.25">
      <c r="A1053" s="15" t="s">
        <v>4287</v>
      </c>
      <c r="B1053" s="15" t="s">
        <v>4292</v>
      </c>
      <c r="C1053" s="54">
        <v>58.944038999999997</v>
      </c>
      <c r="D1053" s="26">
        <v>5.5555555555555552E-2</v>
      </c>
      <c r="F1053" s="61" t="s">
        <v>5200</v>
      </c>
    </row>
    <row r="1054" spans="1:6" x14ac:dyDescent="0.25">
      <c r="A1054" s="15" t="s">
        <v>4287</v>
      </c>
      <c r="B1054" s="15" t="s">
        <v>4293</v>
      </c>
      <c r="C1054" s="52">
        <v>67.382902000000001</v>
      </c>
      <c r="D1054" s="25">
        <v>6.5277777777777782E-2</v>
      </c>
      <c r="F1054" s="61" t="s">
        <v>5201</v>
      </c>
    </row>
    <row r="1055" spans="1:6" x14ac:dyDescent="0.25">
      <c r="A1055" s="15" t="s">
        <v>4287</v>
      </c>
      <c r="B1055" s="15" t="s">
        <v>4294</v>
      </c>
      <c r="C1055" s="54">
        <v>62.227373</v>
      </c>
      <c r="D1055" s="26">
        <v>6.805555555555555E-2</v>
      </c>
      <c r="F1055" s="61" t="s">
        <v>5202</v>
      </c>
    </row>
    <row r="1056" spans="1:6" x14ac:dyDescent="0.25">
      <c r="A1056" s="15" t="s">
        <v>4287</v>
      </c>
      <c r="B1056" s="15" t="s">
        <v>4295</v>
      </c>
      <c r="C1056" s="52">
        <v>64.650726000000006</v>
      </c>
      <c r="D1056" s="25">
        <v>7.3611111111111113E-2</v>
      </c>
      <c r="F1056" s="61" t="s">
        <v>5203</v>
      </c>
    </row>
    <row r="1057" spans="1:6" x14ac:dyDescent="0.25">
      <c r="A1057" s="15" t="s">
        <v>4287</v>
      </c>
      <c r="B1057" s="15" t="s">
        <v>4296</v>
      </c>
      <c r="C1057" s="54">
        <v>71.339804000000001</v>
      </c>
      <c r="D1057" s="26">
        <v>6.6666666666666666E-2</v>
      </c>
      <c r="F1057" s="61" t="s">
        <v>5204</v>
      </c>
    </row>
    <row r="1058" spans="1:6" x14ac:dyDescent="0.25">
      <c r="A1058" s="15" t="s">
        <v>4287</v>
      </c>
      <c r="B1058" s="15" t="s">
        <v>4297</v>
      </c>
      <c r="C1058" s="52">
        <v>64.054209</v>
      </c>
      <c r="D1058" s="25">
        <v>7.013888888888889E-2</v>
      </c>
      <c r="F1058" s="61" t="s">
        <v>5205</v>
      </c>
    </row>
    <row r="1059" spans="1:6" x14ac:dyDescent="0.25">
      <c r="A1059" s="15" t="s">
        <v>4287</v>
      </c>
      <c r="B1059" s="15" t="s">
        <v>4298</v>
      </c>
      <c r="C1059" s="54">
        <v>63.841698999999998</v>
      </c>
      <c r="D1059" s="26">
        <v>6.5277777777777782E-2</v>
      </c>
      <c r="F1059" s="61" t="s">
        <v>5206</v>
      </c>
    </row>
    <row r="1060" spans="1:6" x14ac:dyDescent="0.25">
      <c r="A1060" s="15" t="s">
        <v>4287</v>
      </c>
      <c r="B1060" s="15" t="s">
        <v>4299</v>
      </c>
      <c r="C1060" s="52">
        <v>61.426423</v>
      </c>
      <c r="D1060" s="25">
        <v>6.0416666666666667E-2</v>
      </c>
      <c r="F1060" s="61" t="s">
        <v>5207</v>
      </c>
    </row>
    <row r="1061" spans="1:6" x14ac:dyDescent="0.25">
      <c r="A1061" s="15" t="s">
        <v>4287</v>
      </c>
      <c r="B1061" s="15" t="s">
        <v>4300</v>
      </c>
      <c r="C1061" s="54">
        <v>62.488348999999999</v>
      </c>
      <c r="D1061" s="26">
        <v>5.4166666666666669E-2</v>
      </c>
      <c r="F1061" s="61" t="s">
        <v>5208</v>
      </c>
    </row>
    <row r="1062" spans="1:6" x14ac:dyDescent="0.25">
      <c r="A1062" s="15" t="s">
        <v>4287</v>
      </c>
      <c r="B1062" s="15" t="s">
        <v>4301</v>
      </c>
      <c r="C1062" s="52">
        <v>65.342314000000002</v>
      </c>
      <c r="D1062" s="25">
        <v>6.3194444444444442E-2</v>
      </c>
      <c r="F1062" s="61" t="s">
        <v>5209</v>
      </c>
    </row>
    <row r="1063" spans="1:6" x14ac:dyDescent="0.25">
      <c r="A1063" s="15" t="s">
        <v>4287</v>
      </c>
      <c r="B1063" s="15" t="s">
        <v>4302</v>
      </c>
      <c r="C1063" s="54">
        <v>60.373196</v>
      </c>
      <c r="D1063" s="26">
        <v>5.6250000000000001E-2</v>
      </c>
      <c r="F1063" s="61" t="s">
        <v>5210</v>
      </c>
    </row>
    <row r="1064" spans="1:6" x14ac:dyDescent="0.25">
      <c r="A1064" s="15" t="s">
        <v>4287</v>
      </c>
      <c r="B1064" s="15" t="s">
        <v>4303</v>
      </c>
      <c r="C1064" s="52">
        <v>50.439310999999996</v>
      </c>
      <c r="D1064" s="25">
        <v>4.5833333333333337E-2</v>
      </c>
      <c r="F1064" s="61" t="s">
        <v>5211</v>
      </c>
    </row>
    <row r="1065" spans="1:6" x14ac:dyDescent="0.25">
      <c r="A1065" s="15" t="s">
        <v>4287</v>
      </c>
      <c r="B1065" s="15" t="s">
        <v>4304</v>
      </c>
      <c r="C1065" s="54">
        <v>70.049834000000004</v>
      </c>
      <c r="D1065" s="26">
        <v>6.805555555555555E-2</v>
      </c>
      <c r="F1065" s="61" t="s">
        <v>5212</v>
      </c>
    </row>
    <row r="1066" spans="1:6" x14ac:dyDescent="0.25">
      <c r="A1066" s="15" t="s">
        <v>4287</v>
      </c>
      <c r="B1066" s="15" t="s">
        <v>4305</v>
      </c>
      <c r="C1066" s="52">
        <v>70.645730999999998</v>
      </c>
      <c r="D1066" s="25">
        <v>6.805555555555555E-2</v>
      </c>
      <c r="F1066" s="61" t="s">
        <v>5213</v>
      </c>
    </row>
    <row r="1067" spans="1:6" x14ac:dyDescent="0.25">
      <c r="A1067" s="15" t="s">
        <v>4287</v>
      </c>
      <c r="B1067" s="15" t="s">
        <v>4306</v>
      </c>
      <c r="C1067" s="54">
        <v>179.34557000000001</v>
      </c>
      <c r="D1067" s="26">
        <v>0.1451388888888889</v>
      </c>
      <c r="F1067" s="61" t="s">
        <v>5214</v>
      </c>
    </row>
    <row r="1068" spans="1:6" x14ac:dyDescent="0.25">
      <c r="A1068" s="15" t="s">
        <v>4287</v>
      </c>
      <c r="B1068" s="15" t="s">
        <v>4307</v>
      </c>
      <c r="C1068" s="52">
        <v>178.24884700000001</v>
      </c>
      <c r="D1068" s="25">
        <v>0.14375000000000002</v>
      </c>
      <c r="F1068" s="61" t="s">
        <v>5215</v>
      </c>
    </row>
    <row r="1069" spans="1:6" x14ac:dyDescent="0.25">
      <c r="A1069" s="15" t="s">
        <v>4287</v>
      </c>
      <c r="B1069" s="15" t="s">
        <v>4308</v>
      </c>
      <c r="C1069" s="54">
        <v>176.472343</v>
      </c>
      <c r="D1069" s="26">
        <v>0.14166666666666666</v>
      </c>
      <c r="F1069" s="61" t="s">
        <v>5216</v>
      </c>
    </row>
    <row r="1070" spans="1:6" x14ac:dyDescent="0.25">
      <c r="A1070" s="15" t="s">
        <v>4287</v>
      </c>
      <c r="B1070" s="15" t="s">
        <v>4309</v>
      </c>
      <c r="C1070" s="52">
        <v>30.082518</v>
      </c>
      <c r="D1070" s="25">
        <v>3.125E-2</v>
      </c>
      <c r="F1070" s="61" t="s">
        <v>5217</v>
      </c>
    </row>
    <row r="1071" spans="1:6" x14ac:dyDescent="0.25">
      <c r="A1071" s="15" t="s">
        <v>4287</v>
      </c>
      <c r="B1071" s="15" t="s">
        <v>4310</v>
      </c>
      <c r="C1071" s="54">
        <v>31.644027999999999</v>
      </c>
      <c r="D1071" s="26">
        <v>3.4722222222222224E-2</v>
      </c>
      <c r="F1071" s="61" t="s">
        <v>5218</v>
      </c>
    </row>
    <row r="1072" spans="1:6" x14ac:dyDescent="0.25">
      <c r="A1072" s="15" t="s">
        <v>4287</v>
      </c>
      <c r="B1072" s="15" t="s">
        <v>4311</v>
      </c>
      <c r="C1072" s="52">
        <v>20.937775999999999</v>
      </c>
      <c r="D1072" s="25">
        <v>2.4999999999999998E-2</v>
      </c>
      <c r="F1072" s="61" t="s">
        <v>5219</v>
      </c>
    </row>
    <row r="1073" spans="1:6" x14ac:dyDescent="0.25">
      <c r="A1073" s="15" t="s">
        <v>4287</v>
      </c>
      <c r="B1073" s="15" t="s">
        <v>4312</v>
      </c>
      <c r="C1073" s="54">
        <v>17.650092999999998</v>
      </c>
      <c r="D1073" s="26">
        <v>1.8055555555555557E-2</v>
      </c>
      <c r="F1073" s="61" t="s">
        <v>5220</v>
      </c>
    </row>
    <row r="1074" spans="1:6" x14ac:dyDescent="0.25">
      <c r="A1074" s="15" t="s">
        <v>4287</v>
      </c>
      <c r="B1074" s="15" t="s">
        <v>4313</v>
      </c>
      <c r="C1074" s="52">
        <v>36.324207000000001</v>
      </c>
      <c r="D1074" s="25">
        <v>3.6805555555555557E-2</v>
      </c>
      <c r="F1074" s="61" t="s">
        <v>5221</v>
      </c>
    </row>
    <row r="1075" spans="1:6" x14ac:dyDescent="0.25">
      <c r="A1075" s="15" t="s">
        <v>4287</v>
      </c>
      <c r="B1075" s="15" t="s">
        <v>4314</v>
      </c>
      <c r="C1075" s="54">
        <v>123.351809</v>
      </c>
      <c r="D1075" s="26">
        <v>0.10694444444444444</v>
      </c>
      <c r="F1075" s="61" t="s">
        <v>5222</v>
      </c>
    </row>
    <row r="1076" spans="1:6" x14ac:dyDescent="0.25">
      <c r="A1076" s="15" t="s">
        <v>4287</v>
      </c>
      <c r="B1076" s="15" t="s">
        <v>4315</v>
      </c>
      <c r="C1076" s="52">
        <v>120.84581300000001</v>
      </c>
      <c r="D1076" s="25">
        <v>0.11319444444444444</v>
      </c>
      <c r="F1076" s="61" t="s">
        <v>5223</v>
      </c>
    </row>
    <row r="1077" spans="1:6" x14ac:dyDescent="0.25">
      <c r="A1077" s="15" t="s">
        <v>4287</v>
      </c>
      <c r="B1077" s="15" t="s">
        <v>4316</v>
      </c>
      <c r="C1077" s="54">
        <v>112.073894</v>
      </c>
      <c r="D1077" s="26">
        <v>0.1013888888888889</v>
      </c>
      <c r="F1077" s="61" t="s">
        <v>5224</v>
      </c>
    </row>
    <row r="1078" spans="1:6" x14ac:dyDescent="0.25">
      <c r="A1078" s="15" t="s">
        <v>4287</v>
      </c>
      <c r="B1078" s="15" t="s">
        <v>4317</v>
      </c>
      <c r="C1078" s="52">
        <v>225.80188200000001</v>
      </c>
      <c r="D1078" s="25">
        <v>0.17986111111111111</v>
      </c>
      <c r="F1078" s="61" t="s">
        <v>5225</v>
      </c>
    </row>
    <row r="1079" spans="1:6" x14ac:dyDescent="0.25">
      <c r="A1079" s="15" t="s">
        <v>4287</v>
      </c>
      <c r="B1079" s="15" t="s">
        <v>4318</v>
      </c>
      <c r="C1079" s="54">
        <v>234.91307</v>
      </c>
      <c r="D1079" s="26">
        <v>0.18819444444444444</v>
      </c>
      <c r="F1079" s="61" t="s">
        <v>5226</v>
      </c>
    </row>
    <row r="1080" spans="1:6" x14ac:dyDescent="0.25">
      <c r="A1080" s="15" t="s">
        <v>4287</v>
      </c>
      <c r="B1080" s="15" t="s">
        <v>4319</v>
      </c>
      <c r="C1080" s="52">
        <v>228.55083500000001</v>
      </c>
      <c r="D1080" s="25">
        <v>0.18402777777777779</v>
      </c>
      <c r="F1080" s="61" t="s">
        <v>5227</v>
      </c>
    </row>
    <row r="1081" spans="1:6" x14ac:dyDescent="0.25">
      <c r="A1081" s="15" t="s">
        <v>4287</v>
      </c>
      <c r="B1081" s="15" t="s">
        <v>4320</v>
      </c>
      <c r="C1081" s="54">
        <v>259.472827</v>
      </c>
      <c r="D1081" s="26">
        <v>0.20972222222222223</v>
      </c>
      <c r="F1081" s="61" t="s">
        <v>5228</v>
      </c>
    </row>
    <row r="1082" spans="1:6" x14ac:dyDescent="0.25">
      <c r="A1082" s="15" t="s">
        <v>4287</v>
      </c>
      <c r="B1082" s="15" t="s">
        <v>4321</v>
      </c>
      <c r="C1082" s="52">
        <v>253.12799000000001</v>
      </c>
      <c r="D1082" s="25">
        <v>0.20555555555555557</v>
      </c>
      <c r="F1082" s="61" t="s">
        <v>5229</v>
      </c>
    </row>
    <row r="1083" spans="1:6" x14ac:dyDescent="0.25">
      <c r="A1083" s="15" t="s">
        <v>4288</v>
      </c>
      <c r="B1083" s="15">
        <v>3423909</v>
      </c>
      <c r="C1083" s="54">
        <v>122.25322199999999</v>
      </c>
      <c r="D1083" s="26">
        <v>0.10555555555555556</v>
      </c>
      <c r="F1083" s="61" t="s">
        <v>7033</v>
      </c>
    </row>
    <row r="1084" spans="1:6" x14ac:dyDescent="0.25">
      <c r="A1084" s="15" t="s">
        <v>4288</v>
      </c>
      <c r="B1084" s="15">
        <v>3403208</v>
      </c>
      <c r="C1084" s="52">
        <v>212.341084</v>
      </c>
      <c r="D1084" s="25">
        <v>0.17083333333333331</v>
      </c>
      <c r="F1084" s="61" t="s">
        <v>7138</v>
      </c>
    </row>
    <row r="1085" spans="1:6" x14ac:dyDescent="0.25">
      <c r="A1085" s="15" t="s">
        <v>4288</v>
      </c>
      <c r="B1085" s="15">
        <v>3424402</v>
      </c>
      <c r="C1085" s="54">
        <v>15.208098</v>
      </c>
      <c r="D1085" s="26">
        <v>1.9444444444444445E-2</v>
      </c>
      <c r="F1085" s="61" t="s">
        <v>7245</v>
      </c>
    </row>
    <row r="1086" spans="1:6" x14ac:dyDescent="0.25">
      <c r="A1086" s="15" t="s">
        <v>4288</v>
      </c>
      <c r="B1086" s="15" t="s">
        <v>4271</v>
      </c>
      <c r="C1086" s="52">
        <v>101.29183399999999</v>
      </c>
      <c r="D1086" s="25">
        <v>9.0972222222222218E-2</v>
      </c>
      <c r="F1086" s="61" t="s">
        <v>5230</v>
      </c>
    </row>
    <row r="1087" spans="1:6" x14ac:dyDescent="0.25">
      <c r="A1087" s="15" t="s">
        <v>4288</v>
      </c>
      <c r="B1087" s="15" t="s">
        <v>4272</v>
      </c>
      <c r="C1087" s="54">
        <v>99.151826</v>
      </c>
      <c r="D1087" s="26">
        <v>8.6111111111111124E-2</v>
      </c>
      <c r="F1087" s="61" t="s">
        <v>5231</v>
      </c>
    </row>
    <row r="1088" spans="1:6" x14ac:dyDescent="0.25">
      <c r="A1088" s="15" t="s">
        <v>4288</v>
      </c>
      <c r="B1088" s="15" t="s">
        <v>4273</v>
      </c>
      <c r="C1088" s="52">
        <v>99.218312999999995</v>
      </c>
      <c r="D1088" s="25">
        <v>8.6805555555555566E-2</v>
      </c>
      <c r="F1088" s="61" t="s">
        <v>5232</v>
      </c>
    </row>
    <row r="1089" spans="1:6" x14ac:dyDescent="0.25">
      <c r="A1089" s="15" t="s">
        <v>4288</v>
      </c>
      <c r="B1089" s="15" t="s">
        <v>4274</v>
      </c>
      <c r="C1089" s="54">
        <v>103.067717</v>
      </c>
      <c r="D1089" s="26">
        <v>8.7500000000000008E-2</v>
      </c>
      <c r="F1089" s="61" t="s">
        <v>5233</v>
      </c>
    </row>
    <row r="1090" spans="1:6" x14ac:dyDescent="0.25">
      <c r="A1090" s="15" t="s">
        <v>4288</v>
      </c>
      <c r="B1090" s="15" t="s">
        <v>4275</v>
      </c>
      <c r="C1090" s="52">
        <v>103.160923</v>
      </c>
      <c r="D1090" s="25">
        <v>8.7500000000000008E-2</v>
      </c>
      <c r="F1090" s="61" t="s">
        <v>5234</v>
      </c>
    </row>
    <row r="1091" spans="1:6" x14ac:dyDescent="0.25">
      <c r="A1091" s="15" t="s">
        <v>4288</v>
      </c>
      <c r="B1091" s="15" t="s">
        <v>4276</v>
      </c>
      <c r="C1091" s="54">
        <v>97.563597000000001</v>
      </c>
      <c r="D1091" s="26">
        <v>8.6111111111111124E-2</v>
      </c>
      <c r="F1091" s="61" t="s">
        <v>5235</v>
      </c>
    </row>
    <row r="1092" spans="1:6" x14ac:dyDescent="0.25">
      <c r="A1092" s="15" t="s">
        <v>4288</v>
      </c>
      <c r="B1092" s="15" t="s">
        <v>4277</v>
      </c>
      <c r="C1092" s="52">
        <v>102.21395099999999</v>
      </c>
      <c r="D1092" s="25">
        <v>9.0277777777777776E-2</v>
      </c>
      <c r="F1092" s="61" t="s">
        <v>5236</v>
      </c>
    </row>
    <row r="1093" spans="1:6" x14ac:dyDescent="0.25">
      <c r="A1093" s="15" t="s">
        <v>4288</v>
      </c>
      <c r="B1093" s="15" t="s">
        <v>4278</v>
      </c>
      <c r="C1093" s="54">
        <v>96.950303000000005</v>
      </c>
      <c r="D1093" s="26">
        <v>8.1944444444444445E-2</v>
      </c>
      <c r="F1093" s="61" t="s">
        <v>5237</v>
      </c>
    </row>
    <row r="1094" spans="1:6" x14ac:dyDescent="0.25">
      <c r="A1094" s="15" t="s">
        <v>4288</v>
      </c>
      <c r="B1094" s="15" t="s">
        <v>4279</v>
      </c>
      <c r="C1094" s="52">
        <v>120.531398</v>
      </c>
      <c r="D1094" s="25">
        <v>0.10277777777777779</v>
      </c>
      <c r="F1094" s="61" t="s">
        <v>5238</v>
      </c>
    </row>
    <row r="1095" spans="1:6" x14ac:dyDescent="0.25">
      <c r="A1095" s="15" t="s">
        <v>4288</v>
      </c>
      <c r="B1095" s="15" t="s">
        <v>4280</v>
      </c>
      <c r="C1095" s="54">
        <v>69.832975000000005</v>
      </c>
      <c r="D1095" s="26">
        <v>6.805555555555555E-2</v>
      </c>
      <c r="F1095" s="61" t="s">
        <v>5239</v>
      </c>
    </row>
    <row r="1096" spans="1:6" x14ac:dyDescent="0.25">
      <c r="A1096" s="15" t="s">
        <v>4288</v>
      </c>
      <c r="B1096" s="15" t="s">
        <v>4281</v>
      </c>
      <c r="C1096" s="52">
        <v>143.10959800000001</v>
      </c>
      <c r="D1096" s="25">
        <v>0.1173611111111111</v>
      </c>
      <c r="F1096" s="61" t="s">
        <v>5240</v>
      </c>
    </row>
    <row r="1097" spans="1:6" x14ac:dyDescent="0.25">
      <c r="A1097" s="15" t="s">
        <v>4288</v>
      </c>
      <c r="B1097" s="15" t="s">
        <v>4282</v>
      </c>
      <c r="C1097" s="54">
        <v>20.012551999999999</v>
      </c>
      <c r="D1097" s="26">
        <v>2.361111111111111E-2</v>
      </c>
      <c r="F1097" s="61" t="s">
        <v>5241</v>
      </c>
    </row>
    <row r="1098" spans="1:6" x14ac:dyDescent="0.25">
      <c r="A1098" s="15" t="s">
        <v>4288</v>
      </c>
      <c r="B1098" s="15" t="s">
        <v>4283</v>
      </c>
      <c r="C1098" s="52">
        <v>7.5627279999999999</v>
      </c>
      <c r="D1098" s="25">
        <v>1.1805555555555555E-2</v>
      </c>
      <c r="F1098" s="61" t="s">
        <v>5242</v>
      </c>
    </row>
    <row r="1099" spans="1:6" x14ac:dyDescent="0.25">
      <c r="A1099" s="15" t="s">
        <v>4288</v>
      </c>
      <c r="B1099" s="15" t="s">
        <v>4284</v>
      </c>
      <c r="C1099" s="54">
        <v>9.7766789999999997</v>
      </c>
      <c r="D1099" s="26">
        <v>1.3888888888888888E-2</v>
      </c>
      <c r="F1099" s="61" t="s">
        <v>5243</v>
      </c>
    </row>
    <row r="1100" spans="1:6" x14ac:dyDescent="0.25">
      <c r="A1100" s="15" t="s">
        <v>4288</v>
      </c>
      <c r="B1100" s="15" t="s">
        <v>4285</v>
      </c>
      <c r="C1100" s="52">
        <v>9.3578729999999997</v>
      </c>
      <c r="D1100" s="25">
        <v>1.7361111111111112E-2</v>
      </c>
      <c r="F1100" s="61" t="s">
        <v>5244</v>
      </c>
    </row>
    <row r="1101" spans="1:6" x14ac:dyDescent="0.25">
      <c r="A1101" s="15" t="s">
        <v>4288</v>
      </c>
      <c r="B1101" s="15" t="s">
        <v>4286</v>
      </c>
      <c r="C1101" s="54">
        <v>9.89039</v>
      </c>
      <c r="D1101" s="26">
        <v>1.6666666666666666E-2</v>
      </c>
      <c r="F1101" s="61" t="s">
        <v>5245</v>
      </c>
    </row>
    <row r="1102" spans="1:6" x14ac:dyDescent="0.25">
      <c r="A1102" s="15" t="s">
        <v>4288</v>
      </c>
      <c r="B1102" s="15" t="s">
        <v>4287</v>
      </c>
      <c r="C1102" s="52">
        <v>7.986504</v>
      </c>
      <c r="D1102" s="25">
        <v>1.1111111111111112E-2</v>
      </c>
      <c r="F1102" s="61" t="s">
        <v>5246</v>
      </c>
    </row>
    <row r="1103" spans="1:6" x14ac:dyDescent="0.25">
      <c r="A1103" s="15" t="s">
        <v>4288</v>
      </c>
      <c r="B1103" s="15" t="s">
        <v>4288</v>
      </c>
      <c r="C1103" s="54">
        <v>0</v>
      </c>
      <c r="D1103" s="26">
        <v>0</v>
      </c>
      <c r="F1103" s="61" t="s">
        <v>5247</v>
      </c>
    </row>
    <row r="1104" spans="1:6" x14ac:dyDescent="0.25">
      <c r="A1104" s="15" t="s">
        <v>4288</v>
      </c>
      <c r="B1104" s="15" t="s">
        <v>4289</v>
      </c>
      <c r="C1104" s="52">
        <v>65.005529999999993</v>
      </c>
      <c r="D1104" s="25">
        <v>5.9027777777777783E-2</v>
      </c>
      <c r="F1104" s="61" t="s">
        <v>5248</v>
      </c>
    </row>
    <row r="1105" spans="1:6" x14ac:dyDescent="0.25">
      <c r="A1105" s="15" t="s">
        <v>4288</v>
      </c>
      <c r="B1105" s="15" t="s">
        <v>4290</v>
      </c>
      <c r="C1105" s="54">
        <v>72.558316000000005</v>
      </c>
      <c r="D1105" s="26">
        <v>6.805555555555555E-2</v>
      </c>
      <c r="F1105" s="61" t="s">
        <v>5249</v>
      </c>
    </row>
    <row r="1106" spans="1:6" x14ac:dyDescent="0.25">
      <c r="A1106" s="15" t="s">
        <v>4288</v>
      </c>
      <c r="B1106" s="15" t="s">
        <v>4291</v>
      </c>
      <c r="C1106" s="52">
        <v>72.164986999999996</v>
      </c>
      <c r="D1106" s="25">
        <v>6.8749999999999992E-2</v>
      </c>
      <c r="F1106" s="61" t="s">
        <v>5250</v>
      </c>
    </row>
    <row r="1107" spans="1:6" x14ac:dyDescent="0.25">
      <c r="A1107" s="15" t="s">
        <v>4288</v>
      </c>
      <c r="B1107" s="15" t="s">
        <v>4292</v>
      </c>
      <c r="C1107" s="54">
        <v>68.875439999999998</v>
      </c>
      <c r="D1107" s="26">
        <v>6.5277777777777782E-2</v>
      </c>
      <c r="F1107" s="61" t="s">
        <v>5251</v>
      </c>
    </row>
    <row r="1108" spans="1:6" x14ac:dyDescent="0.25">
      <c r="A1108" s="15" t="s">
        <v>4288</v>
      </c>
      <c r="B1108" s="15" t="s">
        <v>4293</v>
      </c>
      <c r="C1108" s="52">
        <v>77.314302999999995</v>
      </c>
      <c r="D1108" s="25">
        <v>7.4999999999999997E-2</v>
      </c>
      <c r="F1108" s="61" t="s">
        <v>5252</v>
      </c>
    </row>
    <row r="1109" spans="1:6" x14ac:dyDescent="0.25">
      <c r="A1109" s="15" t="s">
        <v>4288</v>
      </c>
      <c r="B1109" s="15" t="s">
        <v>4294</v>
      </c>
      <c r="C1109" s="54">
        <v>72.158772999999997</v>
      </c>
      <c r="D1109" s="26">
        <v>7.7777777777777779E-2</v>
      </c>
      <c r="F1109" s="61" t="s">
        <v>5253</v>
      </c>
    </row>
    <row r="1110" spans="1:6" x14ac:dyDescent="0.25">
      <c r="A1110" s="15" t="s">
        <v>4288</v>
      </c>
      <c r="B1110" s="15" t="s">
        <v>4295</v>
      </c>
      <c r="C1110" s="52">
        <v>74.582127</v>
      </c>
      <c r="D1110" s="25">
        <v>8.3333333333333329E-2</v>
      </c>
      <c r="F1110" s="61" t="s">
        <v>5254</v>
      </c>
    </row>
    <row r="1111" spans="1:6" x14ac:dyDescent="0.25">
      <c r="A1111" s="15" t="s">
        <v>4288</v>
      </c>
      <c r="B1111" s="15" t="s">
        <v>4296</v>
      </c>
      <c r="C1111" s="54">
        <v>81.271203999999997</v>
      </c>
      <c r="D1111" s="26">
        <v>7.7083333333333337E-2</v>
      </c>
      <c r="F1111" s="61" t="s">
        <v>5255</v>
      </c>
    </row>
    <row r="1112" spans="1:6" x14ac:dyDescent="0.25">
      <c r="A1112" s="15" t="s">
        <v>4288</v>
      </c>
      <c r="B1112" s="15" t="s">
        <v>4297</v>
      </c>
      <c r="C1112" s="52">
        <v>73.985608999999997</v>
      </c>
      <c r="D1112" s="25">
        <v>7.9861111111111105E-2</v>
      </c>
      <c r="F1112" s="61" t="s">
        <v>5256</v>
      </c>
    </row>
    <row r="1113" spans="1:6" x14ac:dyDescent="0.25">
      <c r="A1113" s="15" t="s">
        <v>4288</v>
      </c>
      <c r="B1113" s="15" t="s">
        <v>4298</v>
      </c>
      <c r="C1113" s="54">
        <v>73.773099999999999</v>
      </c>
      <c r="D1113" s="26">
        <v>7.4999999999999997E-2</v>
      </c>
      <c r="F1113" s="61" t="s">
        <v>5257</v>
      </c>
    </row>
    <row r="1114" spans="1:6" x14ac:dyDescent="0.25">
      <c r="A1114" s="15" t="s">
        <v>4288</v>
      </c>
      <c r="B1114" s="15" t="s">
        <v>4299</v>
      </c>
      <c r="C1114" s="52">
        <v>69.329662999999996</v>
      </c>
      <c r="D1114" s="25">
        <v>7.013888888888889E-2</v>
      </c>
      <c r="F1114" s="61" t="s">
        <v>5258</v>
      </c>
    </row>
    <row r="1115" spans="1:6" x14ac:dyDescent="0.25">
      <c r="A1115" s="15" t="s">
        <v>4288</v>
      </c>
      <c r="B1115" s="15" t="s">
        <v>4300</v>
      </c>
      <c r="C1115" s="54">
        <v>70.391588999999996</v>
      </c>
      <c r="D1115" s="26">
        <v>6.3888888888888884E-2</v>
      </c>
      <c r="F1115" s="61" t="s">
        <v>5259</v>
      </c>
    </row>
    <row r="1116" spans="1:6" x14ac:dyDescent="0.25">
      <c r="A1116" s="15" t="s">
        <v>4288</v>
      </c>
      <c r="B1116" s="15" t="s">
        <v>4301</v>
      </c>
      <c r="C1116" s="52">
        <v>75.273714999999996</v>
      </c>
      <c r="D1116" s="25">
        <v>7.3611111111111113E-2</v>
      </c>
      <c r="F1116" s="61" t="s">
        <v>5260</v>
      </c>
    </row>
    <row r="1117" spans="1:6" x14ac:dyDescent="0.25">
      <c r="A1117" s="15" t="s">
        <v>4288</v>
      </c>
      <c r="B1117" s="15" t="s">
        <v>4302</v>
      </c>
      <c r="C1117" s="54">
        <v>70.304597000000001</v>
      </c>
      <c r="D1117" s="26">
        <v>6.6666666666666666E-2</v>
      </c>
      <c r="F1117" s="61" t="s">
        <v>5261</v>
      </c>
    </row>
    <row r="1118" spans="1:6" x14ac:dyDescent="0.25">
      <c r="A1118" s="15" t="s">
        <v>4288</v>
      </c>
      <c r="B1118" s="15" t="s">
        <v>4303</v>
      </c>
      <c r="C1118" s="52">
        <v>60.370711</v>
      </c>
      <c r="D1118" s="25">
        <v>5.5555555555555552E-2</v>
      </c>
      <c r="F1118" s="61" t="s">
        <v>5262</v>
      </c>
    </row>
    <row r="1119" spans="1:6" x14ac:dyDescent="0.25">
      <c r="A1119" s="15" t="s">
        <v>4288</v>
      </c>
      <c r="B1119" s="15" t="s">
        <v>4304</v>
      </c>
      <c r="C1119" s="54">
        <v>77.953074000000001</v>
      </c>
      <c r="D1119" s="26">
        <v>7.7777777777777779E-2</v>
      </c>
      <c r="F1119" s="61" t="s">
        <v>5263</v>
      </c>
    </row>
    <row r="1120" spans="1:6" x14ac:dyDescent="0.25">
      <c r="A1120" s="15" t="s">
        <v>4288</v>
      </c>
      <c r="B1120" s="15" t="s">
        <v>4305</v>
      </c>
      <c r="C1120" s="52">
        <v>80.577130999999994</v>
      </c>
      <c r="D1120" s="25">
        <v>7.7777777777777779E-2</v>
      </c>
      <c r="F1120" s="61" t="s">
        <v>5264</v>
      </c>
    </row>
    <row r="1121" spans="1:6" x14ac:dyDescent="0.25">
      <c r="A1121" s="15" t="s">
        <v>4288</v>
      </c>
      <c r="B1121" s="15" t="s">
        <v>4306</v>
      </c>
      <c r="C1121" s="54">
        <v>189.276971</v>
      </c>
      <c r="D1121" s="26">
        <v>0.15555555555555556</v>
      </c>
      <c r="F1121" s="61" t="s">
        <v>5265</v>
      </c>
    </row>
    <row r="1122" spans="1:6" x14ac:dyDescent="0.25">
      <c r="A1122" s="15" t="s">
        <v>4288</v>
      </c>
      <c r="B1122" s="15" t="s">
        <v>4307</v>
      </c>
      <c r="C1122" s="52">
        <v>188.18024800000001</v>
      </c>
      <c r="D1122" s="25">
        <v>0.15416666666666667</v>
      </c>
      <c r="F1122" s="61" t="s">
        <v>5266</v>
      </c>
    </row>
    <row r="1123" spans="1:6" x14ac:dyDescent="0.25">
      <c r="A1123" s="15" t="s">
        <v>4288</v>
      </c>
      <c r="B1123" s="15" t="s">
        <v>4308</v>
      </c>
      <c r="C1123" s="54">
        <v>186.40374299999999</v>
      </c>
      <c r="D1123" s="26">
        <v>0.15138888888888888</v>
      </c>
      <c r="F1123" s="61" t="s">
        <v>5267</v>
      </c>
    </row>
    <row r="1124" spans="1:6" x14ac:dyDescent="0.25">
      <c r="A1124" s="15" t="s">
        <v>4288</v>
      </c>
      <c r="B1124" s="15" t="s">
        <v>4309</v>
      </c>
      <c r="C1124" s="52">
        <v>21.316192000000001</v>
      </c>
      <c r="D1124" s="25">
        <v>2.361111111111111E-2</v>
      </c>
      <c r="F1124" s="61" t="s">
        <v>5268</v>
      </c>
    </row>
    <row r="1125" spans="1:6" x14ac:dyDescent="0.25">
      <c r="A1125" s="15" t="s">
        <v>4288</v>
      </c>
      <c r="B1125" s="15" t="s">
        <v>4310</v>
      </c>
      <c r="C1125" s="54">
        <v>22.877700999999998</v>
      </c>
      <c r="D1125" s="26">
        <v>2.7083333333333334E-2</v>
      </c>
      <c r="F1125" s="61" t="s">
        <v>5269</v>
      </c>
    </row>
    <row r="1126" spans="1:6" x14ac:dyDescent="0.25">
      <c r="A1126" s="15" t="s">
        <v>4288</v>
      </c>
      <c r="B1126" s="15" t="s">
        <v>4311</v>
      </c>
      <c r="C1126" s="52">
        <v>12.171449000000001</v>
      </c>
      <c r="D1126" s="25">
        <v>1.8055555555555557E-2</v>
      </c>
      <c r="F1126" s="61" t="s">
        <v>5270</v>
      </c>
    </row>
    <row r="1127" spans="1:6" x14ac:dyDescent="0.25">
      <c r="A1127" s="15" t="s">
        <v>4288</v>
      </c>
      <c r="B1127" s="15" t="s">
        <v>4312</v>
      </c>
      <c r="C1127" s="54">
        <v>8.8837659999999996</v>
      </c>
      <c r="D1127" s="26">
        <v>1.1111111111111112E-2</v>
      </c>
      <c r="F1127" s="61" t="s">
        <v>5271</v>
      </c>
    </row>
    <row r="1128" spans="1:6" x14ac:dyDescent="0.25">
      <c r="A1128" s="15" t="s">
        <v>4288</v>
      </c>
      <c r="B1128" s="15" t="s">
        <v>4313</v>
      </c>
      <c r="C1128" s="52">
        <v>27.557880999999998</v>
      </c>
      <c r="D1128" s="25">
        <v>2.9861111111111113E-2</v>
      </c>
      <c r="F1128" s="61" t="s">
        <v>5272</v>
      </c>
    </row>
    <row r="1129" spans="1:6" x14ac:dyDescent="0.25">
      <c r="A1129" s="15" t="s">
        <v>4288</v>
      </c>
      <c r="B1129" s="15" t="s">
        <v>4314</v>
      </c>
      <c r="C1129" s="54">
        <v>133.283209</v>
      </c>
      <c r="D1129" s="26">
        <v>0.1173611111111111</v>
      </c>
      <c r="F1129" s="61" t="s">
        <v>5273</v>
      </c>
    </row>
    <row r="1130" spans="1:6" x14ac:dyDescent="0.25">
      <c r="A1130" s="15" t="s">
        <v>4288</v>
      </c>
      <c r="B1130" s="15" t="s">
        <v>4315</v>
      </c>
      <c r="C1130" s="52">
        <v>137.57627400000001</v>
      </c>
      <c r="D1130" s="25">
        <v>0.12638888888888888</v>
      </c>
      <c r="F1130" s="61" t="s">
        <v>5274</v>
      </c>
    </row>
    <row r="1131" spans="1:6" x14ac:dyDescent="0.25">
      <c r="A1131" s="15" t="s">
        <v>4288</v>
      </c>
      <c r="B1131" s="15" t="s">
        <v>4316</v>
      </c>
      <c r="C1131" s="54">
        <v>122.00529400000001</v>
      </c>
      <c r="D1131" s="26">
        <v>0.1111111111111111</v>
      </c>
      <c r="F1131" s="61" t="s">
        <v>5275</v>
      </c>
    </row>
    <row r="1132" spans="1:6" x14ac:dyDescent="0.25">
      <c r="A1132" s="15" t="s">
        <v>4288</v>
      </c>
      <c r="B1132" s="15" t="s">
        <v>4317</v>
      </c>
      <c r="C1132" s="52">
        <v>235.733282</v>
      </c>
      <c r="D1132" s="25">
        <v>0.18958333333333333</v>
      </c>
      <c r="F1132" s="61" t="s">
        <v>5276</v>
      </c>
    </row>
    <row r="1133" spans="1:6" x14ac:dyDescent="0.25">
      <c r="A1133" s="15" t="s">
        <v>4288</v>
      </c>
      <c r="B1133" s="15" t="s">
        <v>4318</v>
      </c>
      <c r="C1133" s="54">
        <v>244.84447</v>
      </c>
      <c r="D1133" s="26">
        <v>0.19791666666666666</v>
      </c>
      <c r="F1133" s="61" t="s">
        <v>5277</v>
      </c>
    </row>
    <row r="1134" spans="1:6" x14ac:dyDescent="0.25">
      <c r="A1134" s="15" t="s">
        <v>4288</v>
      </c>
      <c r="B1134" s="15" t="s">
        <v>4319</v>
      </c>
      <c r="C1134" s="52">
        <v>238.482235</v>
      </c>
      <c r="D1134" s="25">
        <v>0.19375000000000001</v>
      </c>
      <c r="F1134" s="61" t="s">
        <v>5278</v>
      </c>
    </row>
    <row r="1135" spans="1:6" x14ac:dyDescent="0.25">
      <c r="A1135" s="15" t="s">
        <v>4288</v>
      </c>
      <c r="B1135" s="15" t="s">
        <v>4320</v>
      </c>
      <c r="C1135" s="54">
        <v>269.40422799999999</v>
      </c>
      <c r="D1135" s="26">
        <v>0.21944444444444444</v>
      </c>
      <c r="F1135" s="61" t="s">
        <v>5279</v>
      </c>
    </row>
    <row r="1136" spans="1:6" x14ac:dyDescent="0.25">
      <c r="A1136" s="15" t="s">
        <v>4288</v>
      </c>
      <c r="B1136" s="15" t="s">
        <v>4321</v>
      </c>
      <c r="C1136" s="52">
        <v>263.05939100000001</v>
      </c>
      <c r="D1136" s="25">
        <v>0.21527777777777779</v>
      </c>
      <c r="F1136" s="61" t="s">
        <v>5280</v>
      </c>
    </row>
    <row r="1137" spans="1:6" x14ac:dyDescent="0.25">
      <c r="A1137" s="15" t="s">
        <v>4289</v>
      </c>
      <c r="B1137" s="15">
        <v>3423909</v>
      </c>
      <c r="C1137" s="54">
        <v>59.071421000000001</v>
      </c>
      <c r="D1137" s="26">
        <v>5.2083333333333336E-2</v>
      </c>
      <c r="F1137" s="61" t="s">
        <v>7034</v>
      </c>
    </row>
    <row r="1138" spans="1:6" x14ac:dyDescent="0.25">
      <c r="A1138" s="15" t="s">
        <v>4289</v>
      </c>
      <c r="B1138" s="15">
        <v>3403208</v>
      </c>
      <c r="C1138" s="52">
        <v>164.753874</v>
      </c>
      <c r="D1138" s="25">
        <v>0.13402777777777777</v>
      </c>
      <c r="F1138" s="61" t="s">
        <v>7139</v>
      </c>
    </row>
    <row r="1139" spans="1:6" x14ac:dyDescent="0.25">
      <c r="A1139" s="15" t="s">
        <v>4289</v>
      </c>
      <c r="B1139" s="15">
        <v>3424402</v>
      </c>
      <c r="C1139" s="54">
        <v>49.684342999999998</v>
      </c>
      <c r="D1139" s="26">
        <v>4.5833333333333337E-2</v>
      </c>
      <c r="F1139" s="61" t="s">
        <v>7246</v>
      </c>
    </row>
    <row r="1140" spans="1:6" x14ac:dyDescent="0.25">
      <c r="A1140" s="15" t="s">
        <v>4289</v>
      </c>
      <c r="B1140" s="15" t="s">
        <v>4271</v>
      </c>
      <c r="C1140" s="52">
        <v>54.839250999999997</v>
      </c>
      <c r="D1140" s="25">
        <v>4.8611111111111112E-2</v>
      </c>
      <c r="F1140" s="61" t="s">
        <v>5281</v>
      </c>
    </row>
    <row r="1141" spans="1:6" x14ac:dyDescent="0.25">
      <c r="A1141" s="15" t="s">
        <v>4289</v>
      </c>
      <c r="B1141" s="15" t="s">
        <v>4272</v>
      </c>
      <c r="C1141" s="54">
        <v>58.607255000000002</v>
      </c>
      <c r="D1141" s="26">
        <v>5.4166666666666669E-2</v>
      </c>
      <c r="F1141" s="61" t="s">
        <v>5282</v>
      </c>
    </row>
    <row r="1142" spans="1:6" x14ac:dyDescent="0.25">
      <c r="A1142" s="15" t="s">
        <v>4289</v>
      </c>
      <c r="B1142" s="15" t="s">
        <v>4273</v>
      </c>
      <c r="C1142" s="52">
        <v>56.586551</v>
      </c>
      <c r="D1142" s="25">
        <v>5.1388888888888894E-2</v>
      </c>
      <c r="F1142" s="61" t="s">
        <v>5283</v>
      </c>
    </row>
    <row r="1143" spans="1:6" x14ac:dyDescent="0.25">
      <c r="A1143" s="15" t="s">
        <v>4289</v>
      </c>
      <c r="B1143" s="15" t="s">
        <v>4274</v>
      </c>
      <c r="C1143" s="54">
        <v>66.743510000000001</v>
      </c>
      <c r="D1143" s="26">
        <v>5.8333333333333327E-2</v>
      </c>
      <c r="F1143" s="61" t="s">
        <v>5284</v>
      </c>
    </row>
    <row r="1144" spans="1:6" x14ac:dyDescent="0.25">
      <c r="A1144" s="15" t="s">
        <v>4289</v>
      </c>
      <c r="B1144" s="15" t="s">
        <v>4275</v>
      </c>
      <c r="C1144" s="52">
        <v>66.836715999999996</v>
      </c>
      <c r="D1144" s="25">
        <v>5.8333333333333327E-2</v>
      </c>
      <c r="F1144" s="61" t="s">
        <v>5285</v>
      </c>
    </row>
    <row r="1145" spans="1:6" x14ac:dyDescent="0.25">
      <c r="A1145" s="15" t="s">
        <v>4289</v>
      </c>
      <c r="B1145" s="15" t="s">
        <v>4276</v>
      </c>
      <c r="C1145" s="54">
        <v>49.212099000000002</v>
      </c>
      <c r="D1145" s="26">
        <v>4.7222222222222221E-2</v>
      </c>
      <c r="F1145" s="61" t="s">
        <v>5286</v>
      </c>
    </row>
    <row r="1146" spans="1:6" x14ac:dyDescent="0.25">
      <c r="A1146" s="15" t="s">
        <v>4289</v>
      </c>
      <c r="B1146" s="15" t="s">
        <v>4277</v>
      </c>
      <c r="C1146" s="52">
        <v>53.930183</v>
      </c>
      <c r="D1146" s="25">
        <v>4.7916666666666663E-2</v>
      </c>
      <c r="F1146" s="61" t="s">
        <v>5287</v>
      </c>
    </row>
    <row r="1147" spans="1:6" x14ac:dyDescent="0.25">
      <c r="A1147" s="15" t="s">
        <v>4289</v>
      </c>
      <c r="B1147" s="15" t="s">
        <v>4278</v>
      </c>
      <c r="C1147" s="54">
        <v>62.959971000000003</v>
      </c>
      <c r="D1147" s="26">
        <v>5.5555555555555552E-2</v>
      </c>
      <c r="F1147" s="61" t="s">
        <v>5288</v>
      </c>
    </row>
    <row r="1148" spans="1:6" x14ac:dyDescent="0.25">
      <c r="A1148" s="15" t="s">
        <v>4289</v>
      </c>
      <c r="B1148" s="15" t="s">
        <v>4279</v>
      </c>
      <c r="C1148" s="52">
        <v>74.972348999999994</v>
      </c>
      <c r="D1148" s="25">
        <v>6.6666666666666666E-2</v>
      </c>
      <c r="F1148" s="61" t="s">
        <v>5289</v>
      </c>
    </row>
    <row r="1149" spans="1:6" x14ac:dyDescent="0.25">
      <c r="A1149" s="15" t="s">
        <v>4289</v>
      </c>
      <c r="B1149" s="15" t="s">
        <v>4280</v>
      </c>
      <c r="C1149" s="54">
        <v>6.645581</v>
      </c>
      <c r="D1149" s="26">
        <v>1.4583333333333332E-2</v>
      </c>
      <c r="F1149" s="61" t="s">
        <v>5290</v>
      </c>
    </row>
    <row r="1150" spans="1:6" x14ac:dyDescent="0.25">
      <c r="A1150" s="15" t="s">
        <v>4289</v>
      </c>
      <c r="B1150" s="15" t="s">
        <v>4281</v>
      </c>
      <c r="C1150" s="52">
        <v>92.193693999999994</v>
      </c>
      <c r="D1150" s="25">
        <v>7.4999999999999997E-2</v>
      </c>
      <c r="F1150" s="61" t="s">
        <v>5291</v>
      </c>
    </row>
    <row r="1151" spans="1:6" x14ac:dyDescent="0.25">
      <c r="A1151" s="15" t="s">
        <v>4289</v>
      </c>
      <c r="B1151" s="15" t="s">
        <v>4282</v>
      </c>
      <c r="C1151" s="54">
        <v>48.725565000000003</v>
      </c>
      <c r="D1151" s="26">
        <v>4.5833333333333337E-2</v>
      </c>
      <c r="F1151" s="61" t="s">
        <v>5292</v>
      </c>
    </row>
    <row r="1152" spans="1:6" x14ac:dyDescent="0.25">
      <c r="A1152" s="15" t="s">
        <v>4289</v>
      </c>
      <c r="B1152" s="15" t="s">
        <v>4283</v>
      </c>
      <c r="C1152" s="52">
        <v>56.609541999999998</v>
      </c>
      <c r="D1152" s="25">
        <v>5.0694444444444452E-2</v>
      </c>
      <c r="F1152" s="61" t="s">
        <v>5293</v>
      </c>
    </row>
    <row r="1153" spans="1:6" x14ac:dyDescent="0.25">
      <c r="A1153" s="15" t="s">
        <v>4289</v>
      </c>
      <c r="B1153" s="15" t="s">
        <v>4284</v>
      </c>
      <c r="C1153" s="54">
        <v>54.672102000000002</v>
      </c>
      <c r="D1153" s="26">
        <v>4.7916666666666663E-2</v>
      </c>
      <c r="F1153" s="61" t="s">
        <v>5294</v>
      </c>
    </row>
    <row r="1154" spans="1:6" x14ac:dyDescent="0.25">
      <c r="A1154" s="15" t="s">
        <v>4289</v>
      </c>
      <c r="B1154" s="15" t="s">
        <v>4285</v>
      </c>
      <c r="C1154" s="52">
        <v>57.050716000000001</v>
      </c>
      <c r="D1154" s="25">
        <v>5.4166666666666669E-2</v>
      </c>
      <c r="F1154" s="61" t="s">
        <v>5295</v>
      </c>
    </row>
    <row r="1155" spans="1:6" x14ac:dyDescent="0.25">
      <c r="A1155" s="15" t="s">
        <v>4289</v>
      </c>
      <c r="B1155" s="15" t="s">
        <v>4286</v>
      </c>
      <c r="C1155" s="54">
        <v>55.981333999999997</v>
      </c>
      <c r="D1155" s="26">
        <v>5.2083333333333336E-2</v>
      </c>
      <c r="F1155" s="61" t="s">
        <v>5296</v>
      </c>
    </row>
    <row r="1156" spans="1:6" x14ac:dyDescent="0.25">
      <c r="A1156" s="15" t="s">
        <v>4289</v>
      </c>
      <c r="B1156" s="15" t="s">
        <v>4287</v>
      </c>
      <c r="C1156" s="52">
        <v>57.037045999999997</v>
      </c>
      <c r="D1156" s="25">
        <v>5.0694444444444452E-2</v>
      </c>
      <c r="F1156" s="61" t="s">
        <v>5297</v>
      </c>
    </row>
    <row r="1157" spans="1:6" x14ac:dyDescent="0.25">
      <c r="A1157" s="15" t="s">
        <v>4289</v>
      </c>
      <c r="B1157" s="15" t="s">
        <v>4288</v>
      </c>
      <c r="C1157" s="54">
        <v>61.865112000000003</v>
      </c>
      <c r="D1157" s="26">
        <v>5.5555555555555552E-2</v>
      </c>
      <c r="F1157" s="61" t="s">
        <v>5298</v>
      </c>
    </row>
    <row r="1158" spans="1:6" x14ac:dyDescent="0.25">
      <c r="A1158" s="15" t="s">
        <v>4289</v>
      </c>
      <c r="B1158" s="15" t="s">
        <v>4289</v>
      </c>
      <c r="C1158" s="52">
        <v>0</v>
      </c>
      <c r="D1158" s="25">
        <v>0</v>
      </c>
      <c r="F1158" s="61" t="s">
        <v>5299</v>
      </c>
    </row>
    <row r="1159" spans="1:6" x14ac:dyDescent="0.25">
      <c r="A1159" s="15" t="s">
        <v>4289</v>
      </c>
      <c r="B1159" s="15" t="s">
        <v>4290</v>
      </c>
      <c r="C1159" s="54">
        <v>9.3765149999999995</v>
      </c>
      <c r="D1159" s="26">
        <v>1.5277777777777777E-2</v>
      </c>
      <c r="F1159" s="61" t="s">
        <v>5300</v>
      </c>
    </row>
    <row r="1160" spans="1:6" x14ac:dyDescent="0.25">
      <c r="A1160" s="15" t="s">
        <v>4289</v>
      </c>
      <c r="B1160" s="15" t="s">
        <v>4291</v>
      </c>
      <c r="C1160" s="52">
        <v>5.8396610000000004</v>
      </c>
      <c r="D1160" s="25">
        <v>1.5277777777777777E-2</v>
      </c>
      <c r="F1160" s="61" t="s">
        <v>5301</v>
      </c>
    </row>
    <row r="1161" spans="1:6" x14ac:dyDescent="0.25">
      <c r="A1161" s="15" t="s">
        <v>4289</v>
      </c>
      <c r="B1161" s="15" t="s">
        <v>4292</v>
      </c>
      <c r="C1161" s="54">
        <v>4.0948460000000004</v>
      </c>
      <c r="D1161" s="26">
        <v>1.1111111111111112E-2</v>
      </c>
      <c r="F1161" s="61" t="s">
        <v>5302</v>
      </c>
    </row>
    <row r="1162" spans="1:6" x14ac:dyDescent="0.25">
      <c r="A1162" s="15" t="s">
        <v>4289</v>
      </c>
      <c r="B1162" s="15" t="s">
        <v>4293</v>
      </c>
      <c r="C1162" s="52">
        <v>9.3653300000000002</v>
      </c>
      <c r="D1162" s="25">
        <v>2.1527777777777781E-2</v>
      </c>
      <c r="F1162" s="61" t="s">
        <v>5303</v>
      </c>
    </row>
    <row r="1163" spans="1:6" x14ac:dyDescent="0.25">
      <c r="A1163" s="15" t="s">
        <v>4289</v>
      </c>
      <c r="B1163" s="15" t="s">
        <v>4294</v>
      </c>
      <c r="C1163" s="54">
        <v>9.3174840000000003</v>
      </c>
      <c r="D1163" s="26">
        <v>2.2222222222222223E-2</v>
      </c>
      <c r="F1163" s="61" t="s">
        <v>5304</v>
      </c>
    </row>
    <row r="1164" spans="1:6" x14ac:dyDescent="0.25">
      <c r="A1164" s="15" t="s">
        <v>4289</v>
      </c>
      <c r="B1164" s="15" t="s">
        <v>4295</v>
      </c>
      <c r="C1164" s="52">
        <v>11.740838</v>
      </c>
      <c r="D1164" s="25">
        <v>2.7777777777777776E-2</v>
      </c>
      <c r="F1164" s="61" t="s">
        <v>5305</v>
      </c>
    </row>
    <row r="1165" spans="1:6" x14ac:dyDescent="0.25">
      <c r="A1165" s="15" t="s">
        <v>4289</v>
      </c>
      <c r="B1165" s="15" t="s">
        <v>4296</v>
      </c>
      <c r="C1165" s="54">
        <v>18.089403000000001</v>
      </c>
      <c r="D1165" s="26">
        <v>2.361111111111111E-2</v>
      </c>
      <c r="F1165" s="61" t="s">
        <v>5306</v>
      </c>
    </row>
    <row r="1166" spans="1:6" x14ac:dyDescent="0.25">
      <c r="A1166" s="15" t="s">
        <v>4289</v>
      </c>
      <c r="B1166" s="15" t="s">
        <v>4297</v>
      </c>
      <c r="C1166" s="52">
        <v>11.14432</v>
      </c>
      <c r="D1166" s="25">
        <v>2.4305555555555556E-2</v>
      </c>
      <c r="F1166" s="61" t="s">
        <v>5307</v>
      </c>
    </row>
    <row r="1167" spans="1:6" x14ac:dyDescent="0.25">
      <c r="A1167" s="15" t="s">
        <v>4289</v>
      </c>
      <c r="B1167" s="15" t="s">
        <v>4298</v>
      </c>
      <c r="C1167" s="54">
        <v>14.909839</v>
      </c>
      <c r="D1167" s="26">
        <v>2.5694444444444447E-2</v>
      </c>
      <c r="F1167" s="61" t="s">
        <v>5308</v>
      </c>
    </row>
    <row r="1168" spans="1:6" x14ac:dyDescent="0.25">
      <c r="A1168" s="15" t="s">
        <v>4289</v>
      </c>
      <c r="B1168" s="15" t="s">
        <v>4299</v>
      </c>
      <c r="C1168" s="52">
        <v>15.049647999999999</v>
      </c>
      <c r="D1168" s="25">
        <v>2.4999999999999998E-2</v>
      </c>
      <c r="F1168" s="61" t="s">
        <v>5309</v>
      </c>
    </row>
    <row r="1169" spans="1:6" x14ac:dyDescent="0.25">
      <c r="A1169" s="15" t="s">
        <v>4289</v>
      </c>
      <c r="B1169" s="15" t="s">
        <v>4300</v>
      </c>
      <c r="C1169" s="54">
        <v>19.109076000000002</v>
      </c>
      <c r="D1169" s="26">
        <v>3.4027777777777775E-2</v>
      </c>
      <c r="F1169" s="61" t="s">
        <v>5310</v>
      </c>
    </row>
    <row r="1170" spans="1:6" x14ac:dyDescent="0.25">
      <c r="A1170" s="15" t="s">
        <v>4289</v>
      </c>
      <c r="B1170" s="15" t="s">
        <v>4301</v>
      </c>
      <c r="C1170" s="52">
        <v>12.091913</v>
      </c>
      <c r="D1170" s="25">
        <v>2.013888888888889E-2</v>
      </c>
      <c r="F1170" s="61" t="s">
        <v>5311</v>
      </c>
    </row>
    <row r="1171" spans="1:6" x14ac:dyDescent="0.25">
      <c r="A1171" s="15" t="s">
        <v>4289</v>
      </c>
      <c r="B1171" s="15" t="s">
        <v>4302</v>
      </c>
      <c r="C1171" s="54">
        <v>7.1227960000000001</v>
      </c>
      <c r="D1171" s="26">
        <v>1.3194444444444444E-2</v>
      </c>
      <c r="F1171" s="61" t="s">
        <v>5312</v>
      </c>
    </row>
    <row r="1172" spans="1:6" x14ac:dyDescent="0.25">
      <c r="A1172" s="15" t="s">
        <v>4289</v>
      </c>
      <c r="B1172" s="15" t="s">
        <v>4303</v>
      </c>
      <c r="C1172" s="52">
        <v>8.0915160000000004</v>
      </c>
      <c r="D1172" s="25">
        <v>1.8055555555555557E-2</v>
      </c>
      <c r="F1172" s="61" t="s">
        <v>5313</v>
      </c>
    </row>
    <row r="1173" spans="1:6" x14ac:dyDescent="0.25">
      <c r="A1173" s="15" t="s">
        <v>4289</v>
      </c>
      <c r="B1173" s="15" t="s">
        <v>4304</v>
      </c>
      <c r="C1173" s="54">
        <v>16.799433000000001</v>
      </c>
      <c r="D1173" s="26">
        <v>2.4999999999999998E-2</v>
      </c>
      <c r="F1173" s="61" t="s">
        <v>5314</v>
      </c>
    </row>
    <row r="1174" spans="1:6" x14ac:dyDescent="0.25">
      <c r="A1174" s="15" t="s">
        <v>4289</v>
      </c>
      <c r="B1174" s="15" t="s">
        <v>4305</v>
      </c>
      <c r="C1174" s="52">
        <v>17.395330000000001</v>
      </c>
      <c r="D1174" s="25">
        <v>2.4305555555555556E-2</v>
      </c>
      <c r="F1174" s="61" t="s">
        <v>5315</v>
      </c>
    </row>
    <row r="1175" spans="1:6" x14ac:dyDescent="0.25">
      <c r="A1175" s="15" t="s">
        <v>4289</v>
      </c>
      <c r="B1175" s="15" t="s">
        <v>4306</v>
      </c>
      <c r="C1175" s="54">
        <v>141.689761</v>
      </c>
      <c r="D1175" s="26">
        <v>0.11875000000000001</v>
      </c>
      <c r="F1175" s="61" t="s">
        <v>5316</v>
      </c>
    </row>
    <row r="1176" spans="1:6" x14ac:dyDescent="0.25">
      <c r="A1176" s="15" t="s">
        <v>4289</v>
      </c>
      <c r="B1176" s="15" t="s">
        <v>4307</v>
      </c>
      <c r="C1176" s="52">
        <v>140.59303800000001</v>
      </c>
      <c r="D1176" s="25">
        <v>0.1173611111111111</v>
      </c>
      <c r="F1176" s="61" t="s">
        <v>5317</v>
      </c>
    </row>
    <row r="1177" spans="1:6" x14ac:dyDescent="0.25">
      <c r="A1177" s="15" t="s">
        <v>4289</v>
      </c>
      <c r="B1177" s="15" t="s">
        <v>4308</v>
      </c>
      <c r="C1177" s="54">
        <v>138.81653299999999</v>
      </c>
      <c r="D1177" s="26">
        <v>0.11527777777777777</v>
      </c>
      <c r="F1177" s="61" t="s">
        <v>5318</v>
      </c>
    </row>
    <row r="1178" spans="1:6" x14ac:dyDescent="0.25">
      <c r="A1178" s="15" t="s">
        <v>4289</v>
      </c>
      <c r="B1178" s="15" t="s">
        <v>4309</v>
      </c>
      <c r="C1178" s="52">
        <v>82.871239000000003</v>
      </c>
      <c r="D1178" s="25">
        <v>7.4999999999999997E-2</v>
      </c>
      <c r="F1178" s="61" t="s">
        <v>5319</v>
      </c>
    </row>
    <row r="1179" spans="1:6" x14ac:dyDescent="0.25">
      <c r="A1179" s="15" t="s">
        <v>4289</v>
      </c>
      <c r="B1179" s="15" t="s">
        <v>4310</v>
      </c>
      <c r="C1179" s="54">
        <v>84.432749000000001</v>
      </c>
      <c r="D1179" s="26">
        <v>7.8472222222222221E-2</v>
      </c>
      <c r="F1179" s="61" t="s">
        <v>5320</v>
      </c>
    </row>
    <row r="1180" spans="1:6" x14ac:dyDescent="0.25">
      <c r="A1180" s="15" t="s">
        <v>4289</v>
      </c>
      <c r="B1180" s="15" t="s">
        <v>4311</v>
      </c>
      <c r="C1180" s="52">
        <v>73.726496999999995</v>
      </c>
      <c r="D1180" s="25">
        <v>6.9444444444444434E-2</v>
      </c>
      <c r="F1180" s="61" t="s">
        <v>5321</v>
      </c>
    </row>
    <row r="1181" spans="1:6" x14ac:dyDescent="0.25">
      <c r="A1181" s="15" t="s">
        <v>4289</v>
      </c>
      <c r="B1181" s="15" t="s">
        <v>4312</v>
      </c>
      <c r="C1181" s="54">
        <v>70.438812999999996</v>
      </c>
      <c r="D1181" s="26">
        <v>6.1805555555555558E-2</v>
      </c>
      <c r="F1181" s="61" t="s">
        <v>5322</v>
      </c>
    </row>
    <row r="1182" spans="1:6" x14ac:dyDescent="0.25">
      <c r="A1182" s="15" t="s">
        <v>4289</v>
      </c>
      <c r="B1182" s="15" t="s">
        <v>4313</v>
      </c>
      <c r="C1182" s="52">
        <v>93.091577999999998</v>
      </c>
      <c r="D1182" s="25">
        <v>8.2638888888888887E-2</v>
      </c>
      <c r="F1182" s="61" t="s">
        <v>5323</v>
      </c>
    </row>
    <row r="1183" spans="1:6" x14ac:dyDescent="0.25">
      <c r="A1183" s="15" t="s">
        <v>4289</v>
      </c>
      <c r="B1183" s="15" t="s">
        <v>4314</v>
      </c>
      <c r="C1183" s="54">
        <v>60.750990999999999</v>
      </c>
      <c r="D1183" s="26">
        <v>6.1111111111111116E-2</v>
      </c>
      <c r="F1183" s="61" t="s">
        <v>5324</v>
      </c>
    </row>
    <row r="1184" spans="1:6" x14ac:dyDescent="0.25">
      <c r="A1184" s="15" t="s">
        <v>4289</v>
      </c>
      <c r="B1184" s="15" t="s">
        <v>4315</v>
      </c>
      <c r="C1184" s="52">
        <v>61.528950000000002</v>
      </c>
      <c r="D1184" s="25">
        <v>6.3888888888888884E-2</v>
      </c>
      <c r="F1184" s="61" t="s">
        <v>5325</v>
      </c>
    </row>
    <row r="1185" spans="1:6" x14ac:dyDescent="0.25">
      <c r="A1185" s="15" t="s">
        <v>4289</v>
      </c>
      <c r="B1185" s="15" t="s">
        <v>4316</v>
      </c>
      <c r="C1185" s="54">
        <v>58.832191999999999</v>
      </c>
      <c r="D1185" s="26">
        <v>5.8333333333333327E-2</v>
      </c>
      <c r="F1185" s="61" t="s">
        <v>5326</v>
      </c>
    </row>
    <row r="1186" spans="1:6" x14ac:dyDescent="0.25">
      <c r="A1186" s="15" t="s">
        <v>4289</v>
      </c>
      <c r="B1186" s="15" t="s">
        <v>4317</v>
      </c>
      <c r="C1186" s="52">
        <v>188.146072</v>
      </c>
      <c r="D1186" s="25">
        <v>0.15347222222222223</v>
      </c>
      <c r="F1186" s="61" t="s">
        <v>5327</v>
      </c>
    </row>
    <row r="1187" spans="1:6" x14ac:dyDescent="0.25">
      <c r="A1187" s="15" t="s">
        <v>4289</v>
      </c>
      <c r="B1187" s="15" t="s">
        <v>4318</v>
      </c>
      <c r="C1187" s="54">
        <v>197.257261</v>
      </c>
      <c r="D1187" s="26">
        <v>0.16180555555555556</v>
      </c>
      <c r="F1187" s="61" t="s">
        <v>5328</v>
      </c>
    </row>
    <row r="1188" spans="1:6" x14ac:dyDescent="0.25">
      <c r="A1188" s="15" t="s">
        <v>4289</v>
      </c>
      <c r="B1188" s="15" t="s">
        <v>4319</v>
      </c>
      <c r="C1188" s="52">
        <v>190.895025</v>
      </c>
      <c r="D1188" s="25">
        <v>0.15763888888888888</v>
      </c>
      <c r="F1188" s="61" t="s">
        <v>5329</v>
      </c>
    </row>
    <row r="1189" spans="1:6" x14ac:dyDescent="0.25">
      <c r="A1189" s="15" t="s">
        <v>4289</v>
      </c>
      <c r="B1189" s="15" t="s">
        <v>4320</v>
      </c>
      <c r="C1189" s="54">
        <v>204.21042199999999</v>
      </c>
      <c r="D1189" s="26">
        <v>0.16805555555555554</v>
      </c>
      <c r="F1189" s="61" t="s">
        <v>5330</v>
      </c>
    </row>
    <row r="1190" spans="1:6" x14ac:dyDescent="0.25">
      <c r="A1190" s="15" t="s">
        <v>4289</v>
      </c>
      <c r="B1190" s="15" t="s">
        <v>4321</v>
      </c>
      <c r="C1190" s="52">
        <v>200.74253999999999</v>
      </c>
      <c r="D1190" s="25">
        <v>0.16527777777777777</v>
      </c>
      <c r="F1190" s="61" t="s">
        <v>5331</v>
      </c>
    </row>
    <row r="1191" spans="1:6" x14ac:dyDescent="0.25">
      <c r="A1191" s="15" t="s">
        <v>4290</v>
      </c>
      <c r="B1191" s="15">
        <v>3423909</v>
      </c>
      <c r="C1191" s="54">
        <v>55.025663000000002</v>
      </c>
      <c r="D1191" s="26">
        <v>5.2083333333333336E-2</v>
      </c>
      <c r="F1191" s="61" t="s">
        <v>7035</v>
      </c>
    </row>
    <row r="1192" spans="1:6" x14ac:dyDescent="0.25">
      <c r="A1192" s="15" t="s">
        <v>4290</v>
      </c>
      <c r="B1192" s="15">
        <v>3403208</v>
      </c>
      <c r="C1192" s="52">
        <v>166.51484500000001</v>
      </c>
      <c r="D1192" s="25">
        <v>0.13749999999999998</v>
      </c>
      <c r="F1192" s="61" t="s">
        <v>7140</v>
      </c>
    </row>
    <row r="1193" spans="1:6" x14ac:dyDescent="0.25">
      <c r="A1193" s="15" t="s">
        <v>4290</v>
      </c>
      <c r="B1193" s="15">
        <v>3424402</v>
      </c>
      <c r="C1193" s="54">
        <v>58.775025999999997</v>
      </c>
      <c r="D1193" s="26">
        <v>5.8333333333333327E-2</v>
      </c>
      <c r="F1193" s="61" t="s">
        <v>7247</v>
      </c>
    </row>
    <row r="1194" spans="1:6" x14ac:dyDescent="0.25">
      <c r="A1194" s="15" t="s">
        <v>4290</v>
      </c>
      <c r="B1194" s="15" t="s">
        <v>4271</v>
      </c>
      <c r="C1194" s="52">
        <v>56.600220999999998</v>
      </c>
      <c r="D1194" s="25">
        <v>5.1388888888888894E-2</v>
      </c>
      <c r="F1194" s="61" t="s">
        <v>5332</v>
      </c>
    </row>
    <row r="1195" spans="1:6" x14ac:dyDescent="0.25">
      <c r="A1195" s="15" t="s">
        <v>4290</v>
      </c>
      <c r="B1195" s="15" t="s">
        <v>4272</v>
      </c>
      <c r="C1195" s="54">
        <v>60.368225000000002</v>
      </c>
      <c r="D1195" s="26">
        <v>5.7638888888888885E-2</v>
      </c>
      <c r="F1195" s="61" t="s">
        <v>5333</v>
      </c>
    </row>
    <row r="1196" spans="1:6" x14ac:dyDescent="0.25">
      <c r="A1196" s="15" t="s">
        <v>4290</v>
      </c>
      <c r="B1196" s="15" t="s">
        <v>4273</v>
      </c>
      <c r="C1196" s="52">
        <v>58.347521</v>
      </c>
      <c r="D1196" s="25">
        <v>5.4166666666666669E-2</v>
      </c>
      <c r="F1196" s="61" t="s">
        <v>5334</v>
      </c>
    </row>
    <row r="1197" spans="1:6" x14ac:dyDescent="0.25">
      <c r="A1197" s="15" t="s">
        <v>4290</v>
      </c>
      <c r="B1197" s="15" t="s">
        <v>4274</v>
      </c>
      <c r="C1197" s="54">
        <v>68.504480000000001</v>
      </c>
      <c r="D1197" s="26">
        <v>6.1111111111111116E-2</v>
      </c>
      <c r="F1197" s="61" t="s">
        <v>5335</v>
      </c>
    </row>
    <row r="1198" spans="1:6" x14ac:dyDescent="0.25">
      <c r="A1198" s="15" t="s">
        <v>4290</v>
      </c>
      <c r="B1198" s="15" t="s">
        <v>4275</v>
      </c>
      <c r="C1198" s="52">
        <v>68.597685999999996</v>
      </c>
      <c r="D1198" s="25">
        <v>6.1805555555555558E-2</v>
      </c>
      <c r="F1198" s="61" t="s">
        <v>5336</v>
      </c>
    </row>
    <row r="1199" spans="1:6" x14ac:dyDescent="0.25">
      <c r="A1199" s="15" t="s">
        <v>4290</v>
      </c>
      <c r="B1199" s="15" t="s">
        <v>4276</v>
      </c>
      <c r="C1199" s="54">
        <v>50.97307</v>
      </c>
      <c r="D1199" s="26">
        <v>5.0694444444444452E-2</v>
      </c>
      <c r="F1199" s="61" t="s">
        <v>5337</v>
      </c>
    </row>
    <row r="1200" spans="1:6" x14ac:dyDescent="0.25">
      <c r="A1200" s="15" t="s">
        <v>4290</v>
      </c>
      <c r="B1200" s="15" t="s">
        <v>4277</v>
      </c>
      <c r="C1200" s="52">
        <v>55.691153</v>
      </c>
      <c r="D1200" s="25">
        <v>5.1388888888888894E-2</v>
      </c>
      <c r="F1200" s="61" t="s">
        <v>5338</v>
      </c>
    </row>
    <row r="1201" spans="1:6" x14ac:dyDescent="0.25">
      <c r="A1201" s="15" t="s">
        <v>4290</v>
      </c>
      <c r="B1201" s="15" t="s">
        <v>4278</v>
      </c>
      <c r="C1201" s="54">
        <v>64.720941999999994</v>
      </c>
      <c r="D1201" s="26">
        <v>5.8333333333333327E-2</v>
      </c>
      <c r="F1201" s="61" t="s">
        <v>5339</v>
      </c>
    </row>
    <row r="1202" spans="1:6" x14ac:dyDescent="0.25">
      <c r="A1202" s="15" t="s">
        <v>4290</v>
      </c>
      <c r="B1202" s="15" t="s">
        <v>4279</v>
      </c>
      <c r="C1202" s="52">
        <v>76.733318999999995</v>
      </c>
      <c r="D1202" s="25">
        <v>6.9444444444444434E-2</v>
      </c>
      <c r="F1202" s="61" t="s">
        <v>5340</v>
      </c>
    </row>
    <row r="1203" spans="1:6" x14ac:dyDescent="0.25">
      <c r="A1203" s="15" t="s">
        <v>4290</v>
      </c>
      <c r="B1203" s="15" t="s">
        <v>4280</v>
      </c>
      <c r="C1203" s="54">
        <v>12.528738000000001</v>
      </c>
      <c r="D1203" s="26">
        <v>2.361111111111111E-2</v>
      </c>
      <c r="F1203" s="61" t="s">
        <v>5341</v>
      </c>
    </row>
    <row r="1204" spans="1:6" x14ac:dyDescent="0.25">
      <c r="A1204" s="15" t="s">
        <v>4290</v>
      </c>
      <c r="B1204" s="15" t="s">
        <v>4281</v>
      </c>
      <c r="C1204" s="52">
        <v>93.954665000000006</v>
      </c>
      <c r="D1204" s="25">
        <v>7.8472222222222221E-2</v>
      </c>
      <c r="F1204" s="61" t="s">
        <v>5342</v>
      </c>
    </row>
    <row r="1205" spans="1:6" x14ac:dyDescent="0.25">
      <c r="A1205" s="15" t="s">
        <v>4290</v>
      </c>
      <c r="B1205" s="15" t="s">
        <v>4282</v>
      </c>
      <c r="C1205" s="54">
        <v>57.816248000000002</v>
      </c>
      <c r="D1205" s="26">
        <v>5.8333333333333327E-2</v>
      </c>
      <c r="F1205" s="61" t="s">
        <v>5343</v>
      </c>
    </row>
    <row r="1206" spans="1:6" x14ac:dyDescent="0.25">
      <c r="A1206" s="15" t="s">
        <v>4290</v>
      </c>
      <c r="B1206" s="15" t="s">
        <v>4283</v>
      </c>
      <c r="C1206" s="52">
        <v>65.700225000000003</v>
      </c>
      <c r="D1206" s="25">
        <v>6.3888888888888884E-2</v>
      </c>
      <c r="F1206" s="61" t="s">
        <v>5344</v>
      </c>
    </row>
    <row r="1207" spans="1:6" x14ac:dyDescent="0.25">
      <c r="A1207" s="15" t="s">
        <v>4290</v>
      </c>
      <c r="B1207" s="15" t="s">
        <v>4284</v>
      </c>
      <c r="C1207" s="54">
        <v>63.762785000000001</v>
      </c>
      <c r="D1207" s="26">
        <v>6.0416666666666667E-2</v>
      </c>
      <c r="F1207" s="61" t="s">
        <v>5345</v>
      </c>
    </row>
    <row r="1208" spans="1:6" x14ac:dyDescent="0.25">
      <c r="A1208" s="15" t="s">
        <v>4290</v>
      </c>
      <c r="B1208" s="15" t="s">
        <v>4285</v>
      </c>
      <c r="C1208" s="52">
        <v>66.141400000000004</v>
      </c>
      <c r="D1208" s="25">
        <v>6.6666666666666666E-2</v>
      </c>
      <c r="F1208" s="61" t="s">
        <v>5346</v>
      </c>
    </row>
    <row r="1209" spans="1:6" x14ac:dyDescent="0.25">
      <c r="A1209" s="15" t="s">
        <v>4290</v>
      </c>
      <c r="B1209" s="15" t="s">
        <v>4286</v>
      </c>
      <c r="C1209" s="54">
        <v>65.072017000000002</v>
      </c>
      <c r="D1209" s="26">
        <v>6.5277777777777782E-2</v>
      </c>
      <c r="F1209" s="61" t="s">
        <v>5347</v>
      </c>
    </row>
    <row r="1210" spans="1:6" x14ac:dyDescent="0.25">
      <c r="A1210" s="15" t="s">
        <v>4290</v>
      </c>
      <c r="B1210" s="15" t="s">
        <v>4287</v>
      </c>
      <c r="C1210" s="52">
        <v>66.127729000000002</v>
      </c>
      <c r="D1210" s="25">
        <v>6.3194444444444442E-2</v>
      </c>
      <c r="F1210" s="61" t="s">
        <v>5348</v>
      </c>
    </row>
    <row r="1211" spans="1:6" x14ac:dyDescent="0.25">
      <c r="A1211" s="15" t="s">
        <v>4290</v>
      </c>
      <c r="B1211" s="15" t="s">
        <v>4288</v>
      </c>
      <c r="C1211" s="54">
        <v>70.955796000000007</v>
      </c>
      <c r="D1211" s="26">
        <v>6.805555555555555E-2</v>
      </c>
      <c r="F1211" s="61" t="s">
        <v>5349</v>
      </c>
    </row>
    <row r="1212" spans="1:6" x14ac:dyDescent="0.25">
      <c r="A1212" s="15" t="s">
        <v>4290</v>
      </c>
      <c r="B1212" s="15" t="s">
        <v>4289</v>
      </c>
      <c r="C1212" s="52">
        <v>9.3286689999999997</v>
      </c>
      <c r="D1212" s="25">
        <v>1.4583333333333332E-2</v>
      </c>
      <c r="F1212" s="61" t="s">
        <v>5350</v>
      </c>
    </row>
    <row r="1213" spans="1:6" x14ac:dyDescent="0.25">
      <c r="A1213" s="15" t="s">
        <v>4290</v>
      </c>
      <c r="B1213" s="15" t="s">
        <v>4290</v>
      </c>
      <c r="C1213" s="54">
        <v>0</v>
      </c>
      <c r="D1213" s="26">
        <v>0</v>
      </c>
      <c r="F1213" s="61" t="s">
        <v>5351</v>
      </c>
    </row>
    <row r="1214" spans="1:6" x14ac:dyDescent="0.25">
      <c r="A1214" s="15" t="s">
        <v>4290</v>
      </c>
      <c r="B1214" s="15" t="s">
        <v>4291</v>
      </c>
      <c r="C1214" s="52">
        <v>2.5967169999999999</v>
      </c>
      <c r="D1214" s="25">
        <v>5.5555555555555558E-3</v>
      </c>
      <c r="F1214" s="61" t="s">
        <v>5352</v>
      </c>
    </row>
    <row r="1215" spans="1:6" x14ac:dyDescent="0.25">
      <c r="A1215" s="15" t="s">
        <v>4290</v>
      </c>
      <c r="B1215" s="15" t="s">
        <v>4292</v>
      </c>
      <c r="C1215" s="54">
        <v>3.518834</v>
      </c>
      <c r="D1215" s="26">
        <v>8.3333333333333332E-3</v>
      </c>
      <c r="F1215" s="61" t="s">
        <v>5353</v>
      </c>
    </row>
    <row r="1216" spans="1:6" x14ac:dyDescent="0.25">
      <c r="A1216" s="15" t="s">
        <v>4290</v>
      </c>
      <c r="B1216" s="15" t="s">
        <v>4293</v>
      </c>
      <c r="C1216" s="52">
        <v>4.7410740000000002</v>
      </c>
      <c r="D1216" s="25">
        <v>1.2499999999999999E-2</v>
      </c>
      <c r="F1216" s="61" t="s">
        <v>5354</v>
      </c>
    </row>
    <row r="1217" spans="1:6" x14ac:dyDescent="0.25">
      <c r="A1217" s="15" t="s">
        <v>4290</v>
      </c>
      <c r="B1217" s="15" t="s">
        <v>4294</v>
      </c>
      <c r="C1217" s="54">
        <v>5.7203569999999999</v>
      </c>
      <c r="D1217" s="26">
        <v>1.4583333333333332E-2</v>
      </c>
      <c r="F1217" s="61" t="s">
        <v>5355</v>
      </c>
    </row>
    <row r="1218" spans="1:6" x14ac:dyDescent="0.25">
      <c r="A1218" s="15" t="s">
        <v>4290</v>
      </c>
      <c r="B1218" s="15" t="s">
        <v>4295</v>
      </c>
      <c r="C1218" s="52">
        <v>7.1165820000000002</v>
      </c>
      <c r="D1218" s="25">
        <v>1.8055555555555557E-2</v>
      </c>
      <c r="F1218" s="61" t="s">
        <v>5356</v>
      </c>
    </row>
    <row r="1219" spans="1:6" x14ac:dyDescent="0.25">
      <c r="A1219" s="15" t="s">
        <v>4290</v>
      </c>
      <c r="B1219" s="15" t="s">
        <v>4296</v>
      </c>
      <c r="C1219" s="54">
        <v>6.9954140000000002</v>
      </c>
      <c r="D1219" s="26">
        <v>1.1805555555555555E-2</v>
      </c>
      <c r="F1219" s="61" t="s">
        <v>5357</v>
      </c>
    </row>
    <row r="1220" spans="1:6" x14ac:dyDescent="0.25">
      <c r="A1220" s="15" t="s">
        <v>4290</v>
      </c>
      <c r="B1220" s="15" t="s">
        <v>4297</v>
      </c>
      <c r="C1220" s="52">
        <v>6.5200639999999996</v>
      </c>
      <c r="D1220" s="25">
        <v>1.5277777777777777E-2</v>
      </c>
      <c r="F1220" s="61" t="s">
        <v>5358</v>
      </c>
    </row>
    <row r="1221" spans="1:6" x14ac:dyDescent="0.25">
      <c r="A1221" s="15" t="s">
        <v>4290</v>
      </c>
      <c r="B1221" s="15" t="s">
        <v>4298</v>
      </c>
      <c r="C1221" s="54">
        <v>13.209142</v>
      </c>
      <c r="D1221" s="26">
        <v>2.2916666666666669E-2</v>
      </c>
      <c r="F1221" s="61" t="s">
        <v>5359</v>
      </c>
    </row>
    <row r="1222" spans="1:6" x14ac:dyDescent="0.25">
      <c r="A1222" s="15" t="s">
        <v>4290</v>
      </c>
      <c r="B1222" s="15" t="s">
        <v>4299</v>
      </c>
      <c r="C1222" s="52">
        <v>17.85266</v>
      </c>
      <c r="D1222" s="25">
        <v>2.9166666666666664E-2</v>
      </c>
      <c r="F1222" s="61" t="s">
        <v>5360</v>
      </c>
    </row>
    <row r="1223" spans="1:6" x14ac:dyDescent="0.25">
      <c r="A1223" s="15" t="s">
        <v>4290</v>
      </c>
      <c r="B1223" s="15" t="s">
        <v>4300</v>
      </c>
      <c r="C1223" s="54">
        <v>26.133073</v>
      </c>
      <c r="D1223" s="26">
        <v>4.3055555555555562E-2</v>
      </c>
      <c r="F1223" s="61" t="s">
        <v>5361</v>
      </c>
    </row>
    <row r="1224" spans="1:6" x14ac:dyDescent="0.25">
      <c r="A1224" s="15" t="s">
        <v>4290</v>
      </c>
      <c r="B1224" s="15" t="s">
        <v>4301</v>
      </c>
      <c r="C1224" s="52">
        <v>5.7035799999999997</v>
      </c>
      <c r="D1224" s="25">
        <v>1.5277777777777777E-2</v>
      </c>
      <c r="F1224" s="61" t="s">
        <v>5362</v>
      </c>
    </row>
    <row r="1225" spans="1:6" x14ac:dyDescent="0.25">
      <c r="A1225" s="15" t="s">
        <v>4290</v>
      </c>
      <c r="B1225" s="15" t="s">
        <v>4302</v>
      </c>
      <c r="C1225" s="54">
        <v>8.2126830000000002</v>
      </c>
      <c r="D1225" s="26">
        <v>1.5972222222222224E-2</v>
      </c>
      <c r="F1225" s="61" t="s">
        <v>5363</v>
      </c>
    </row>
    <row r="1226" spans="1:6" x14ac:dyDescent="0.25">
      <c r="A1226" s="15" t="s">
        <v>4290</v>
      </c>
      <c r="B1226" s="15" t="s">
        <v>4303</v>
      </c>
      <c r="C1226" s="52">
        <v>22.224639</v>
      </c>
      <c r="D1226" s="25">
        <v>3.0555555555555555E-2</v>
      </c>
      <c r="F1226" s="61" t="s">
        <v>5364</v>
      </c>
    </row>
    <row r="1227" spans="1:6" x14ac:dyDescent="0.25">
      <c r="A1227" s="15" t="s">
        <v>4290</v>
      </c>
      <c r="B1227" s="15" t="s">
        <v>4304</v>
      </c>
      <c r="C1227" s="54">
        <v>12.740005</v>
      </c>
      <c r="D1227" s="26">
        <v>2.4305555555555556E-2</v>
      </c>
      <c r="F1227" s="61" t="s">
        <v>5365</v>
      </c>
    </row>
    <row r="1228" spans="1:6" x14ac:dyDescent="0.25">
      <c r="A1228" s="15" t="s">
        <v>4290</v>
      </c>
      <c r="B1228" s="15" t="s">
        <v>4305</v>
      </c>
      <c r="C1228" s="52">
        <v>13.335902000000001</v>
      </c>
      <c r="D1228" s="25">
        <v>2.361111111111111E-2</v>
      </c>
      <c r="F1228" s="61" t="s">
        <v>5366</v>
      </c>
    </row>
    <row r="1229" spans="1:6" x14ac:dyDescent="0.25">
      <c r="A1229" s="15" t="s">
        <v>4290</v>
      </c>
      <c r="B1229" s="15" t="s">
        <v>4306</v>
      </c>
      <c r="C1229" s="54">
        <v>143.45073099999999</v>
      </c>
      <c r="D1229" s="26">
        <v>0.12222222222222223</v>
      </c>
      <c r="F1229" s="61" t="s">
        <v>5367</v>
      </c>
    </row>
    <row r="1230" spans="1:6" x14ac:dyDescent="0.25">
      <c r="A1230" s="15" t="s">
        <v>4290</v>
      </c>
      <c r="B1230" s="15" t="s">
        <v>4307</v>
      </c>
      <c r="C1230" s="52">
        <v>142.35400799999999</v>
      </c>
      <c r="D1230" s="25">
        <v>0.12083333333333333</v>
      </c>
      <c r="F1230" s="61" t="s">
        <v>5368</v>
      </c>
    </row>
    <row r="1231" spans="1:6" x14ac:dyDescent="0.25">
      <c r="A1231" s="15" t="s">
        <v>4290</v>
      </c>
      <c r="B1231" s="15" t="s">
        <v>4308</v>
      </c>
      <c r="C1231" s="54">
        <v>140.577504</v>
      </c>
      <c r="D1231" s="26">
        <v>0.11875000000000001</v>
      </c>
      <c r="F1231" s="61" t="s">
        <v>5369</v>
      </c>
    </row>
    <row r="1232" spans="1:6" x14ac:dyDescent="0.25">
      <c r="A1232" s="15" t="s">
        <v>4290</v>
      </c>
      <c r="B1232" s="15" t="s">
        <v>4309</v>
      </c>
      <c r="C1232" s="52">
        <v>91.961922000000001</v>
      </c>
      <c r="D1232" s="25">
        <v>8.7500000000000008E-2</v>
      </c>
      <c r="F1232" s="61" t="s">
        <v>5370</v>
      </c>
    </row>
    <row r="1233" spans="1:6" x14ac:dyDescent="0.25">
      <c r="A1233" s="15" t="s">
        <v>4290</v>
      </c>
      <c r="B1233" s="15" t="s">
        <v>4310</v>
      </c>
      <c r="C1233" s="54">
        <v>96.817329000000001</v>
      </c>
      <c r="D1233" s="26">
        <v>9.5833333333333326E-2</v>
      </c>
      <c r="F1233" s="61" t="s">
        <v>5371</v>
      </c>
    </row>
    <row r="1234" spans="1:6" x14ac:dyDescent="0.25">
      <c r="A1234" s="15" t="s">
        <v>4290</v>
      </c>
      <c r="B1234" s="15" t="s">
        <v>4311</v>
      </c>
      <c r="C1234" s="52">
        <v>83.000484999999998</v>
      </c>
      <c r="D1234" s="25">
        <v>8.1944444444444445E-2</v>
      </c>
      <c r="F1234" s="61" t="s">
        <v>5372</v>
      </c>
    </row>
    <row r="1235" spans="1:6" x14ac:dyDescent="0.25">
      <c r="A1235" s="15" t="s">
        <v>4290</v>
      </c>
      <c r="B1235" s="15" t="s">
        <v>4312</v>
      </c>
      <c r="C1235" s="54">
        <v>79.529497000000006</v>
      </c>
      <c r="D1235" s="26">
        <v>7.4305555555555555E-2</v>
      </c>
      <c r="F1235" s="61" t="s">
        <v>5373</v>
      </c>
    </row>
    <row r="1236" spans="1:6" x14ac:dyDescent="0.25">
      <c r="A1236" s="15" t="s">
        <v>4290</v>
      </c>
      <c r="B1236" s="15" t="s">
        <v>4313</v>
      </c>
      <c r="C1236" s="52">
        <v>102.182261</v>
      </c>
      <c r="D1236" s="25">
        <v>9.5138888888888884E-2</v>
      </c>
      <c r="F1236" s="61" t="s">
        <v>5374</v>
      </c>
    </row>
    <row r="1237" spans="1:6" x14ac:dyDescent="0.25">
      <c r="A1237" s="15" t="s">
        <v>4290</v>
      </c>
      <c r="B1237" s="15" t="s">
        <v>4314</v>
      </c>
      <c r="C1237" s="54">
        <v>62.108691</v>
      </c>
      <c r="D1237" s="26">
        <v>6.3194444444444442E-2</v>
      </c>
      <c r="F1237" s="61" t="s">
        <v>5375</v>
      </c>
    </row>
    <row r="1238" spans="1:6" x14ac:dyDescent="0.25">
      <c r="A1238" s="15" t="s">
        <v>4290</v>
      </c>
      <c r="B1238" s="15" t="s">
        <v>4315</v>
      </c>
      <c r="C1238" s="52">
        <v>63.225296999999998</v>
      </c>
      <c r="D1238" s="25">
        <v>6.5972222222222224E-2</v>
      </c>
      <c r="F1238" s="61" t="s">
        <v>5376</v>
      </c>
    </row>
    <row r="1239" spans="1:6" x14ac:dyDescent="0.25">
      <c r="A1239" s="15" t="s">
        <v>4290</v>
      </c>
      <c r="B1239" s="15" t="s">
        <v>4316</v>
      </c>
      <c r="C1239" s="54">
        <v>60.189892</v>
      </c>
      <c r="D1239" s="26">
        <v>6.0416666666666667E-2</v>
      </c>
      <c r="F1239" s="61" t="s">
        <v>5377</v>
      </c>
    </row>
    <row r="1240" spans="1:6" x14ac:dyDescent="0.25">
      <c r="A1240" s="15" t="s">
        <v>4290</v>
      </c>
      <c r="B1240" s="15" t="s">
        <v>4317</v>
      </c>
      <c r="C1240" s="52">
        <v>189.90704299999999</v>
      </c>
      <c r="D1240" s="25">
        <v>0.15625</v>
      </c>
      <c r="F1240" s="61" t="s">
        <v>5378</v>
      </c>
    </row>
    <row r="1241" spans="1:6" x14ac:dyDescent="0.25">
      <c r="A1241" s="15" t="s">
        <v>4290</v>
      </c>
      <c r="B1241" s="15" t="s">
        <v>4318</v>
      </c>
      <c r="C1241" s="54">
        <v>199.01823099999999</v>
      </c>
      <c r="D1241" s="26">
        <v>0.16458333333333333</v>
      </c>
      <c r="F1241" s="61" t="s">
        <v>5379</v>
      </c>
    </row>
    <row r="1242" spans="1:6" x14ac:dyDescent="0.25">
      <c r="A1242" s="15" t="s">
        <v>4290</v>
      </c>
      <c r="B1242" s="15" t="s">
        <v>4319</v>
      </c>
      <c r="C1242" s="52">
        <v>192.65599599999999</v>
      </c>
      <c r="D1242" s="25">
        <v>0.16041666666666668</v>
      </c>
      <c r="F1242" s="61" t="s">
        <v>5380</v>
      </c>
    </row>
    <row r="1243" spans="1:6" x14ac:dyDescent="0.25">
      <c r="A1243" s="15" t="s">
        <v>4290</v>
      </c>
      <c r="B1243" s="15" t="s">
        <v>4320</v>
      </c>
      <c r="C1243" s="54">
        <v>205.56812099999999</v>
      </c>
      <c r="D1243" s="26">
        <v>0.17083333333333331</v>
      </c>
      <c r="F1243" s="61" t="s">
        <v>5381</v>
      </c>
    </row>
    <row r="1244" spans="1:6" x14ac:dyDescent="0.25">
      <c r="A1244" s="15" t="s">
        <v>4290</v>
      </c>
      <c r="B1244" s="15" t="s">
        <v>4321</v>
      </c>
      <c r="C1244" s="52">
        <v>202.10024000000001</v>
      </c>
      <c r="D1244" s="25">
        <v>0.1673611111111111</v>
      </c>
      <c r="F1244" s="61" t="s">
        <v>5382</v>
      </c>
    </row>
    <row r="1245" spans="1:6" x14ac:dyDescent="0.25">
      <c r="A1245" s="15" t="s">
        <v>4291</v>
      </c>
      <c r="B1245" s="15">
        <v>3423909</v>
      </c>
      <c r="C1245" s="54">
        <v>55.668162000000002</v>
      </c>
      <c r="D1245" s="26">
        <v>4.8611111111111112E-2</v>
      </c>
      <c r="F1245" s="61" t="s">
        <v>7036</v>
      </c>
    </row>
    <row r="1246" spans="1:6" x14ac:dyDescent="0.25">
      <c r="A1246" s="15" t="s">
        <v>4291</v>
      </c>
      <c r="B1246" s="15">
        <v>3403208</v>
      </c>
      <c r="C1246" s="52">
        <v>164.766302</v>
      </c>
      <c r="D1246" s="25">
        <v>0.13402777777777777</v>
      </c>
      <c r="F1246" s="61" t="s">
        <v>7141</v>
      </c>
    </row>
    <row r="1247" spans="1:6" x14ac:dyDescent="0.25">
      <c r="A1247" s="15" t="s">
        <v>4291</v>
      </c>
      <c r="B1247" s="15">
        <v>3424402</v>
      </c>
      <c r="C1247" s="54">
        <v>57.026482999999999</v>
      </c>
      <c r="D1247" s="26">
        <v>5.486111111111111E-2</v>
      </c>
      <c r="F1247" s="61" t="s">
        <v>7248</v>
      </c>
    </row>
    <row r="1248" spans="1:6" x14ac:dyDescent="0.25">
      <c r="A1248" s="15" t="s">
        <v>4291</v>
      </c>
      <c r="B1248" s="15" t="s">
        <v>4271</v>
      </c>
      <c r="C1248" s="52">
        <v>54.851678</v>
      </c>
      <c r="D1248" s="25">
        <v>4.8611111111111112E-2</v>
      </c>
      <c r="F1248" s="61" t="s">
        <v>5383</v>
      </c>
    </row>
    <row r="1249" spans="1:6" x14ac:dyDescent="0.25">
      <c r="A1249" s="15" t="s">
        <v>4291</v>
      </c>
      <c r="B1249" s="15" t="s">
        <v>4272</v>
      </c>
      <c r="C1249" s="54">
        <v>58.619683000000002</v>
      </c>
      <c r="D1249" s="26">
        <v>5.4166666666666669E-2</v>
      </c>
      <c r="F1249" s="61" t="s">
        <v>5384</v>
      </c>
    </row>
    <row r="1250" spans="1:6" x14ac:dyDescent="0.25">
      <c r="A1250" s="15" t="s">
        <v>4291</v>
      </c>
      <c r="B1250" s="15" t="s">
        <v>4273</v>
      </c>
      <c r="C1250" s="52">
        <v>56.598978000000002</v>
      </c>
      <c r="D1250" s="25">
        <v>5.1388888888888894E-2</v>
      </c>
      <c r="F1250" s="61" t="s">
        <v>5385</v>
      </c>
    </row>
    <row r="1251" spans="1:6" x14ac:dyDescent="0.25">
      <c r="A1251" s="15" t="s">
        <v>4291</v>
      </c>
      <c r="B1251" s="15" t="s">
        <v>4274</v>
      </c>
      <c r="C1251" s="54">
        <v>66.755937000000003</v>
      </c>
      <c r="D1251" s="26">
        <v>5.8333333333333327E-2</v>
      </c>
      <c r="F1251" s="61" t="s">
        <v>5386</v>
      </c>
    </row>
    <row r="1252" spans="1:6" x14ac:dyDescent="0.25">
      <c r="A1252" s="15" t="s">
        <v>4291</v>
      </c>
      <c r="B1252" s="15" t="s">
        <v>4275</v>
      </c>
      <c r="C1252" s="52">
        <v>66.849142999999998</v>
      </c>
      <c r="D1252" s="25">
        <v>5.8333333333333327E-2</v>
      </c>
      <c r="F1252" s="61" t="s">
        <v>5387</v>
      </c>
    </row>
    <row r="1253" spans="1:6" x14ac:dyDescent="0.25">
      <c r="A1253" s="15" t="s">
        <v>4291</v>
      </c>
      <c r="B1253" s="15" t="s">
        <v>4276</v>
      </c>
      <c r="C1253" s="54">
        <v>49.224527000000002</v>
      </c>
      <c r="D1253" s="26">
        <v>4.7222222222222221E-2</v>
      </c>
      <c r="F1253" s="61" t="s">
        <v>5388</v>
      </c>
    </row>
    <row r="1254" spans="1:6" x14ac:dyDescent="0.25">
      <c r="A1254" s="15" t="s">
        <v>4291</v>
      </c>
      <c r="B1254" s="15" t="s">
        <v>4277</v>
      </c>
      <c r="C1254" s="52">
        <v>53.942610000000002</v>
      </c>
      <c r="D1254" s="25">
        <v>4.7916666666666663E-2</v>
      </c>
      <c r="F1254" s="61" t="s">
        <v>5389</v>
      </c>
    </row>
    <row r="1255" spans="1:6" x14ac:dyDescent="0.25">
      <c r="A1255" s="15" t="s">
        <v>4291</v>
      </c>
      <c r="B1255" s="15" t="s">
        <v>4278</v>
      </c>
      <c r="C1255" s="54">
        <v>62.972399000000003</v>
      </c>
      <c r="D1255" s="26">
        <v>5.5555555555555552E-2</v>
      </c>
      <c r="F1255" s="61" t="s">
        <v>5390</v>
      </c>
    </row>
    <row r="1256" spans="1:6" x14ac:dyDescent="0.25">
      <c r="A1256" s="15" t="s">
        <v>4291</v>
      </c>
      <c r="B1256" s="15" t="s">
        <v>4279</v>
      </c>
      <c r="C1256" s="52">
        <v>74.984775999999997</v>
      </c>
      <c r="D1256" s="25">
        <v>6.6666666666666666E-2</v>
      </c>
      <c r="F1256" s="61" t="s">
        <v>5391</v>
      </c>
    </row>
    <row r="1257" spans="1:6" x14ac:dyDescent="0.25">
      <c r="A1257" s="15" t="s">
        <v>4291</v>
      </c>
      <c r="B1257" s="15" t="s">
        <v>4280</v>
      </c>
      <c r="C1257" s="54">
        <v>10.780196</v>
      </c>
      <c r="D1257" s="26">
        <v>2.013888888888889E-2</v>
      </c>
      <c r="F1257" s="61" t="s">
        <v>5392</v>
      </c>
    </row>
    <row r="1258" spans="1:6" x14ac:dyDescent="0.25">
      <c r="A1258" s="15" t="s">
        <v>4291</v>
      </c>
      <c r="B1258" s="15" t="s">
        <v>4281</v>
      </c>
      <c r="C1258" s="52">
        <v>92.206121999999993</v>
      </c>
      <c r="D1258" s="25">
        <v>7.4999999999999997E-2</v>
      </c>
      <c r="F1258" s="61" t="s">
        <v>5393</v>
      </c>
    </row>
    <row r="1259" spans="1:6" x14ac:dyDescent="0.25">
      <c r="A1259" s="15" t="s">
        <v>4291</v>
      </c>
      <c r="B1259" s="15" t="s">
        <v>4282</v>
      </c>
      <c r="C1259" s="54">
        <v>56.067704999999997</v>
      </c>
      <c r="D1259" s="26">
        <v>5.486111111111111E-2</v>
      </c>
      <c r="F1259" s="61" t="s">
        <v>5394</v>
      </c>
    </row>
    <row r="1260" spans="1:6" x14ac:dyDescent="0.25">
      <c r="A1260" s="15" t="s">
        <v>4291</v>
      </c>
      <c r="B1260" s="15" t="s">
        <v>4283</v>
      </c>
      <c r="C1260" s="52">
        <v>63.951681999999998</v>
      </c>
      <c r="D1260" s="25">
        <v>6.0416666666666667E-2</v>
      </c>
      <c r="F1260" s="61" t="s">
        <v>5395</v>
      </c>
    </row>
    <row r="1261" spans="1:6" x14ac:dyDescent="0.25">
      <c r="A1261" s="15" t="s">
        <v>4291</v>
      </c>
      <c r="B1261" s="15" t="s">
        <v>4284</v>
      </c>
      <c r="C1261" s="54">
        <v>62.014242000000003</v>
      </c>
      <c r="D1261" s="26">
        <v>5.6944444444444443E-2</v>
      </c>
      <c r="F1261" s="61" t="s">
        <v>5396</v>
      </c>
    </row>
    <row r="1262" spans="1:6" x14ac:dyDescent="0.25">
      <c r="A1262" s="15" t="s">
        <v>4291</v>
      </c>
      <c r="B1262" s="15" t="s">
        <v>4285</v>
      </c>
      <c r="C1262" s="52">
        <v>64.392857000000006</v>
      </c>
      <c r="D1262" s="25">
        <v>6.3194444444444442E-2</v>
      </c>
      <c r="F1262" s="61" t="s">
        <v>5397</v>
      </c>
    </row>
    <row r="1263" spans="1:6" x14ac:dyDescent="0.25">
      <c r="A1263" s="15" t="s">
        <v>4291</v>
      </c>
      <c r="B1263" s="15" t="s">
        <v>4286</v>
      </c>
      <c r="C1263" s="54">
        <v>63.323473999999997</v>
      </c>
      <c r="D1263" s="26">
        <v>6.1805555555555558E-2</v>
      </c>
      <c r="F1263" s="61" t="s">
        <v>5398</v>
      </c>
    </row>
    <row r="1264" spans="1:6" x14ac:dyDescent="0.25">
      <c r="A1264" s="15" t="s">
        <v>4291</v>
      </c>
      <c r="B1264" s="15" t="s">
        <v>4287</v>
      </c>
      <c r="C1264" s="52">
        <v>64.379186000000004</v>
      </c>
      <c r="D1264" s="25">
        <v>5.9722222222222225E-2</v>
      </c>
      <c r="F1264" s="61" t="s">
        <v>5399</v>
      </c>
    </row>
    <row r="1265" spans="1:6" x14ac:dyDescent="0.25">
      <c r="A1265" s="15" t="s">
        <v>4291</v>
      </c>
      <c r="B1265" s="15" t="s">
        <v>4288</v>
      </c>
      <c r="C1265" s="54">
        <v>69.207252999999994</v>
      </c>
      <c r="D1265" s="26">
        <v>6.458333333333334E-2</v>
      </c>
      <c r="F1265" s="61" t="s">
        <v>5400</v>
      </c>
    </row>
    <row r="1266" spans="1:6" x14ac:dyDescent="0.25">
      <c r="A1266" s="15" t="s">
        <v>4291</v>
      </c>
      <c r="B1266" s="15" t="s">
        <v>4289</v>
      </c>
      <c r="C1266" s="52">
        <v>7.5801259999999999</v>
      </c>
      <c r="D1266" s="25">
        <v>1.1111111111111112E-2</v>
      </c>
      <c r="F1266" s="61" t="s">
        <v>5401</v>
      </c>
    </row>
    <row r="1267" spans="1:6" x14ac:dyDescent="0.25">
      <c r="A1267" s="15" t="s">
        <v>4291</v>
      </c>
      <c r="B1267" s="15" t="s">
        <v>4290</v>
      </c>
      <c r="C1267" s="54">
        <v>1.147054</v>
      </c>
      <c r="D1267" s="26">
        <v>2.7777777777777779E-3</v>
      </c>
      <c r="F1267" s="61" t="s">
        <v>5402</v>
      </c>
    </row>
    <row r="1268" spans="1:6" x14ac:dyDescent="0.25">
      <c r="A1268" s="15" t="s">
        <v>4291</v>
      </c>
      <c r="B1268" s="15" t="s">
        <v>4291</v>
      </c>
      <c r="C1268" s="52">
        <v>0</v>
      </c>
      <c r="D1268" s="25">
        <v>0</v>
      </c>
      <c r="F1268" s="61" t="s">
        <v>5403</v>
      </c>
    </row>
    <row r="1269" spans="1:6" x14ac:dyDescent="0.25">
      <c r="A1269" s="15" t="s">
        <v>4291</v>
      </c>
      <c r="B1269" s="15" t="s">
        <v>4292</v>
      </c>
      <c r="C1269" s="54">
        <v>1.5577810000000001</v>
      </c>
      <c r="D1269" s="26">
        <v>4.8611111111111112E-3</v>
      </c>
      <c r="F1269" s="61" t="s">
        <v>5404</v>
      </c>
    </row>
    <row r="1270" spans="1:6" x14ac:dyDescent="0.25">
      <c r="A1270" s="15" t="s">
        <v>4291</v>
      </c>
      <c r="B1270" s="15" t="s">
        <v>4293</v>
      </c>
      <c r="C1270" s="52">
        <v>6.4535770000000001</v>
      </c>
      <c r="D1270" s="25">
        <v>1.2499999999999999E-2</v>
      </c>
      <c r="F1270" s="61" t="s">
        <v>5405</v>
      </c>
    </row>
    <row r="1271" spans="1:6" x14ac:dyDescent="0.25">
      <c r="A1271" s="15" t="s">
        <v>4291</v>
      </c>
      <c r="B1271" s="15" t="s">
        <v>4294</v>
      </c>
      <c r="C1271" s="54">
        <v>7.4328609999999999</v>
      </c>
      <c r="D1271" s="26">
        <v>1.5277777777777777E-2</v>
      </c>
      <c r="F1271" s="61" t="s">
        <v>5406</v>
      </c>
    </row>
    <row r="1272" spans="1:6" x14ac:dyDescent="0.25">
      <c r="A1272" s="15" t="s">
        <v>4291</v>
      </c>
      <c r="B1272" s="15" t="s">
        <v>4295</v>
      </c>
      <c r="C1272" s="52">
        <v>8.8290849999999992</v>
      </c>
      <c r="D1272" s="25">
        <v>1.8749999999999999E-2</v>
      </c>
      <c r="F1272" s="61" t="s">
        <v>5407</v>
      </c>
    </row>
    <row r="1273" spans="1:6" x14ac:dyDescent="0.25">
      <c r="A1273" s="15" t="s">
        <v>4291</v>
      </c>
      <c r="B1273" s="15" t="s">
        <v>4296</v>
      </c>
      <c r="C1273" s="54">
        <v>8.0057659999999995</v>
      </c>
      <c r="D1273" s="26">
        <v>1.3194444444444444E-2</v>
      </c>
      <c r="F1273" s="61" t="s">
        <v>5408</v>
      </c>
    </row>
    <row r="1274" spans="1:6" x14ac:dyDescent="0.25">
      <c r="A1274" s="15" t="s">
        <v>4291</v>
      </c>
      <c r="B1274" s="15" t="s">
        <v>4297</v>
      </c>
      <c r="C1274" s="52">
        <v>8.2325669999999995</v>
      </c>
      <c r="D1274" s="25">
        <v>1.5277777777777777E-2</v>
      </c>
      <c r="F1274" s="61" t="s">
        <v>5409</v>
      </c>
    </row>
    <row r="1275" spans="1:6" x14ac:dyDescent="0.25">
      <c r="A1275" s="15" t="s">
        <v>4291</v>
      </c>
      <c r="B1275" s="15" t="s">
        <v>4298</v>
      </c>
      <c r="C1275" s="54">
        <v>12.68346</v>
      </c>
      <c r="D1275" s="26">
        <v>2.1527777777777781E-2</v>
      </c>
      <c r="F1275" s="61" t="s">
        <v>5410</v>
      </c>
    </row>
    <row r="1276" spans="1:6" x14ac:dyDescent="0.25">
      <c r="A1276" s="15" t="s">
        <v>4291</v>
      </c>
      <c r="B1276" s="15" t="s">
        <v>4299</v>
      </c>
      <c r="C1276" s="52">
        <v>17.326979000000001</v>
      </c>
      <c r="D1276" s="25">
        <v>2.7777777777777776E-2</v>
      </c>
      <c r="F1276" s="61" t="s">
        <v>5411</v>
      </c>
    </row>
    <row r="1277" spans="1:6" x14ac:dyDescent="0.25">
      <c r="A1277" s="15" t="s">
        <v>4291</v>
      </c>
      <c r="B1277" s="15" t="s">
        <v>4300</v>
      </c>
      <c r="C1277" s="54">
        <v>26.456807999999999</v>
      </c>
      <c r="D1277" s="26">
        <v>4.3055555555555562E-2</v>
      </c>
      <c r="F1277" s="61" t="s">
        <v>5412</v>
      </c>
    </row>
    <row r="1278" spans="1:6" x14ac:dyDescent="0.25">
      <c r="A1278" s="15" t="s">
        <v>4291</v>
      </c>
      <c r="B1278" s="15" t="s">
        <v>4301</v>
      </c>
      <c r="C1278" s="52">
        <v>6.7139319999999998</v>
      </c>
      <c r="D1278" s="25">
        <v>1.6666666666666666E-2</v>
      </c>
      <c r="F1278" s="61" t="s">
        <v>5413</v>
      </c>
    </row>
    <row r="1279" spans="1:6" x14ac:dyDescent="0.25">
      <c r="A1279" s="15" t="s">
        <v>4291</v>
      </c>
      <c r="B1279" s="15" t="s">
        <v>4302</v>
      </c>
      <c r="C1279" s="54">
        <v>6.4641409999999997</v>
      </c>
      <c r="D1279" s="26">
        <v>1.2499999999999999E-2</v>
      </c>
      <c r="F1279" s="61" t="s">
        <v>5414</v>
      </c>
    </row>
    <row r="1280" spans="1:6" x14ac:dyDescent="0.25">
      <c r="A1280" s="15" t="s">
        <v>4291</v>
      </c>
      <c r="B1280" s="15" t="s">
        <v>4303</v>
      </c>
      <c r="C1280" s="52">
        <v>20.476095999999998</v>
      </c>
      <c r="D1280" s="25">
        <v>2.7777777777777776E-2</v>
      </c>
      <c r="F1280" s="61" t="s">
        <v>5415</v>
      </c>
    </row>
    <row r="1281" spans="1:6" x14ac:dyDescent="0.25">
      <c r="A1281" s="15" t="s">
        <v>4291</v>
      </c>
      <c r="B1281" s="15" t="s">
        <v>4304</v>
      </c>
      <c r="C1281" s="54">
        <v>13.396174999999999</v>
      </c>
      <c r="D1281" s="26">
        <v>2.2222222222222223E-2</v>
      </c>
      <c r="F1281" s="61" t="s">
        <v>5416</v>
      </c>
    </row>
    <row r="1282" spans="1:6" x14ac:dyDescent="0.25">
      <c r="A1282" s="15" t="s">
        <v>4291</v>
      </c>
      <c r="B1282" s="15" t="s">
        <v>4305</v>
      </c>
      <c r="C1282" s="52">
        <v>13.992070999999999</v>
      </c>
      <c r="D1282" s="25">
        <v>2.1527777777777781E-2</v>
      </c>
      <c r="F1282" s="61" t="s">
        <v>5417</v>
      </c>
    </row>
    <row r="1283" spans="1:6" x14ac:dyDescent="0.25">
      <c r="A1283" s="15" t="s">
        <v>4291</v>
      </c>
      <c r="B1283" s="15" t="s">
        <v>4306</v>
      </c>
      <c r="C1283" s="54">
        <v>141.70218800000001</v>
      </c>
      <c r="D1283" s="26">
        <v>0.11875000000000001</v>
      </c>
      <c r="F1283" s="61" t="s">
        <v>5418</v>
      </c>
    </row>
    <row r="1284" spans="1:6" x14ac:dyDescent="0.25">
      <c r="A1284" s="15" t="s">
        <v>4291</v>
      </c>
      <c r="B1284" s="15" t="s">
        <v>4307</v>
      </c>
      <c r="C1284" s="52">
        <v>140.60546600000001</v>
      </c>
      <c r="D1284" s="25">
        <v>0.1173611111111111</v>
      </c>
      <c r="F1284" s="61" t="s">
        <v>5419</v>
      </c>
    </row>
    <row r="1285" spans="1:6" x14ac:dyDescent="0.25">
      <c r="A1285" s="15" t="s">
        <v>4291</v>
      </c>
      <c r="B1285" s="15" t="s">
        <v>4308</v>
      </c>
      <c r="C1285" s="54">
        <v>138.82896099999999</v>
      </c>
      <c r="D1285" s="26">
        <v>0.11527777777777777</v>
      </c>
      <c r="F1285" s="61" t="s">
        <v>5420</v>
      </c>
    </row>
    <row r="1286" spans="1:6" x14ac:dyDescent="0.25">
      <c r="A1286" s="15" t="s">
        <v>4291</v>
      </c>
      <c r="B1286" s="15" t="s">
        <v>4309</v>
      </c>
      <c r="C1286" s="52">
        <v>90.213379000000003</v>
      </c>
      <c r="D1286" s="25">
        <v>8.4027777777777771E-2</v>
      </c>
      <c r="F1286" s="61" t="s">
        <v>5421</v>
      </c>
    </row>
    <row r="1287" spans="1:6" x14ac:dyDescent="0.25">
      <c r="A1287" s="15" t="s">
        <v>4291</v>
      </c>
      <c r="B1287" s="15" t="s">
        <v>4310</v>
      </c>
      <c r="C1287" s="54">
        <v>95.068786000000003</v>
      </c>
      <c r="D1287" s="26">
        <v>9.2361111111111116E-2</v>
      </c>
      <c r="F1287" s="61" t="s">
        <v>5422</v>
      </c>
    </row>
    <row r="1288" spans="1:6" x14ac:dyDescent="0.25">
      <c r="A1288" s="15" t="s">
        <v>4291</v>
      </c>
      <c r="B1288" s="15" t="s">
        <v>4311</v>
      </c>
      <c r="C1288" s="52">
        <v>81.251942</v>
      </c>
      <c r="D1288" s="25">
        <v>7.9166666666666663E-2</v>
      </c>
      <c r="F1288" s="61" t="s">
        <v>5423</v>
      </c>
    </row>
    <row r="1289" spans="1:6" x14ac:dyDescent="0.25">
      <c r="A1289" s="15" t="s">
        <v>4291</v>
      </c>
      <c r="B1289" s="15" t="s">
        <v>4312</v>
      </c>
      <c r="C1289" s="54">
        <v>77.780953999999994</v>
      </c>
      <c r="D1289" s="26">
        <v>7.0833333333333331E-2</v>
      </c>
      <c r="F1289" s="61" t="s">
        <v>5424</v>
      </c>
    </row>
    <row r="1290" spans="1:6" x14ac:dyDescent="0.25">
      <c r="A1290" s="15" t="s">
        <v>4291</v>
      </c>
      <c r="B1290" s="15" t="s">
        <v>4313</v>
      </c>
      <c r="C1290" s="52">
        <v>100.433718</v>
      </c>
      <c r="D1290" s="25">
        <v>9.1666666666666674E-2</v>
      </c>
      <c r="F1290" s="61" t="s">
        <v>5425</v>
      </c>
    </row>
    <row r="1291" spans="1:6" x14ac:dyDescent="0.25">
      <c r="A1291" s="15" t="s">
        <v>4291</v>
      </c>
      <c r="B1291" s="15" t="s">
        <v>4314</v>
      </c>
      <c r="C1291" s="54">
        <v>57.347732999999998</v>
      </c>
      <c r="D1291" s="26">
        <v>5.7638888888888885E-2</v>
      </c>
      <c r="F1291" s="61" t="s">
        <v>5426</v>
      </c>
    </row>
    <row r="1292" spans="1:6" x14ac:dyDescent="0.25">
      <c r="A1292" s="15" t="s">
        <v>4291</v>
      </c>
      <c r="B1292" s="15" t="s">
        <v>4315</v>
      </c>
      <c r="C1292" s="52">
        <v>58.125691000000003</v>
      </c>
      <c r="D1292" s="25">
        <v>6.1111111111111116E-2</v>
      </c>
      <c r="F1292" s="61" t="s">
        <v>5427</v>
      </c>
    </row>
    <row r="1293" spans="1:6" x14ac:dyDescent="0.25">
      <c r="A1293" s="15" t="s">
        <v>4291</v>
      </c>
      <c r="B1293" s="15" t="s">
        <v>4316</v>
      </c>
      <c r="C1293" s="54">
        <v>55.420234000000001</v>
      </c>
      <c r="D1293" s="26">
        <v>5.486111111111111E-2</v>
      </c>
      <c r="F1293" s="61" t="s">
        <v>5428</v>
      </c>
    </row>
    <row r="1294" spans="1:6" x14ac:dyDescent="0.25">
      <c r="A1294" s="15" t="s">
        <v>4291</v>
      </c>
      <c r="B1294" s="15" t="s">
        <v>4317</v>
      </c>
      <c r="C1294" s="52">
        <v>188.1585</v>
      </c>
      <c r="D1294" s="25">
        <v>0.15277777777777776</v>
      </c>
      <c r="F1294" s="61" t="s">
        <v>5429</v>
      </c>
    </row>
    <row r="1295" spans="1:6" x14ac:dyDescent="0.25">
      <c r="A1295" s="15" t="s">
        <v>4291</v>
      </c>
      <c r="B1295" s="15" t="s">
        <v>4318</v>
      </c>
      <c r="C1295" s="54">
        <v>197.269688</v>
      </c>
      <c r="D1295" s="26">
        <v>0.16111111111111112</v>
      </c>
      <c r="F1295" s="61" t="s">
        <v>5430</v>
      </c>
    </row>
    <row r="1296" spans="1:6" x14ac:dyDescent="0.25">
      <c r="A1296" s="15" t="s">
        <v>4291</v>
      </c>
      <c r="B1296" s="15" t="s">
        <v>4319</v>
      </c>
      <c r="C1296" s="52">
        <v>190.907453</v>
      </c>
      <c r="D1296" s="25">
        <v>0.15694444444444444</v>
      </c>
      <c r="F1296" s="61" t="s">
        <v>5431</v>
      </c>
    </row>
    <row r="1297" spans="1:6" x14ac:dyDescent="0.25">
      <c r="A1297" s="15" t="s">
        <v>4291</v>
      </c>
      <c r="B1297" s="15" t="s">
        <v>4320</v>
      </c>
      <c r="C1297" s="54">
        <v>200.807163</v>
      </c>
      <c r="D1297" s="26">
        <v>0.16527777777777777</v>
      </c>
      <c r="F1297" s="61" t="s">
        <v>5432</v>
      </c>
    </row>
    <row r="1298" spans="1:6" x14ac:dyDescent="0.25">
      <c r="A1298" s="15" t="s">
        <v>4291</v>
      </c>
      <c r="B1298" s="15" t="s">
        <v>4321</v>
      </c>
      <c r="C1298" s="52">
        <v>197.339282</v>
      </c>
      <c r="D1298" s="25">
        <v>0.16180555555555556</v>
      </c>
      <c r="F1298" s="61" t="s">
        <v>5433</v>
      </c>
    </row>
    <row r="1299" spans="1:6" x14ac:dyDescent="0.25">
      <c r="A1299" s="15" t="s">
        <v>4292</v>
      </c>
      <c r="B1299" s="15">
        <v>3423909</v>
      </c>
      <c r="C1299" s="54">
        <v>56.572881000000002</v>
      </c>
      <c r="D1299" s="26">
        <v>5.2083333333333336E-2</v>
      </c>
      <c r="F1299" s="61" t="s">
        <v>7037</v>
      </c>
    </row>
    <row r="1300" spans="1:6" x14ac:dyDescent="0.25">
      <c r="A1300" s="15" t="s">
        <v>4292</v>
      </c>
      <c r="B1300" s="15">
        <v>3403208</v>
      </c>
      <c r="C1300" s="52">
        <v>164.34936099999999</v>
      </c>
      <c r="D1300" s="25">
        <v>0.1361111111111111</v>
      </c>
      <c r="F1300" s="61" t="s">
        <v>7142</v>
      </c>
    </row>
    <row r="1301" spans="1:6" x14ac:dyDescent="0.25">
      <c r="A1301" s="15" t="s">
        <v>4292</v>
      </c>
      <c r="B1301" s="15">
        <v>3424402</v>
      </c>
      <c r="C1301" s="54">
        <v>53.620117999999998</v>
      </c>
      <c r="D1301" s="26">
        <v>5.347222222222222E-2</v>
      </c>
      <c r="F1301" s="61" t="s">
        <v>7249</v>
      </c>
    </row>
    <row r="1302" spans="1:6" x14ac:dyDescent="0.25">
      <c r="A1302" s="15" t="s">
        <v>4292</v>
      </c>
      <c r="B1302" s="15" t="s">
        <v>4271</v>
      </c>
      <c r="C1302" s="52">
        <v>53.382753000000001</v>
      </c>
      <c r="D1302" s="25">
        <v>4.9305555555555554E-2</v>
      </c>
      <c r="F1302" s="61" t="s">
        <v>5434</v>
      </c>
    </row>
    <row r="1303" spans="1:6" x14ac:dyDescent="0.25">
      <c r="A1303" s="15" t="s">
        <v>4292</v>
      </c>
      <c r="B1303" s="15" t="s">
        <v>4272</v>
      </c>
      <c r="C1303" s="54">
        <v>58.202741000000003</v>
      </c>
      <c r="D1303" s="26">
        <v>5.6250000000000001E-2</v>
      </c>
      <c r="F1303" s="61" t="s">
        <v>5435</v>
      </c>
    </row>
    <row r="1304" spans="1:6" x14ac:dyDescent="0.25">
      <c r="A1304" s="15" t="s">
        <v>4292</v>
      </c>
      <c r="B1304" s="15" t="s">
        <v>4273</v>
      </c>
      <c r="C1304" s="52">
        <v>56.182037000000001</v>
      </c>
      <c r="D1304" s="25">
        <v>5.347222222222222E-2</v>
      </c>
      <c r="F1304" s="61" t="s">
        <v>5436</v>
      </c>
    </row>
    <row r="1305" spans="1:6" x14ac:dyDescent="0.25">
      <c r="A1305" s="15" t="s">
        <v>4292</v>
      </c>
      <c r="B1305" s="15" t="s">
        <v>4274</v>
      </c>
      <c r="C1305" s="54">
        <v>66.338995999999995</v>
      </c>
      <c r="D1305" s="26">
        <v>6.0416666666666667E-2</v>
      </c>
      <c r="F1305" s="61" t="s">
        <v>5437</v>
      </c>
    </row>
    <row r="1306" spans="1:6" x14ac:dyDescent="0.25">
      <c r="A1306" s="15" t="s">
        <v>4292</v>
      </c>
      <c r="B1306" s="15" t="s">
        <v>4275</v>
      </c>
      <c r="C1306" s="52">
        <v>66.432202000000004</v>
      </c>
      <c r="D1306" s="25">
        <v>6.0416666666666667E-2</v>
      </c>
      <c r="F1306" s="61" t="s">
        <v>5438</v>
      </c>
    </row>
    <row r="1307" spans="1:6" x14ac:dyDescent="0.25">
      <c r="A1307" s="15" t="s">
        <v>4292</v>
      </c>
      <c r="B1307" s="15" t="s">
        <v>4276</v>
      </c>
      <c r="C1307" s="54">
        <v>47.755602000000003</v>
      </c>
      <c r="D1307" s="26">
        <v>4.8611111111111112E-2</v>
      </c>
      <c r="F1307" s="61" t="s">
        <v>5439</v>
      </c>
    </row>
    <row r="1308" spans="1:6" x14ac:dyDescent="0.25">
      <c r="A1308" s="15" t="s">
        <v>4292</v>
      </c>
      <c r="B1308" s="15" t="s">
        <v>4277</v>
      </c>
      <c r="C1308" s="52">
        <v>52.473685000000003</v>
      </c>
      <c r="D1308" s="25">
        <v>4.9305555555555554E-2</v>
      </c>
      <c r="F1308" s="61" t="s">
        <v>5440</v>
      </c>
    </row>
    <row r="1309" spans="1:6" x14ac:dyDescent="0.25">
      <c r="A1309" s="15" t="s">
        <v>4292</v>
      </c>
      <c r="B1309" s="15" t="s">
        <v>4278</v>
      </c>
      <c r="C1309" s="54">
        <v>61.503473</v>
      </c>
      <c r="D1309" s="26">
        <v>5.6250000000000001E-2</v>
      </c>
      <c r="F1309" s="61" t="s">
        <v>5441</v>
      </c>
    </row>
    <row r="1310" spans="1:6" x14ac:dyDescent="0.25">
      <c r="A1310" s="15" t="s">
        <v>4292</v>
      </c>
      <c r="B1310" s="15" t="s">
        <v>4279</v>
      </c>
      <c r="C1310" s="52">
        <v>74.567835000000002</v>
      </c>
      <c r="D1310" s="25">
        <v>6.8749999999999992E-2</v>
      </c>
      <c r="F1310" s="61" t="s">
        <v>5442</v>
      </c>
    </row>
    <row r="1311" spans="1:6" x14ac:dyDescent="0.25">
      <c r="A1311" s="15" t="s">
        <v>4292</v>
      </c>
      <c r="B1311" s="15" t="s">
        <v>4280</v>
      </c>
      <c r="C1311" s="54">
        <v>7.291188</v>
      </c>
      <c r="D1311" s="26">
        <v>1.7361111111111112E-2</v>
      </c>
      <c r="F1311" s="61" t="s">
        <v>5443</v>
      </c>
    </row>
    <row r="1312" spans="1:6" x14ac:dyDescent="0.25">
      <c r="A1312" s="15" t="s">
        <v>4292</v>
      </c>
      <c r="B1312" s="15" t="s">
        <v>4281</v>
      </c>
      <c r="C1312" s="52">
        <v>91.789180999999999</v>
      </c>
      <c r="D1312" s="25">
        <v>7.7083333333333337E-2</v>
      </c>
      <c r="F1312" s="61" t="s">
        <v>5444</v>
      </c>
    </row>
    <row r="1313" spans="1:6" x14ac:dyDescent="0.25">
      <c r="A1313" s="15" t="s">
        <v>4292</v>
      </c>
      <c r="B1313" s="15" t="s">
        <v>4282</v>
      </c>
      <c r="C1313" s="54">
        <v>52.661338999999998</v>
      </c>
      <c r="D1313" s="26">
        <v>5.347222222222222E-2</v>
      </c>
      <c r="F1313" s="61" t="s">
        <v>5445</v>
      </c>
    </row>
    <row r="1314" spans="1:6" x14ac:dyDescent="0.25">
      <c r="A1314" s="15" t="s">
        <v>4292</v>
      </c>
      <c r="B1314" s="15" t="s">
        <v>4283</v>
      </c>
      <c r="C1314" s="52">
        <v>60.545316999999997</v>
      </c>
      <c r="D1314" s="25">
        <v>5.9027777777777783E-2</v>
      </c>
      <c r="F1314" s="61" t="s">
        <v>5446</v>
      </c>
    </row>
    <row r="1315" spans="1:6" x14ac:dyDescent="0.25">
      <c r="A1315" s="15" t="s">
        <v>4292</v>
      </c>
      <c r="B1315" s="15" t="s">
        <v>4284</v>
      </c>
      <c r="C1315" s="54">
        <v>58.607877000000002</v>
      </c>
      <c r="D1315" s="26">
        <v>5.6250000000000001E-2</v>
      </c>
      <c r="F1315" s="61" t="s">
        <v>5447</v>
      </c>
    </row>
    <row r="1316" spans="1:6" x14ac:dyDescent="0.25">
      <c r="A1316" s="15" t="s">
        <v>4292</v>
      </c>
      <c r="B1316" s="15" t="s">
        <v>4285</v>
      </c>
      <c r="C1316" s="52">
        <v>60.986491000000001</v>
      </c>
      <c r="D1316" s="25">
        <v>6.25E-2</v>
      </c>
      <c r="F1316" s="61" t="s">
        <v>5448</v>
      </c>
    </row>
    <row r="1317" spans="1:6" x14ac:dyDescent="0.25">
      <c r="A1317" s="15" t="s">
        <v>4292</v>
      </c>
      <c r="B1317" s="15" t="s">
        <v>4286</v>
      </c>
      <c r="C1317" s="54">
        <v>59.917109000000004</v>
      </c>
      <c r="D1317" s="26">
        <v>6.0416666666666667E-2</v>
      </c>
      <c r="F1317" s="61" t="s">
        <v>5449</v>
      </c>
    </row>
    <row r="1318" spans="1:6" x14ac:dyDescent="0.25">
      <c r="A1318" s="15" t="s">
        <v>4292</v>
      </c>
      <c r="B1318" s="15" t="s">
        <v>4287</v>
      </c>
      <c r="C1318" s="52">
        <v>60.972821000000003</v>
      </c>
      <c r="D1318" s="25">
        <v>5.9027777777777783E-2</v>
      </c>
      <c r="F1318" s="61" t="s">
        <v>5450</v>
      </c>
    </row>
    <row r="1319" spans="1:6" x14ac:dyDescent="0.25">
      <c r="A1319" s="15" t="s">
        <v>4292</v>
      </c>
      <c r="B1319" s="15" t="s">
        <v>4288</v>
      </c>
      <c r="C1319" s="54">
        <v>65.800887000000003</v>
      </c>
      <c r="D1319" s="26">
        <v>6.3888888888888884E-2</v>
      </c>
      <c r="F1319" s="61" t="s">
        <v>5451</v>
      </c>
    </row>
    <row r="1320" spans="1:6" x14ac:dyDescent="0.25">
      <c r="A1320" s="15" t="s">
        <v>4292</v>
      </c>
      <c r="B1320" s="15" t="s">
        <v>4289</v>
      </c>
      <c r="C1320" s="52">
        <v>4.1750030000000002</v>
      </c>
      <c r="D1320" s="25">
        <v>9.7222222222222224E-3</v>
      </c>
      <c r="F1320" s="61" t="s">
        <v>5452</v>
      </c>
    </row>
    <row r="1321" spans="1:6" x14ac:dyDescent="0.25">
      <c r="A1321" s="15" t="s">
        <v>4292</v>
      </c>
      <c r="B1321" s="15" t="s">
        <v>4290</v>
      </c>
      <c r="C1321" s="54">
        <v>2.9024320000000001</v>
      </c>
      <c r="D1321" s="26">
        <v>7.6388888888888886E-3</v>
      </c>
      <c r="F1321" s="61" t="s">
        <v>5453</v>
      </c>
    </row>
    <row r="1322" spans="1:6" x14ac:dyDescent="0.25">
      <c r="A1322" s="15" t="s">
        <v>4292</v>
      </c>
      <c r="B1322" s="15" t="s">
        <v>4291</v>
      </c>
      <c r="C1322" s="52">
        <v>2.6035520000000001</v>
      </c>
      <c r="D1322" s="25">
        <v>6.9444444444444441E-3</v>
      </c>
      <c r="F1322" s="61" t="s">
        <v>5454</v>
      </c>
    </row>
    <row r="1323" spans="1:6" x14ac:dyDescent="0.25">
      <c r="A1323" s="15" t="s">
        <v>4292</v>
      </c>
      <c r="B1323" s="15" t="s">
        <v>4292</v>
      </c>
      <c r="C1323" s="54">
        <v>0</v>
      </c>
      <c r="D1323" s="26">
        <v>0</v>
      </c>
      <c r="F1323" s="61" t="s">
        <v>5455</v>
      </c>
    </row>
    <row r="1324" spans="1:6" x14ac:dyDescent="0.25">
      <c r="A1324" s="15" t="s">
        <v>4292</v>
      </c>
      <c r="B1324" s="15" t="s">
        <v>4293</v>
      </c>
      <c r="C1324" s="52">
        <v>8.2089549999999996</v>
      </c>
      <c r="D1324" s="25">
        <v>1.7361111111111112E-2</v>
      </c>
      <c r="F1324" s="61" t="s">
        <v>5456</v>
      </c>
    </row>
    <row r="1325" spans="1:6" x14ac:dyDescent="0.25">
      <c r="A1325" s="15" t="s">
        <v>4292</v>
      </c>
      <c r="B1325" s="15" t="s">
        <v>4294</v>
      </c>
      <c r="C1325" s="54">
        <v>7.7945000000000002</v>
      </c>
      <c r="D1325" s="26">
        <v>1.9444444444444445E-2</v>
      </c>
      <c r="F1325" s="61" t="s">
        <v>5457</v>
      </c>
    </row>
    <row r="1326" spans="1:6" x14ac:dyDescent="0.25">
      <c r="A1326" s="15" t="s">
        <v>4292</v>
      </c>
      <c r="B1326" s="15" t="s">
        <v>4295</v>
      </c>
      <c r="C1326" s="52">
        <v>10.584463</v>
      </c>
      <c r="D1326" s="25">
        <v>2.361111111111111E-2</v>
      </c>
      <c r="F1326" s="61" t="s">
        <v>5458</v>
      </c>
    </row>
    <row r="1327" spans="1:6" x14ac:dyDescent="0.25">
      <c r="A1327" s="15" t="s">
        <v>4292</v>
      </c>
      <c r="B1327" s="15" t="s">
        <v>4296</v>
      </c>
      <c r="C1327" s="54">
        <v>9.7611439999999998</v>
      </c>
      <c r="D1327" s="26">
        <v>1.8055555555555557E-2</v>
      </c>
      <c r="F1327" s="61" t="s">
        <v>5459</v>
      </c>
    </row>
    <row r="1328" spans="1:6" x14ac:dyDescent="0.25">
      <c r="A1328" s="15" t="s">
        <v>4292</v>
      </c>
      <c r="B1328" s="15" t="s">
        <v>4297</v>
      </c>
      <c r="C1328" s="52">
        <v>9.9879449999999999</v>
      </c>
      <c r="D1328" s="25">
        <v>2.013888888888889E-2</v>
      </c>
      <c r="F1328" s="61" t="s">
        <v>5460</v>
      </c>
    </row>
    <row r="1329" spans="1:6" x14ac:dyDescent="0.25">
      <c r="A1329" s="15" t="s">
        <v>4292</v>
      </c>
      <c r="B1329" s="15" t="s">
        <v>4298</v>
      </c>
      <c r="C1329" s="54">
        <v>12.473436</v>
      </c>
      <c r="D1329" s="26">
        <v>2.361111111111111E-2</v>
      </c>
      <c r="F1329" s="61" t="s">
        <v>5461</v>
      </c>
    </row>
    <row r="1330" spans="1:6" x14ac:dyDescent="0.25">
      <c r="A1330" s="15" t="s">
        <v>4292</v>
      </c>
      <c r="B1330" s="15" t="s">
        <v>4299</v>
      </c>
      <c r="C1330" s="52">
        <v>17.116955000000001</v>
      </c>
      <c r="D1330" s="25">
        <v>3.0555555555555555E-2</v>
      </c>
      <c r="F1330" s="61" t="s">
        <v>5462</v>
      </c>
    </row>
    <row r="1331" spans="1:6" x14ac:dyDescent="0.25">
      <c r="A1331" s="15" t="s">
        <v>4292</v>
      </c>
      <c r="B1331" s="15" t="s">
        <v>4300</v>
      </c>
      <c r="C1331" s="54">
        <v>23.046714999999999</v>
      </c>
      <c r="D1331" s="26">
        <v>4.2361111111111106E-2</v>
      </c>
      <c r="F1331" s="61" t="s">
        <v>5463</v>
      </c>
    </row>
    <row r="1332" spans="1:6" x14ac:dyDescent="0.25">
      <c r="A1332" s="15" t="s">
        <v>4292</v>
      </c>
      <c r="B1332" s="15" t="s">
        <v>4301</v>
      </c>
      <c r="C1332" s="52">
        <v>9.5933740000000007</v>
      </c>
      <c r="D1332" s="25">
        <v>2.013888888888889E-2</v>
      </c>
      <c r="F1332" s="61" t="s">
        <v>5464</v>
      </c>
    </row>
    <row r="1333" spans="1:6" x14ac:dyDescent="0.25">
      <c r="A1333" s="15" t="s">
        <v>4292</v>
      </c>
      <c r="B1333" s="15" t="s">
        <v>4302</v>
      </c>
      <c r="C1333" s="54">
        <v>4.6795580000000001</v>
      </c>
      <c r="D1333" s="26">
        <v>1.2499999999999999E-2</v>
      </c>
      <c r="F1333" s="61" t="s">
        <v>5465</v>
      </c>
    </row>
    <row r="1334" spans="1:6" x14ac:dyDescent="0.25">
      <c r="A1334" s="15" t="s">
        <v>4292</v>
      </c>
      <c r="B1334" s="15" t="s">
        <v>4303</v>
      </c>
      <c r="C1334" s="52">
        <v>12.029154999999999</v>
      </c>
      <c r="D1334" s="25">
        <v>2.6388888888888889E-2</v>
      </c>
      <c r="F1334" s="61" t="s">
        <v>5466</v>
      </c>
    </row>
    <row r="1335" spans="1:6" x14ac:dyDescent="0.25">
      <c r="A1335" s="15" t="s">
        <v>4292</v>
      </c>
      <c r="B1335" s="15" t="s">
        <v>4304</v>
      </c>
      <c r="C1335" s="54">
        <v>14.300894</v>
      </c>
      <c r="D1335" s="26">
        <v>2.4999999999999998E-2</v>
      </c>
      <c r="F1335" s="61" t="s">
        <v>5467</v>
      </c>
    </row>
    <row r="1336" spans="1:6" x14ac:dyDescent="0.25">
      <c r="A1336" s="15" t="s">
        <v>4292</v>
      </c>
      <c r="B1336" s="15" t="s">
        <v>4305</v>
      </c>
      <c r="C1336" s="52">
        <v>14.896789999999999</v>
      </c>
      <c r="D1336" s="25">
        <v>2.4305555555555556E-2</v>
      </c>
      <c r="F1336" s="61" t="s">
        <v>5468</v>
      </c>
    </row>
    <row r="1337" spans="1:6" x14ac:dyDescent="0.25">
      <c r="A1337" s="15" t="s">
        <v>4292</v>
      </c>
      <c r="B1337" s="15" t="s">
        <v>4306</v>
      </c>
      <c r="C1337" s="54">
        <v>141.285247</v>
      </c>
      <c r="D1337" s="26">
        <v>0.12083333333333333</v>
      </c>
      <c r="F1337" s="61" t="s">
        <v>5469</v>
      </c>
    </row>
    <row r="1338" spans="1:6" x14ac:dyDescent="0.25">
      <c r="A1338" s="15" t="s">
        <v>4292</v>
      </c>
      <c r="B1338" s="15" t="s">
        <v>4307</v>
      </c>
      <c r="C1338" s="52">
        <v>140.188524</v>
      </c>
      <c r="D1338" s="25">
        <v>0.11944444444444445</v>
      </c>
      <c r="F1338" s="61" t="s">
        <v>5470</v>
      </c>
    </row>
    <row r="1339" spans="1:6" x14ac:dyDescent="0.25">
      <c r="A1339" s="15" t="s">
        <v>4292</v>
      </c>
      <c r="B1339" s="15" t="s">
        <v>4308</v>
      </c>
      <c r="C1339" s="54">
        <v>138.41202000000001</v>
      </c>
      <c r="D1339" s="26">
        <v>0.1173611111111111</v>
      </c>
      <c r="F1339" s="61" t="s">
        <v>5471</v>
      </c>
    </row>
    <row r="1340" spans="1:6" x14ac:dyDescent="0.25">
      <c r="A1340" s="15" t="s">
        <v>4292</v>
      </c>
      <c r="B1340" s="15" t="s">
        <v>4309</v>
      </c>
      <c r="C1340" s="52">
        <v>86.807013999999995</v>
      </c>
      <c r="D1340" s="25">
        <v>8.3333333333333329E-2</v>
      </c>
      <c r="F1340" s="61" t="s">
        <v>5472</v>
      </c>
    </row>
    <row r="1341" spans="1:6" x14ac:dyDescent="0.25">
      <c r="A1341" s="15" t="s">
        <v>4292</v>
      </c>
      <c r="B1341" s="15" t="s">
        <v>4310</v>
      </c>
      <c r="C1341" s="54">
        <v>91.662420999999995</v>
      </c>
      <c r="D1341" s="26">
        <v>9.1666666666666674E-2</v>
      </c>
      <c r="F1341" s="61" t="s">
        <v>5473</v>
      </c>
    </row>
    <row r="1342" spans="1:6" x14ac:dyDescent="0.25">
      <c r="A1342" s="15" t="s">
        <v>4292</v>
      </c>
      <c r="B1342" s="15" t="s">
        <v>4311</v>
      </c>
      <c r="C1342" s="52">
        <v>77.845575999999994</v>
      </c>
      <c r="D1342" s="25">
        <v>7.7777777777777779E-2</v>
      </c>
      <c r="F1342" s="61" t="s">
        <v>5474</v>
      </c>
    </row>
    <row r="1343" spans="1:6" x14ac:dyDescent="0.25">
      <c r="A1343" s="15" t="s">
        <v>4292</v>
      </c>
      <c r="B1343" s="15" t="s">
        <v>4312</v>
      </c>
      <c r="C1343" s="54">
        <v>74.374588000000003</v>
      </c>
      <c r="D1343" s="26">
        <v>7.013888888888889E-2</v>
      </c>
      <c r="F1343" s="61" t="s">
        <v>5475</v>
      </c>
    </row>
    <row r="1344" spans="1:6" x14ac:dyDescent="0.25">
      <c r="A1344" s="15" t="s">
        <v>4292</v>
      </c>
      <c r="B1344" s="15" t="s">
        <v>4313</v>
      </c>
      <c r="C1344" s="52">
        <v>97.027353000000005</v>
      </c>
      <c r="D1344" s="25">
        <v>9.0972222222222218E-2</v>
      </c>
      <c r="F1344" s="61" t="s">
        <v>5476</v>
      </c>
    </row>
    <row r="1345" spans="1:6" x14ac:dyDescent="0.25">
      <c r="A1345" s="15" t="s">
        <v>4292</v>
      </c>
      <c r="B1345" s="15" t="s">
        <v>4314</v>
      </c>
      <c r="C1345" s="54">
        <v>60.367604</v>
      </c>
      <c r="D1345" s="26">
        <v>6.3888888888888884E-2</v>
      </c>
      <c r="F1345" s="61" t="s">
        <v>5477</v>
      </c>
    </row>
    <row r="1346" spans="1:6" x14ac:dyDescent="0.25">
      <c r="A1346" s="15" t="s">
        <v>4292</v>
      </c>
      <c r="B1346" s="15" t="s">
        <v>4315</v>
      </c>
      <c r="C1346" s="52">
        <v>65.659214000000006</v>
      </c>
      <c r="D1346" s="25">
        <v>6.5972222222222224E-2</v>
      </c>
      <c r="F1346" s="61" t="s">
        <v>5478</v>
      </c>
    </row>
    <row r="1347" spans="1:6" x14ac:dyDescent="0.25">
      <c r="A1347" s="15" t="s">
        <v>4292</v>
      </c>
      <c r="B1347" s="15" t="s">
        <v>4316</v>
      </c>
      <c r="C1347" s="54">
        <v>57.211652000000001</v>
      </c>
      <c r="D1347" s="26">
        <v>5.8333333333333327E-2</v>
      </c>
      <c r="F1347" s="61" t="s">
        <v>5479</v>
      </c>
    </row>
    <row r="1348" spans="1:6" x14ac:dyDescent="0.25">
      <c r="A1348" s="15" t="s">
        <v>4292</v>
      </c>
      <c r="B1348" s="15" t="s">
        <v>4317</v>
      </c>
      <c r="C1348" s="52">
        <v>187.741559</v>
      </c>
      <c r="D1348" s="25">
        <v>0.15555555555555556</v>
      </c>
      <c r="F1348" s="61" t="s">
        <v>5480</v>
      </c>
    </row>
    <row r="1349" spans="1:6" x14ac:dyDescent="0.25">
      <c r="A1349" s="15" t="s">
        <v>4292</v>
      </c>
      <c r="B1349" s="15" t="s">
        <v>4318</v>
      </c>
      <c r="C1349" s="54">
        <v>196.85274699999999</v>
      </c>
      <c r="D1349" s="26">
        <v>0.16388888888888889</v>
      </c>
      <c r="F1349" s="61" t="s">
        <v>5481</v>
      </c>
    </row>
    <row r="1350" spans="1:6" x14ac:dyDescent="0.25">
      <c r="A1350" s="15" t="s">
        <v>4292</v>
      </c>
      <c r="B1350" s="15" t="s">
        <v>4319</v>
      </c>
      <c r="C1350" s="52">
        <v>190.490512</v>
      </c>
      <c r="D1350" s="25">
        <v>0.15972222222222224</v>
      </c>
      <c r="F1350" s="61" t="s">
        <v>5482</v>
      </c>
    </row>
    <row r="1351" spans="1:6" x14ac:dyDescent="0.25">
      <c r="A1351" s="15" t="s">
        <v>4292</v>
      </c>
      <c r="B1351" s="15" t="s">
        <v>4320</v>
      </c>
      <c r="C1351" s="54">
        <v>203.827035</v>
      </c>
      <c r="D1351" s="26">
        <v>0.17083333333333331</v>
      </c>
      <c r="F1351" s="61" t="s">
        <v>5483</v>
      </c>
    </row>
    <row r="1352" spans="1:6" x14ac:dyDescent="0.25">
      <c r="A1352" s="15" t="s">
        <v>4292</v>
      </c>
      <c r="B1352" s="15" t="s">
        <v>4321</v>
      </c>
      <c r="C1352" s="52">
        <v>200.35915299999999</v>
      </c>
      <c r="D1352" s="25">
        <v>0.1673611111111111</v>
      </c>
      <c r="F1352" s="61" t="s">
        <v>5484</v>
      </c>
    </row>
    <row r="1353" spans="1:6" x14ac:dyDescent="0.25">
      <c r="A1353" s="15" t="s">
        <v>4293</v>
      </c>
      <c r="B1353" s="15">
        <v>3423909</v>
      </c>
      <c r="C1353" s="54">
        <v>60.422905999999998</v>
      </c>
      <c r="D1353" s="26">
        <v>5.4166666666666669E-2</v>
      </c>
      <c r="F1353" s="61" t="s">
        <v>7038</v>
      </c>
    </row>
    <row r="1354" spans="1:6" x14ac:dyDescent="0.25">
      <c r="A1354" s="15" t="s">
        <v>4293</v>
      </c>
      <c r="B1354" s="15">
        <v>3403208</v>
      </c>
      <c r="C1354" s="52">
        <v>173.18030999999999</v>
      </c>
      <c r="D1354" s="25">
        <v>0.14375000000000002</v>
      </c>
      <c r="F1354" s="61" t="s">
        <v>7143</v>
      </c>
    </row>
    <row r="1355" spans="1:6" x14ac:dyDescent="0.25">
      <c r="A1355" s="15" t="s">
        <v>4293</v>
      </c>
      <c r="B1355" s="15">
        <v>3424402</v>
      </c>
      <c r="C1355" s="54">
        <v>58.300297</v>
      </c>
      <c r="D1355" s="26">
        <v>6.5972222222222224E-2</v>
      </c>
      <c r="F1355" s="61" t="s">
        <v>7250</v>
      </c>
    </row>
    <row r="1356" spans="1:6" x14ac:dyDescent="0.25">
      <c r="A1356" s="15" t="s">
        <v>4293</v>
      </c>
      <c r="B1356" s="15" t="s">
        <v>4271</v>
      </c>
      <c r="C1356" s="52">
        <v>63.265687</v>
      </c>
      <c r="D1356" s="25">
        <v>5.8333333333333327E-2</v>
      </c>
      <c r="F1356" s="61" t="s">
        <v>5485</v>
      </c>
    </row>
    <row r="1357" spans="1:6" x14ac:dyDescent="0.25">
      <c r="A1357" s="15" t="s">
        <v>4293</v>
      </c>
      <c r="B1357" s="15" t="s">
        <v>4272</v>
      </c>
      <c r="C1357" s="54">
        <v>67.033691000000005</v>
      </c>
      <c r="D1357" s="26">
        <v>6.3888888888888884E-2</v>
      </c>
      <c r="F1357" s="61" t="s">
        <v>5486</v>
      </c>
    </row>
    <row r="1358" spans="1:6" x14ac:dyDescent="0.25">
      <c r="A1358" s="15" t="s">
        <v>4293</v>
      </c>
      <c r="B1358" s="15" t="s">
        <v>4273</v>
      </c>
      <c r="C1358" s="52">
        <v>65.012986999999995</v>
      </c>
      <c r="D1358" s="25">
        <v>6.1111111111111116E-2</v>
      </c>
      <c r="F1358" s="61" t="s">
        <v>5487</v>
      </c>
    </row>
    <row r="1359" spans="1:6" x14ac:dyDescent="0.25">
      <c r="A1359" s="15" t="s">
        <v>4293</v>
      </c>
      <c r="B1359" s="15" t="s">
        <v>4274</v>
      </c>
      <c r="C1359" s="54">
        <v>75.169944999999998</v>
      </c>
      <c r="D1359" s="26">
        <v>6.805555555555555E-2</v>
      </c>
      <c r="F1359" s="61" t="s">
        <v>5488</v>
      </c>
    </row>
    <row r="1360" spans="1:6" x14ac:dyDescent="0.25">
      <c r="A1360" s="15" t="s">
        <v>4293</v>
      </c>
      <c r="B1360" s="15" t="s">
        <v>4275</v>
      </c>
      <c r="C1360" s="52">
        <v>75.263150999999993</v>
      </c>
      <c r="D1360" s="25">
        <v>6.805555555555555E-2</v>
      </c>
      <c r="F1360" s="61" t="s">
        <v>5489</v>
      </c>
    </row>
    <row r="1361" spans="1:6" x14ac:dyDescent="0.25">
      <c r="A1361" s="15" t="s">
        <v>4293</v>
      </c>
      <c r="B1361" s="15" t="s">
        <v>4276</v>
      </c>
      <c r="C1361" s="54">
        <v>57.638534999999997</v>
      </c>
      <c r="D1361" s="26">
        <v>5.6944444444444443E-2</v>
      </c>
      <c r="F1361" s="61" t="s">
        <v>5490</v>
      </c>
    </row>
    <row r="1362" spans="1:6" x14ac:dyDescent="0.25">
      <c r="A1362" s="15" t="s">
        <v>4293</v>
      </c>
      <c r="B1362" s="15" t="s">
        <v>4277</v>
      </c>
      <c r="C1362" s="52">
        <v>62.356617999999997</v>
      </c>
      <c r="D1362" s="25">
        <v>5.7638888888888885E-2</v>
      </c>
      <c r="F1362" s="61" t="s">
        <v>5491</v>
      </c>
    </row>
    <row r="1363" spans="1:6" x14ac:dyDescent="0.25">
      <c r="A1363" s="15" t="s">
        <v>4293</v>
      </c>
      <c r="B1363" s="15" t="s">
        <v>4278</v>
      </c>
      <c r="C1363" s="54">
        <v>71.386407000000005</v>
      </c>
      <c r="D1363" s="26">
        <v>6.5277777777777782E-2</v>
      </c>
      <c r="F1363" s="61" t="s">
        <v>5492</v>
      </c>
    </row>
    <row r="1364" spans="1:6" x14ac:dyDescent="0.25">
      <c r="A1364" s="15" t="s">
        <v>4293</v>
      </c>
      <c r="B1364" s="15" t="s">
        <v>4279</v>
      </c>
      <c r="C1364" s="52">
        <v>83.398785000000004</v>
      </c>
      <c r="D1364" s="25">
        <v>7.6388888888888895E-2</v>
      </c>
      <c r="F1364" s="61" t="s">
        <v>5493</v>
      </c>
    </row>
    <row r="1365" spans="1:6" x14ac:dyDescent="0.25">
      <c r="A1365" s="15" t="s">
        <v>4293</v>
      </c>
      <c r="B1365" s="15" t="s">
        <v>4280</v>
      </c>
      <c r="C1365" s="54">
        <v>16.601837</v>
      </c>
      <c r="D1365" s="26">
        <v>3.125E-2</v>
      </c>
      <c r="F1365" s="61" t="s">
        <v>5494</v>
      </c>
    </row>
    <row r="1366" spans="1:6" x14ac:dyDescent="0.25">
      <c r="A1366" s="15" t="s">
        <v>4293</v>
      </c>
      <c r="B1366" s="15" t="s">
        <v>4281</v>
      </c>
      <c r="C1366" s="52">
        <v>100.62013</v>
      </c>
      <c r="D1366" s="25">
        <v>8.4722222222222213E-2</v>
      </c>
      <c r="F1366" s="61" t="s">
        <v>5495</v>
      </c>
    </row>
    <row r="1367" spans="1:6" x14ac:dyDescent="0.25">
      <c r="A1367" s="15" t="s">
        <v>4293</v>
      </c>
      <c r="B1367" s="15" t="s">
        <v>4282</v>
      </c>
      <c r="C1367" s="54">
        <v>57.341518999999998</v>
      </c>
      <c r="D1367" s="26">
        <v>6.5972222222222224E-2</v>
      </c>
      <c r="F1367" s="61" t="s">
        <v>5496</v>
      </c>
    </row>
    <row r="1368" spans="1:6" x14ac:dyDescent="0.25">
      <c r="A1368" s="15" t="s">
        <v>4293</v>
      </c>
      <c r="B1368" s="15" t="s">
        <v>4283</v>
      </c>
      <c r="C1368" s="52">
        <v>65.225496000000007</v>
      </c>
      <c r="D1368" s="25">
        <v>7.1527777777777787E-2</v>
      </c>
      <c r="F1368" s="61" t="s">
        <v>5497</v>
      </c>
    </row>
    <row r="1369" spans="1:6" x14ac:dyDescent="0.25">
      <c r="A1369" s="15" t="s">
        <v>4293</v>
      </c>
      <c r="B1369" s="15" t="s">
        <v>4284</v>
      </c>
      <c r="C1369" s="54">
        <v>63.288055999999997</v>
      </c>
      <c r="D1369" s="26">
        <v>6.8749999999999992E-2</v>
      </c>
      <c r="F1369" s="61" t="s">
        <v>5498</v>
      </c>
    </row>
    <row r="1370" spans="1:6" x14ac:dyDescent="0.25">
      <c r="A1370" s="15" t="s">
        <v>4293</v>
      </c>
      <c r="B1370" s="15" t="s">
        <v>4285</v>
      </c>
      <c r="C1370" s="52">
        <v>65.666670999999994</v>
      </c>
      <c r="D1370" s="25">
        <v>7.4999999999999997E-2</v>
      </c>
      <c r="F1370" s="61" t="s">
        <v>5499</v>
      </c>
    </row>
    <row r="1371" spans="1:6" x14ac:dyDescent="0.25">
      <c r="A1371" s="15" t="s">
        <v>4293</v>
      </c>
      <c r="B1371" s="15" t="s">
        <v>4286</v>
      </c>
      <c r="C1371" s="54">
        <v>64.597288000000006</v>
      </c>
      <c r="D1371" s="26">
        <v>7.2916666666666671E-2</v>
      </c>
      <c r="F1371" s="61" t="s">
        <v>5500</v>
      </c>
    </row>
    <row r="1372" spans="1:6" x14ac:dyDescent="0.25">
      <c r="A1372" s="15" t="s">
        <v>4293</v>
      </c>
      <c r="B1372" s="15" t="s">
        <v>4287</v>
      </c>
      <c r="C1372" s="52">
        <v>65.653001000000003</v>
      </c>
      <c r="D1372" s="25">
        <v>7.1527777777777787E-2</v>
      </c>
      <c r="F1372" s="61" t="s">
        <v>5501</v>
      </c>
    </row>
    <row r="1373" spans="1:6" x14ac:dyDescent="0.25">
      <c r="A1373" s="15" t="s">
        <v>4293</v>
      </c>
      <c r="B1373" s="15" t="s">
        <v>4288</v>
      </c>
      <c r="C1373" s="54">
        <v>70.481066999999996</v>
      </c>
      <c r="D1373" s="26">
        <v>7.6388888888888895E-2</v>
      </c>
      <c r="F1373" s="61" t="s">
        <v>5502</v>
      </c>
    </row>
    <row r="1374" spans="1:6" x14ac:dyDescent="0.25">
      <c r="A1374" s="15" t="s">
        <v>4293</v>
      </c>
      <c r="B1374" s="15" t="s">
        <v>4289</v>
      </c>
      <c r="C1374" s="52">
        <v>8.8526969999999992</v>
      </c>
      <c r="D1374" s="25">
        <v>2.2222222222222223E-2</v>
      </c>
      <c r="F1374" s="61" t="s">
        <v>5503</v>
      </c>
    </row>
    <row r="1375" spans="1:6" x14ac:dyDescent="0.25">
      <c r="A1375" s="15" t="s">
        <v>4293</v>
      </c>
      <c r="B1375" s="15" t="s">
        <v>4290</v>
      </c>
      <c r="C1375" s="54">
        <v>6.2317470000000004</v>
      </c>
      <c r="D1375" s="26">
        <v>1.3888888888888888E-2</v>
      </c>
      <c r="F1375" s="61" t="s">
        <v>5504</v>
      </c>
    </row>
    <row r="1376" spans="1:6" x14ac:dyDescent="0.25">
      <c r="A1376" s="15" t="s">
        <v>4293</v>
      </c>
      <c r="B1376" s="15" t="s">
        <v>4291</v>
      </c>
      <c r="C1376" s="52">
        <v>6.6499309999999996</v>
      </c>
      <c r="D1376" s="25">
        <v>1.3888888888888888E-2</v>
      </c>
      <c r="F1376" s="61" t="s">
        <v>5505</v>
      </c>
    </row>
    <row r="1377" spans="1:6" x14ac:dyDescent="0.25">
      <c r="A1377" s="15" t="s">
        <v>4293</v>
      </c>
      <c r="B1377" s="15" t="s">
        <v>4292</v>
      </c>
      <c r="C1377" s="54">
        <v>6.4088380000000003</v>
      </c>
      <c r="D1377" s="26">
        <v>1.4583333333333332E-2</v>
      </c>
      <c r="F1377" s="61" t="s">
        <v>5506</v>
      </c>
    </row>
    <row r="1378" spans="1:6" x14ac:dyDescent="0.25">
      <c r="A1378" s="15" t="s">
        <v>4293</v>
      </c>
      <c r="B1378" s="15" t="s">
        <v>4293</v>
      </c>
      <c r="C1378" s="52">
        <v>0</v>
      </c>
      <c r="D1378" s="25">
        <v>0</v>
      </c>
      <c r="F1378" s="61" t="s">
        <v>5507</v>
      </c>
    </row>
    <row r="1379" spans="1:6" x14ac:dyDescent="0.25">
      <c r="A1379" s="15" t="s">
        <v>4293</v>
      </c>
      <c r="B1379" s="15" t="s">
        <v>4294</v>
      </c>
      <c r="C1379" s="54">
        <v>1.63856</v>
      </c>
      <c r="D1379" s="26">
        <v>5.5555555555555558E-3</v>
      </c>
      <c r="F1379" s="61" t="s">
        <v>5508</v>
      </c>
    </row>
    <row r="1380" spans="1:6" x14ac:dyDescent="0.25">
      <c r="A1380" s="15" t="s">
        <v>4293</v>
      </c>
      <c r="B1380" s="15" t="s">
        <v>4295</v>
      </c>
      <c r="C1380" s="52">
        <v>3.0347840000000001</v>
      </c>
      <c r="D1380" s="25">
        <v>9.7222222222222224E-3</v>
      </c>
      <c r="F1380" s="61" t="s">
        <v>5509</v>
      </c>
    </row>
    <row r="1381" spans="1:6" x14ac:dyDescent="0.25">
      <c r="A1381" s="15" t="s">
        <v>4293</v>
      </c>
      <c r="B1381" s="15" t="s">
        <v>4296</v>
      </c>
      <c r="C1381" s="54">
        <v>6.9892010000000004</v>
      </c>
      <c r="D1381" s="26">
        <v>1.1805555555555555E-2</v>
      </c>
      <c r="F1381" s="61" t="s">
        <v>5510</v>
      </c>
    </row>
    <row r="1382" spans="1:6" x14ac:dyDescent="0.25">
      <c r="A1382" s="15" t="s">
        <v>4293</v>
      </c>
      <c r="B1382" s="15" t="s">
        <v>4297</v>
      </c>
      <c r="C1382" s="52">
        <v>2.4382670000000002</v>
      </c>
      <c r="D1382" s="25">
        <v>6.2499999999999995E-3</v>
      </c>
      <c r="F1382" s="61" t="s">
        <v>5511</v>
      </c>
    </row>
    <row r="1383" spans="1:6" x14ac:dyDescent="0.25">
      <c r="A1383" s="15" t="s">
        <v>4293</v>
      </c>
      <c r="B1383" s="15" t="s">
        <v>4298</v>
      </c>
      <c r="C1383" s="54">
        <v>12.209974000000001</v>
      </c>
      <c r="D1383" s="26">
        <v>2.4305555555555556E-2</v>
      </c>
      <c r="F1383" s="61" t="s">
        <v>5512</v>
      </c>
    </row>
    <row r="1384" spans="1:6" x14ac:dyDescent="0.25">
      <c r="A1384" s="15" t="s">
        <v>4293</v>
      </c>
      <c r="B1384" s="15" t="s">
        <v>4299</v>
      </c>
      <c r="C1384" s="52">
        <v>16.853493</v>
      </c>
      <c r="D1384" s="25">
        <v>3.0555555555555555E-2</v>
      </c>
      <c r="F1384" s="61" t="s">
        <v>5513</v>
      </c>
    </row>
    <row r="1385" spans="1:6" x14ac:dyDescent="0.25">
      <c r="A1385" s="15" t="s">
        <v>4293</v>
      </c>
      <c r="B1385" s="15" t="s">
        <v>4300</v>
      </c>
      <c r="C1385" s="54">
        <v>25.133906</v>
      </c>
      <c r="D1385" s="26">
        <v>4.4444444444444446E-2</v>
      </c>
      <c r="F1385" s="61" t="s">
        <v>5514</v>
      </c>
    </row>
    <row r="1386" spans="1:6" x14ac:dyDescent="0.25">
      <c r="A1386" s="15" t="s">
        <v>4293</v>
      </c>
      <c r="B1386" s="15" t="s">
        <v>4301</v>
      </c>
      <c r="C1386" s="52">
        <v>6.5685310000000001</v>
      </c>
      <c r="D1386" s="25">
        <v>1.8055555555555557E-2</v>
      </c>
      <c r="F1386" s="61" t="s">
        <v>5515</v>
      </c>
    </row>
    <row r="1387" spans="1:6" x14ac:dyDescent="0.25">
      <c r="A1387" s="15" t="s">
        <v>4293</v>
      </c>
      <c r="B1387" s="15" t="s">
        <v>4302</v>
      </c>
      <c r="C1387" s="54">
        <v>12.29386</v>
      </c>
      <c r="D1387" s="26">
        <v>2.361111111111111E-2</v>
      </c>
      <c r="F1387" s="61" t="s">
        <v>5516</v>
      </c>
    </row>
    <row r="1388" spans="1:6" x14ac:dyDescent="0.25">
      <c r="A1388" s="15" t="s">
        <v>4293</v>
      </c>
      <c r="B1388" s="15" t="s">
        <v>4303</v>
      </c>
      <c r="C1388" s="52">
        <v>15.714517000000001</v>
      </c>
      <c r="D1388" s="25">
        <v>3.6805555555555557E-2</v>
      </c>
      <c r="F1388" s="61" t="s">
        <v>5517</v>
      </c>
    </row>
    <row r="1389" spans="1:6" x14ac:dyDescent="0.25">
      <c r="A1389" s="15" t="s">
        <v>4293</v>
      </c>
      <c r="B1389" s="15" t="s">
        <v>4304</v>
      </c>
      <c r="C1389" s="54">
        <v>18.137249000000001</v>
      </c>
      <c r="D1389" s="26">
        <v>2.6388888888888889E-2</v>
      </c>
      <c r="F1389" s="61" t="s">
        <v>5518</v>
      </c>
    </row>
    <row r="1390" spans="1:6" x14ac:dyDescent="0.25">
      <c r="A1390" s="15" t="s">
        <v>4293</v>
      </c>
      <c r="B1390" s="15" t="s">
        <v>4305</v>
      </c>
      <c r="C1390" s="52">
        <v>18.733145</v>
      </c>
      <c r="D1390" s="25">
        <v>2.5694444444444447E-2</v>
      </c>
      <c r="F1390" s="61" t="s">
        <v>5519</v>
      </c>
    </row>
    <row r="1391" spans="1:6" x14ac:dyDescent="0.25">
      <c r="A1391" s="15" t="s">
        <v>4293</v>
      </c>
      <c r="B1391" s="15" t="s">
        <v>4306</v>
      </c>
      <c r="C1391" s="54">
        <v>150.116197</v>
      </c>
      <c r="D1391" s="26">
        <v>0.12847222222222224</v>
      </c>
      <c r="F1391" s="61" t="s">
        <v>5520</v>
      </c>
    </row>
    <row r="1392" spans="1:6" x14ac:dyDescent="0.25">
      <c r="A1392" s="15" t="s">
        <v>4293</v>
      </c>
      <c r="B1392" s="15" t="s">
        <v>4307</v>
      </c>
      <c r="C1392" s="52">
        <v>149.019474</v>
      </c>
      <c r="D1392" s="25">
        <v>0.12708333333333333</v>
      </c>
      <c r="F1392" s="61" t="s">
        <v>5521</v>
      </c>
    </row>
    <row r="1393" spans="1:6" x14ac:dyDescent="0.25">
      <c r="A1393" s="15" t="s">
        <v>4293</v>
      </c>
      <c r="B1393" s="15" t="s">
        <v>4308</v>
      </c>
      <c r="C1393" s="54">
        <v>147.24296899999999</v>
      </c>
      <c r="D1393" s="26">
        <v>0.125</v>
      </c>
      <c r="F1393" s="61" t="s">
        <v>5522</v>
      </c>
    </row>
    <row r="1394" spans="1:6" x14ac:dyDescent="0.25">
      <c r="A1394" s="15" t="s">
        <v>4293</v>
      </c>
      <c r="B1394" s="15" t="s">
        <v>4309</v>
      </c>
      <c r="C1394" s="52">
        <v>91.487194000000002</v>
      </c>
      <c r="D1394" s="25">
        <v>9.5833333333333326E-2</v>
      </c>
      <c r="F1394" s="61" t="s">
        <v>5523</v>
      </c>
    </row>
    <row r="1395" spans="1:6" x14ac:dyDescent="0.25">
      <c r="A1395" s="15" t="s">
        <v>4293</v>
      </c>
      <c r="B1395" s="15" t="s">
        <v>4310</v>
      </c>
      <c r="C1395" s="54">
        <v>96.342600000000004</v>
      </c>
      <c r="D1395" s="26">
        <v>0.10416666666666667</v>
      </c>
      <c r="F1395" s="61" t="s">
        <v>5524</v>
      </c>
    </row>
    <row r="1396" spans="1:6" x14ac:dyDescent="0.25">
      <c r="A1396" s="15" t="s">
        <v>4293</v>
      </c>
      <c r="B1396" s="15" t="s">
        <v>4311</v>
      </c>
      <c r="C1396" s="52">
        <v>82.525756000000001</v>
      </c>
      <c r="D1396" s="25">
        <v>9.0277777777777776E-2</v>
      </c>
      <c r="F1396" s="61" t="s">
        <v>5525</v>
      </c>
    </row>
    <row r="1397" spans="1:6" x14ac:dyDescent="0.25">
      <c r="A1397" s="15" t="s">
        <v>4293</v>
      </c>
      <c r="B1397" s="15" t="s">
        <v>4312</v>
      </c>
      <c r="C1397" s="54">
        <v>79.054767999999996</v>
      </c>
      <c r="D1397" s="26">
        <v>8.2638888888888887E-2</v>
      </c>
      <c r="F1397" s="61" t="s">
        <v>5526</v>
      </c>
    </row>
    <row r="1398" spans="1:6" x14ac:dyDescent="0.25">
      <c r="A1398" s="15" t="s">
        <v>4293</v>
      </c>
      <c r="B1398" s="15" t="s">
        <v>4313</v>
      </c>
      <c r="C1398" s="52">
        <v>101.803845</v>
      </c>
      <c r="D1398" s="25">
        <v>0.10416666666666667</v>
      </c>
      <c r="F1398" s="61" t="s">
        <v>5527</v>
      </c>
    </row>
    <row r="1399" spans="1:6" x14ac:dyDescent="0.25">
      <c r="A1399" s="15" t="s">
        <v>4293</v>
      </c>
      <c r="B1399" s="15" t="s">
        <v>4314</v>
      </c>
      <c r="C1399" s="54">
        <v>62.102477</v>
      </c>
      <c r="D1399" s="26">
        <v>6.3194444444444442E-2</v>
      </c>
      <c r="F1399" s="61" t="s">
        <v>5528</v>
      </c>
    </row>
    <row r="1400" spans="1:6" x14ac:dyDescent="0.25">
      <c r="A1400" s="15" t="s">
        <v>4293</v>
      </c>
      <c r="B1400" s="15" t="s">
        <v>4315</v>
      </c>
      <c r="C1400" s="52">
        <v>62.880434999999999</v>
      </c>
      <c r="D1400" s="25">
        <v>6.5972222222222224E-2</v>
      </c>
      <c r="F1400" s="61" t="s">
        <v>5529</v>
      </c>
    </row>
    <row r="1401" spans="1:6" x14ac:dyDescent="0.25">
      <c r="A1401" s="15" t="s">
        <v>4293</v>
      </c>
      <c r="B1401" s="15" t="s">
        <v>4316</v>
      </c>
      <c r="C1401" s="54">
        <v>60.183678</v>
      </c>
      <c r="D1401" s="26">
        <v>6.0416666666666667E-2</v>
      </c>
      <c r="F1401" s="61" t="s">
        <v>5530</v>
      </c>
    </row>
    <row r="1402" spans="1:6" x14ac:dyDescent="0.25">
      <c r="A1402" s="15" t="s">
        <v>4293</v>
      </c>
      <c r="B1402" s="15" t="s">
        <v>4317</v>
      </c>
      <c r="C1402" s="52">
        <v>196.572508</v>
      </c>
      <c r="D1402" s="25">
        <v>0.16250000000000001</v>
      </c>
      <c r="F1402" s="61" t="s">
        <v>5531</v>
      </c>
    </row>
    <row r="1403" spans="1:6" x14ac:dyDescent="0.25">
      <c r="A1403" s="15" t="s">
        <v>4293</v>
      </c>
      <c r="B1403" s="15" t="s">
        <v>4318</v>
      </c>
      <c r="C1403" s="54">
        <v>205.683696</v>
      </c>
      <c r="D1403" s="26">
        <v>0.17083333333333331</v>
      </c>
      <c r="F1403" s="61" t="s">
        <v>5532</v>
      </c>
    </row>
    <row r="1404" spans="1:6" x14ac:dyDescent="0.25">
      <c r="A1404" s="15" t="s">
        <v>4293</v>
      </c>
      <c r="B1404" s="15" t="s">
        <v>4319</v>
      </c>
      <c r="C1404" s="52">
        <v>199.321461</v>
      </c>
      <c r="D1404" s="25">
        <v>0.16666666666666666</v>
      </c>
      <c r="F1404" s="61" t="s">
        <v>5533</v>
      </c>
    </row>
    <row r="1405" spans="1:6" x14ac:dyDescent="0.25">
      <c r="A1405" s="15" t="s">
        <v>4293</v>
      </c>
      <c r="B1405" s="15" t="s">
        <v>4320</v>
      </c>
      <c r="C1405" s="54">
        <v>205.56190699999999</v>
      </c>
      <c r="D1405" s="26">
        <v>0.17013888888888887</v>
      </c>
      <c r="F1405" s="61" t="s">
        <v>5534</v>
      </c>
    </row>
    <row r="1406" spans="1:6" x14ac:dyDescent="0.25">
      <c r="A1406" s="15" t="s">
        <v>4293</v>
      </c>
      <c r="B1406" s="15" t="s">
        <v>4321</v>
      </c>
      <c r="C1406" s="52">
        <v>202.09402600000001</v>
      </c>
      <c r="D1406" s="25">
        <v>0.1673611111111111</v>
      </c>
      <c r="F1406" s="61" t="s">
        <v>5535</v>
      </c>
    </row>
    <row r="1407" spans="1:6" x14ac:dyDescent="0.25">
      <c r="A1407" s="15" t="s">
        <v>4294</v>
      </c>
      <c r="B1407" s="15">
        <v>3423909</v>
      </c>
      <c r="C1407" s="54">
        <v>61.083426000000003</v>
      </c>
      <c r="D1407" s="26">
        <v>5.7638888888888885E-2</v>
      </c>
      <c r="F1407" s="61" t="s">
        <v>7039</v>
      </c>
    </row>
    <row r="1408" spans="1:6" x14ac:dyDescent="0.25">
      <c r="A1408" s="15" t="s">
        <v>4294</v>
      </c>
      <c r="B1408" s="15">
        <v>3403208</v>
      </c>
      <c r="C1408" s="52">
        <v>173.20578599999999</v>
      </c>
      <c r="D1408" s="25">
        <v>0.14861111111111111</v>
      </c>
      <c r="F1408" s="61" t="s">
        <v>7144</v>
      </c>
    </row>
    <row r="1409" spans="1:6" x14ac:dyDescent="0.25">
      <c r="A1409" s="15" t="s">
        <v>4294</v>
      </c>
      <c r="B1409" s="15">
        <v>3424402</v>
      </c>
      <c r="C1409" s="54">
        <v>57.906346999999997</v>
      </c>
      <c r="D1409" s="26">
        <v>6.5277777777777782E-2</v>
      </c>
      <c r="F1409" s="61" t="s">
        <v>7251</v>
      </c>
    </row>
    <row r="1410" spans="1:6" x14ac:dyDescent="0.25">
      <c r="A1410" s="15" t="s">
        <v>4294</v>
      </c>
      <c r="B1410" s="15" t="s">
        <v>4271</v>
      </c>
      <c r="C1410" s="52">
        <v>60.807535999999999</v>
      </c>
      <c r="D1410" s="25">
        <v>5.9027777777777783E-2</v>
      </c>
      <c r="F1410" s="61" t="s">
        <v>5536</v>
      </c>
    </row>
    <row r="1411" spans="1:6" x14ac:dyDescent="0.25">
      <c r="A1411" s="15" t="s">
        <v>4294</v>
      </c>
      <c r="B1411" s="15" t="s">
        <v>4272</v>
      </c>
      <c r="C1411" s="54">
        <v>64.595423999999994</v>
      </c>
      <c r="D1411" s="26">
        <v>6.458333333333334E-2</v>
      </c>
      <c r="F1411" s="61" t="s">
        <v>5537</v>
      </c>
    </row>
    <row r="1412" spans="1:6" x14ac:dyDescent="0.25">
      <c r="A1412" s="15" t="s">
        <v>4294</v>
      </c>
      <c r="B1412" s="15" t="s">
        <v>4273</v>
      </c>
      <c r="C1412" s="52">
        <v>62.574719999999999</v>
      </c>
      <c r="D1412" s="25">
        <v>6.1111111111111116E-2</v>
      </c>
      <c r="F1412" s="61" t="s">
        <v>5538</v>
      </c>
    </row>
    <row r="1413" spans="1:6" x14ac:dyDescent="0.25">
      <c r="A1413" s="15" t="s">
        <v>4294</v>
      </c>
      <c r="B1413" s="15" t="s">
        <v>4274</v>
      </c>
      <c r="C1413" s="54">
        <v>75.830465000000004</v>
      </c>
      <c r="D1413" s="26">
        <v>7.0833333333333331E-2</v>
      </c>
      <c r="F1413" s="61" t="s">
        <v>5539</v>
      </c>
    </row>
    <row r="1414" spans="1:6" x14ac:dyDescent="0.25">
      <c r="A1414" s="15" t="s">
        <v>4294</v>
      </c>
      <c r="B1414" s="15" t="s">
        <v>4275</v>
      </c>
      <c r="C1414" s="52">
        <v>75.923670999999999</v>
      </c>
      <c r="D1414" s="25">
        <v>7.1527777777777787E-2</v>
      </c>
      <c r="F1414" s="61" t="s">
        <v>5540</v>
      </c>
    </row>
    <row r="1415" spans="1:6" x14ac:dyDescent="0.25">
      <c r="A1415" s="15" t="s">
        <v>4294</v>
      </c>
      <c r="B1415" s="15" t="s">
        <v>4276</v>
      </c>
      <c r="C1415" s="54">
        <v>55.200268000000001</v>
      </c>
      <c r="D1415" s="26">
        <v>5.7638888888888885E-2</v>
      </c>
      <c r="F1415" s="61" t="s">
        <v>5541</v>
      </c>
    </row>
    <row r="1416" spans="1:6" x14ac:dyDescent="0.25">
      <c r="A1416" s="15" t="s">
        <v>4294</v>
      </c>
      <c r="B1416" s="15" t="s">
        <v>4277</v>
      </c>
      <c r="C1416" s="52">
        <v>63.017136999999998</v>
      </c>
      <c r="D1416" s="25">
        <v>6.1111111111111116E-2</v>
      </c>
      <c r="F1416" s="61" t="s">
        <v>5542</v>
      </c>
    </row>
    <row r="1417" spans="1:6" x14ac:dyDescent="0.25">
      <c r="A1417" s="15" t="s">
        <v>4294</v>
      </c>
      <c r="B1417" s="15" t="s">
        <v>4278</v>
      </c>
      <c r="C1417" s="54">
        <v>72.046925999999999</v>
      </c>
      <c r="D1417" s="26">
        <v>6.805555555555555E-2</v>
      </c>
      <c r="F1417" s="61" t="s">
        <v>5543</v>
      </c>
    </row>
    <row r="1418" spans="1:6" x14ac:dyDescent="0.25">
      <c r="A1418" s="15" t="s">
        <v>4294</v>
      </c>
      <c r="B1418" s="15" t="s">
        <v>4279</v>
      </c>
      <c r="C1418" s="52">
        <v>83.424261000000001</v>
      </c>
      <c r="D1418" s="25">
        <v>8.0555555555555561E-2</v>
      </c>
      <c r="F1418" s="61" t="s">
        <v>5544</v>
      </c>
    </row>
    <row r="1419" spans="1:6" x14ac:dyDescent="0.25">
      <c r="A1419" s="15" t="s">
        <v>4294</v>
      </c>
      <c r="B1419" s="15" t="s">
        <v>4280</v>
      </c>
      <c r="C1419" s="54">
        <v>16.755936999999999</v>
      </c>
      <c r="D1419" s="26">
        <v>3.0555555555555555E-2</v>
      </c>
      <c r="F1419" s="61" t="s">
        <v>5545</v>
      </c>
    </row>
    <row r="1420" spans="1:6" x14ac:dyDescent="0.25">
      <c r="A1420" s="15" t="s">
        <v>4294</v>
      </c>
      <c r="B1420" s="15" t="s">
        <v>4281</v>
      </c>
      <c r="C1420" s="52">
        <v>100.645606</v>
      </c>
      <c r="D1420" s="25">
        <v>8.9583333333333334E-2</v>
      </c>
      <c r="F1420" s="61" t="s">
        <v>5546</v>
      </c>
    </row>
    <row r="1421" spans="1:6" x14ac:dyDescent="0.25">
      <c r="A1421" s="15" t="s">
        <v>4294</v>
      </c>
      <c r="B1421" s="15" t="s">
        <v>4282</v>
      </c>
      <c r="C1421" s="54">
        <v>56.367828000000003</v>
      </c>
      <c r="D1421" s="26">
        <v>6.458333333333334E-2</v>
      </c>
      <c r="F1421" s="61" t="s">
        <v>5547</v>
      </c>
    </row>
    <row r="1422" spans="1:6" x14ac:dyDescent="0.25">
      <c r="A1422" s="15" t="s">
        <v>4294</v>
      </c>
      <c r="B1422" s="15" t="s">
        <v>4283</v>
      </c>
      <c r="C1422" s="52">
        <v>64.831546000000003</v>
      </c>
      <c r="D1422" s="25">
        <v>7.0833333333333331E-2</v>
      </c>
      <c r="F1422" s="61" t="s">
        <v>5548</v>
      </c>
    </row>
    <row r="1423" spans="1:6" x14ac:dyDescent="0.25">
      <c r="A1423" s="15" t="s">
        <v>4294</v>
      </c>
      <c r="B1423" s="15" t="s">
        <v>4284</v>
      </c>
      <c r="C1423" s="54">
        <v>62.894106000000001</v>
      </c>
      <c r="D1423" s="26">
        <v>6.7361111111111108E-2</v>
      </c>
      <c r="F1423" s="61" t="s">
        <v>5549</v>
      </c>
    </row>
    <row r="1424" spans="1:6" x14ac:dyDescent="0.25">
      <c r="A1424" s="15" t="s">
        <v>4294</v>
      </c>
      <c r="B1424" s="15" t="s">
        <v>4285</v>
      </c>
      <c r="C1424" s="52">
        <v>65.272720000000007</v>
      </c>
      <c r="D1424" s="25">
        <v>7.3611111111111113E-2</v>
      </c>
      <c r="F1424" s="61" t="s">
        <v>5550</v>
      </c>
    </row>
    <row r="1425" spans="1:6" x14ac:dyDescent="0.25">
      <c r="A1425" s="15" t="s">
        <v>4294</v>
      </c>
      <c r="B1425" s="15" t="s">
        <v>4286</v>
      </c>
      <c r="C1425" s="54">
        <v>64.203338000000002</v>
      </c>
      <c r="D1425" s="26">
        <v>7.2222222222222229E-2</v>
      </c>
      <c r="F1425" s="61" t="s">
        <v>5551</v>
      </c>
    </row>
    <row r="1426" spans="1:6" x14ac:dyDescent="0.25">
      <c r="A1426" s="15" t="s">
        <v>4294</v>
      </c>
      <c r="B1426" s="15" t="s">
        <v>4287</v>
      </c>
      <c r="C1426" s="52">
        <v>64.679310000000001</v>
      </c>
      <c r="D1426" s="25">
        <v>6.9444444444444434E-2</v>
      </c>
      <c r="F1426" s="61" t="s">
        <v>5552</v>
      </c>
    </row>
    <row r="1427" spans="1:6" x14ac:dyDescent="0.25">
      <c r="A1427" s="15" t="s">
        <v>4294</v>
      </c>
      <c r="B1427" s="15" t="s">
        <v>4288</v>
      </c>
      <c r="C1427" s="54">
        <v>70.087115999999995</v>
      </c>
      <c r="D1427" s="26">
        <v>7.4999999999999997E-2</v>
      </c>
      <c r="F1427" s="61" t="s">
        <v>5553</v>
      </c>
    </row>
    <row r="1428" spans="1:6" x14ac:dyDescent="0.25">
      <c r="A1428" s="15" t="s">
        <v>4294</v>
      </c>
      <c r="B1428" s="15" t="s">
        <v>4289</v>
      </c>
      <c r="C1428" s="52">
        <v>8.4587470000000007</v>
      </c>
      <c r="D1428" s="25">
        <v>2.0833333333333332E-2</v>
      </c>
      <c r="F1428" s="61" t="s">
        <v>5554</v>
      </c>
    </row>
    <row r="1429" spans="1:6" x14ac:dyDescent="0.25">
      <c r="A1429" s="15" t="s">
        <v>4294</v>
      </c>
      <c r="B1429" s="15" t="s">
        <v>4290</v>
      </c>
      <c r="C1429" s="54">
        <v>7.9517069999999999</v>
      </c>
      <c r="D1429" s="26">
        <v>1.5972222222222224E-2</v>
      </c>
      <c r="F1429" s="61" t="s">
        <v>5555</v>
      </c>
    </row>
    <row r="1430" spans="1:6" x14ac:dyDescent="0.25">
      <c r="A1430" s="15" t="s">
        <v>4294</v>
      </c>
      <c r="B1430" s="15" t="s">
        <v>4291</v>
      </c>
      <c r="C1430" s="52">
        <v>6.8040310000000002</v>
      </c>
      <c r="D1430" s="25">
        <v>1.3194444444444444E-2</v>
      </c>
      <c r="F1430" s="61" t="s">
        <v>5556</v>
      </c>
    </row>
    <row r="1431" spans="1:6" x14ac:dyDescent="0.25">
      <c r="A1431" s="15" t="s">
        <v>4294</v>
      </c>
      <c r="B1431" s="15" t="s">
        <v>4292</v>
      </c>
      <c r="C1431" s="54">
        <v>6.014888</v>
      </c>
      <c r="D1431" s="26">
        <v>1.3194444444444444E-2</v>
      </c>
      <c r="F1431" s="61" t="s">
        <v>5557</v>
      </c>
    </row>
    <row r="1432" spans="1:6" x14ac:dyDescent="0.25">
      <c r="A1432" s="15" t="s">
        <v>4294</v>
      </c>
      <c r="B1432" s="15" t="s">
        <v>4293</v>
      </c>
      <c r="C1432" s="52">
        <v>1.293077</v>
      </c>
      <c r="D1432" s="25">
        <v>6.9444444444444441E-3</v>
      </c>
      <c r="F1432" s="61" t="s">
        <v>5558</v>
      </c>
    </row>
    <row r="1433" spans="1:6" x14ac:dyDescent="0.25">
      <c r="A1433" s="15" t="s">
        <v>4294</v>
      </c>
      <c r="B1433" s="15" t="s">
        <v>4294</v>
      </c>
      <c r="C1433" s="54">
        <v>0</v>
      </c>
      <c r="D1433" s="26">
        <v>0</v>
      </c>
      <c r="F1433" s="61" t="s">
        <v>5559</v>
      </c>
    </row>
    <row r="1434" spans="1:6" x14ac:dyDescent="0.25">
      <c r="A1434" s="15" t="s">
        <v>4294</v>
      </c>
      <c r="B1434" s="15" t="s">
        <v>4295</v>
      </c>
      <c r="C1434" s="52">
        <v>3.6685850000000002</v>
      </c>
      <c r="D1434" s="25">
        <v>1.3194444444444444E-2</v>
      </c>
      <c r="F1434" s="61" t="s">
        <v>5560</v>
      </c>
    </row>
    <row r="1435" spans="1:6" x14ac:dyDescent="0.25">
      <c r="A1435" s="15" t="s">
        <v>4294</v>
      </c>
      <c r="B1435" s="15" t="s">
        <v>4296</v>
      </c>
      <c r="C1435" s="54">
        <v>7.6497200000000003</v>
      </c>
      <c r="D1435" s="26">
        <v>1.5277777777777777E-2</v>
      </c>
      <c r="F1435" s="61" t="s">
        <v>5561</v>
      </c>
    </row>
    <row r="1436" spans="1:6" x14ac:dyDescent="0.25">
      <c r="A1436" s="15" t="s">
        <v>4294</v>
      </c>
      <c r="B1436" s="15" t="s">
        <v>4297</v>
      </c>
      <c r="C1436" s="52">
        <v>3.0720670000000001</v>
      </c>
      <c r="D1436" s="25">
        <v>9.7222222222222224E-3</v>
      </c>
      <c r="F1436" s="61" t="s">
        <v>5562</v>
      </c>
    </row>
    <row r="1437" spans="1:6" x14ac:dyDescent="0.25">
      <c r="A1437" s="15" t="s">
        <v>4294</v>
      </c>
      <c r="B1437" s="15" t="s">
        <v>4298</v>
      </c>
      <c r="C1437" s="54">
        <v>11.816024000000001</v>
      </c>
      <c r="D1437" s="26">
        <v>2.361111111111111E-2</v>
      </c>
      <c r="F1437" s="61" t="s">
        <v>5563</v>
      </c>
    </row>
    <row r="1438" spans="1:6" x14ac:dyDescent="0.25">
      <c r="A1438" s="15" t="s">
        <v>4294</v>
      </c>
      <c r="B1438" s="15" t="s">
        <v>4299</v>
      </c>
      <c r="C1438" s="52">
        <v>16.459541999999999</v>
      </c>
      <c r="D1438" s="25">
        <v>2.9861111111111113E-2</v>
      </c>
      <c r="F1438" s="61" t="s">
        <v>5564</v>
      </c>
    </row>
    <row r="1439" spans="1:6" x14ac:dyDescent="0.25">
      <c r="A1439" s="15" t="s">
        <v>4294</v>
      </c>
      <c r="B1439" s="15" t="s">
        <v>4300</v>
      </c>
      <c r="C1439" s="54">
        <v>24.739955999999999</v>
      </c>
      <c r="D1439" s="26">
        <v>4.3055555555555562E-2</v>
      </c>
      <c r="F1439" s="61" t="s">
        <v>5565</v>
      </c>
    </row>
    <row r="1440" spans="1:6" x14ac:dyDescent="0.25">
      <c r="A1440" s="15" t="s">
        <v>4294</v>
      </c>
      <c r="B1440" s="15" t="s">
        <v>4301</v>
      </c>
      <c r="C1440" s="52">
        <v>7.22905</v>
      </c>
      <c r="D1440" s="25">
        <v>2.1527777777777781E-2</v>
      </c>
      <c r="F1440" s="61" t="s">
        <v>5566</v>
      </c>
    </row>
    <row r="1441" spans="1:6" x14ac:dyDescent="0.25">
      <c r="A1441" s="15" t="s">
        <v>4294</v>
      </c>
      <c r="B1441" s="15" t="s">
        <v>4302</v>
      </c>
      <c r="C1441" s="54">
        <v>12.44796</v>
      </c>
      <c r="D1441" s="26">
        <v>2.2916666666666669E-2</v>
      </c>
      <c r="F1441" s="61" t="s">
        <v>5567</v>
      </c>
    </row>
    <row r="1442" spans="1:6" x14ac:dyDescent="0.25">
      <c r="A1442" s="15" t="s">
        <v>4294</v>
      </c>
      <c r="B1442" s="15" t="s">
        <v>4303</v>
      </c>
      <c r="C1442" s="52">
        <v>15.320565999999999</v>
      </c>
      <c r="D1442" s="25">
        <v>3.6111111111111115E-2</v>
      </c>
      <c r="F1442" s="61" t="s">
        <v>5568</v>
      </c>
    </row>
    <row r="1443" spans="1:6" x14ac:dyDescent="0.25">
      <c r="A1443" s="15" t="s">
        <v>4294</v>
      </c>
      <c r="B1443" s="15" t="s">
        <v>4304</v>
      </c>
      <c r="C1443" s="54">
        <v>18.068276000000001</v>
      </c>
      <c r="D1443" s="26">
        <v>2.9166666666666664E-2</v>
      </c>
      <c r="F1443" s="61" t="s">
        <v>5569</v>
      </c>
    </row>
    <row r="1444" spans="1:6" x14ac:dyDescent="0.25">
      <c r="A1444" s="15" t="s">
        <v>4294</v>
      </c>
      <c r="B1444" s="15" t="s">
        <v>4305</v>
      </c>
      <c r="C1444" s="52">
        <v>18.664173000000002</v>
      </c>
      <c r="D1444" s="25">
        <v>2.8472222222222222E-2</v>
      </c>
      <c r="F1444" s="61" t="s">
        <v>5570</v>
      </c>
    </row>
    <row r="1445" spans="1:6" x14ac:dyDescent="0.25">
      <c r="A1445" s="15" t="s">
        <v>4294</v>
      </c>
      <c r="B1445" s="15" t="s">
        <v>4306</v>
      </c>
      <c r="C1445" s="54">
        <v>150.141673</v>
      </c>
      <c r="D1445" s="26">
        <v>0.13333333333333333</v>
      </c>
      <c r="F1445" s="61" t="s">
        <v>5571</v>
      </c>
    </row>
    <row r="1446" spans="1:6" x14ac:dyDescent="0.25">
      <c r="A1446" s="15" t="s">
        <v>4294</v>
      </c>
      <c r="B1446" s="15" t="s">
        <v>4307</v>
      </c>
      <c r="C1446" s="52">
        <v>149.04495</v>
      </c>
      <c r="D1446" s="25">
        <v>0.13194444444444445</v>
      </c>
      <c r="F1446" s="61" t="s">
        <v>5572</v>
      </c>
    </row>
    <row r="1447" spans="1:6" x14ac:dyDescent="0.25">
      <c r="A1447" s="15" t="s">
        <v>4294</v>
      </c>
      <c r="B1447" s="15" t="s">
        <v>4308</v>
      </c>
      <c r="C1447" s="54">
        <v>147.26844500000001</v>
      </c>
      <c r="D1447" s="26">
        <v>0.12986111111111112</v>
      </c>
      <c r="F1447" s="61" t="s">
        <v>5573</v>
      </c>
    </row>
    <row r="1448" spans="1:6" x14ac:dyDescent="0.25">
      <c r="A1448" s="15" t="s">
        <v>4294</v>
      </c>
      <c r="B1448" s="15" t="s">
        <v>4309</v>
      </c>
      <c r="C1448" s="52">
        <v>91.093243000000001</v>
      </c>
      <c r="D1448" s="25">
        <v>9.4444444444444442E-2</v>
      </c>
      <c r="F1448" s="61" t="s">
        <v>5574</v>
      </c>
    </row>
    <row r="1449" spans="1:6" x14ac:dyDescent="0.25">
      <c r="A1449" s="15" t="s">
        <v>4294</v>
      </c>
      <c r="B1449" s="15" t="s">
        <v>4310</v>
      </c>
      <c r="C1449" s="54">
        <v>95.948650000000001</v>
      </c>
      <c r="D1449" s="26">
        <v>0.10277777777777779</v>
      </c>
      <c r="F1449" s="61" t="s">
        <v>5575</v>
      </c>
    </row>
    <row r="1450" spans="1:6" x14ac:dyDescent="0.25">
      <c r="A1450" s="15" t="s">
        <v>4294</v>
      </c>
      <c r="B1450" s="15" t="s">
        <v>4311</v>
      </c>
      <c r="C1450" s="52">
        <v>82.131805999999997</v>
      </c>
      <c r="D1450" s="25">
        <v>8.9583333333333334E-2</v>
      </c>
      <c r="F1450" s="61" t="s">
        <v>5576</v>
      </c>
    </row>
    <row r="1451" spans="1:6" x14ac:dyDescent="0.25">
      <c r="A1451" s="15" t="s">
        <v>4294</v>
      </c>
      <c r="B1451" s="15" t="s">
        <v>4312</v>
      </c>
      <c r="C1451" s="54">
        <v>78.660816999999994</v>
      </c>
      <c r="D1451" s="26">
        <v>8.1250000000000003E-2</v>
      </c>
      <c r="F1451" s="61" t="s">
        <v>5577</v>
      </c>
    </row>
    <row r="1452" spans="1:6" x14ac:dyDescent="0.25">
      <c r="A1452" s="15" t="s">
        <v>4294</v>
      </c>
      <c r="B1452" s="15" t="s">
        <v>4313</v>
      </c>
      <c r="C1452" s="52">
        <v>101.313582</v>
      </c>
      <c r="D1452" s="25">
        <v>0.10208333333333335</v>
      </c>
      <c r="F1452" s="61" t="s">
        <v>5578</v>
      </c>
    </row>
    <row r="1453" spans="1:6" x14ac:dyDescent="0.25">
      <c r="A1453" s="15" t="s">
        <v>4294</v>
      </c>
      <c r="B1453" s="15" t="s">
        <v>4314</v>
      </c>
      <c r="C1453" s="54">
        <v>62.762996000000001</v>
      </c>
      <c r="D1453" s="26">
        <v>6.6666666666666666E-2</v>
      </c>
      <c r="F1453" s="61" t="s">
        <v>5579</v>
      </c>
    </row>
    <row r="1454" spans="1:6" x14ac:dyDescent="0.25">
      <c r="A1454" s="15" t="s">
        <v>4294</v>
      </c>
      <c r="B1454" s="15" t="s">
        <v>4315</v>
      </c>
      <c r="C1454" s="52">
        <v>69.283060000000006</v>
      </c>
      <c r="D1454" s="25">
        <v>7.1527777777777787E-2</v>
      </c>
      <c r="F1454" s="61" t="s">
        <v>5580</v>
      </c>
    </row>
    <row r="1455" spans="1:6" x14ac:dyDescent="0.25">
      <c r="A1455" s="15" t="s">
        <v>4294</v>
      </c>
      <c r="B1455" s="15" t="s">
        <v>4316</v>
      </c>
      <c r="C1455" s="54">
        <v>60.844197000000001</v>
      </c>
      <c r="D1455" s="26">
        <v>6.3194444444444442E-2</v>
      </c>
      <c r="F1455" s="61" t="s">
        <v>5581</v>
      </c>
    </row>
    <row r="1456" spans="1:6" x14ac:dyDescent="0.25">
      <c r="A1456" s="15" t="s">
        <v>4294</v>
      </c>
      <c r="B1456" s="15" t="s">
        <v>4317</v>
      </c>
      <c r="C1456" s="52">
        <v>196.597984</v>
      </c>
      <c r="D1456" s="25">
        <v>0.1673611111111111</v>
      </c>
      <c r="F1456" s="61" t="s">
        <v>5582</v>
      </c>
    </row>
    <row r="1457" spans="1:6" x14ac:dyDescent="0.25">
      <c r="A1457" s="15" t="s">
        <v>4294</v>
      </c>
      <c r="B1457" s="15" t="s">
        <v>4318</v>
      </c>
      <c r="C1457" s="54">
        <v>205.70917299999999</v>
      </c>
      <c r="D1457" s="26">
        <v>0.17569444444444446</v>
      </c>
      <c r="F1457" s="61" t="s">
        <v>5583</v>
      </c>
    </row>
    <row r="1458" spans="1:6" x14ac:dyDescent="0.25">
      <c r="A1458" s="15" t="s">
        <v>4294</v>
      </c>
      <c r="B1458" s="15" t="s">
        <v>4319</v>
      </c>
      <c r="C1458" s="52">
        <v>199.346937</v>
      </c>
      <c r="D1458" s="25">
        <v>0.17152777777777775</v>
      </c>
      <c r="F1458" s="61" t="s">
        <v>5584</v>
      </c>
    </row>
    <row r="1459" spans="1:6" x14ac:dyDescent="0.25">
      <c r="A1459" s="15" t="s">
        <v>4294</v>
      </c>
      <c r="B1459" s="15" t="s">
        <v>4320</v>
      </c>
      <c r="C1459" s="54">
        <v>211.586737</v>
      </c>
      <c r="D1459" s="26">
        <v>0.18055555555555555</v>
      </c>
      <c r="F1459" s="61" t="s">
        <v>5585</v>
      </c>
    </row>
    <row r="1460" spans="1:6" x14ac:dyDescent="0.25">
      <c r="A1460" s="15" t="s">
        <v>4294</v>
      </c>
      <c r="B1460" s="15" t="s">
        <v>4321</v>
      </c>
      <c r="C1460" s="52">
        <v>208.11885599999999</v>
      </c>
      <c r="D1460" s="25">
        <v>0.17708333333333334</v>
      </c>
      <c r="F1460" s="61" t="s">
        <v>5586</v>
      </c>
    </row>
    <row r="1461" spans="1:6" x14ac:dyDescent="0.25">
      <c r="A1461" s="15" t="s">
        <v>4295</v>
      </c>
      <c r="B1461" s="15">
        <v>3423909</v>
      </c>
      <c r="C1461" s="54">
        <v>64.938422000000003</v>
      </c>
      <c r="D1461" s="26">
        <v>6.1111111111111116E-2</v>
      </c>
      <c r="F1461" s="61" t="s">
        <v>7040</v>
      </c>
    </row>
    <row r="1462" spans="1:6" x14ac:dyDescent="0.25">
      <c r="A1462" s="15" t="s">
        <v>4295</v>
      </c>
      <c r="B1462" s="15">
        <v>3403208</v>
      </c>
      <c r="C1462" s="52">
        <v>179.449961</v>
      </c>
      <c r="D1462" s="25">
        <v>0.15833333333333333</v>
      </c>
      <c r="F1462" s="61" t="s">
        <v>7145</v>
      </c>
    </row>
    <row r="1463" spans="1:6" x14ac:dyDescent="0.25">
      <c r="A1463" s="15" t="s">
        <v>4295</v>
      </c>
      <c r="B1463" s="15">
        <v>3424402</v>
      </c>
      <c r="C1463" s="54">
        <v>60.216611</v>
      </c>
      <c r="D1463" s="26">
        <v>7.1527777777777787E-2</v>
      </c>
      <c r="F1463" s="61" t="s">
        <v>7252</v>
      </c>
    </row>
    <row r="1464" spans="1:6" x14ac:dyDescent="0.25">
      <c r="A1464" s="15" t="s">
        <v>4295</v>
      </c>
      <c r="B1464" s="15" t="s">
        <v>4271</v>
      </c>
      <c r="C1464" s="52">
        <v>65.864889000000005</v>
      </c>
      <c r="D1464" s="25">
        <v>6.3888888888888884E-2</v>
      </c>
      <c r="F1464" s="61" t="s">
        <v>5587</v>
      </c>
    </row>
    <row r="1465" spans="1:6" x14ac:dyDescent="0.25">
      <c r="A1465" s="15" t="s">
        <v>4295</v>
      </c>
      <c r="B1465" s="15" t="s">
        <v>4272</v>
      </c>
      <c r="C1465" s="54">
        <v>69.296109000000001</v>
      </c>
      <c r="D1465" s="26">
        <v>6.9444444444444434E-2</v>
      </c>
      <c r="F1465" s="61" t="s">
        <v>5588</v>
      </c>
    </row>
    <row r="1466" spans="1:6" x14ac:dyDescent="0.25">
      <c r="A1466" s="15" t="s">
        <v>4295</v>
      </c>
      <c r="B1466" s="15" t="s">
        <v>4273</v>
      </c>
      <c r="C1466" s="52">
        <v>67.612189000000001</v>
      </c>
      <c r="D1466" s="25">
        <v>6.6666666666666666E-2</v>
      </c>
      <c r="F1466" s="61" t="s">
        <v>5589</v>
      </c>
    </row>
    <row r="1467" spans="1:6" x14ac:dyDescent="0.25">
      <c r="A1467" s="15" t="s">
        <v>4295</v>
      </c>
      <c r="B1467" s="15" t="s">
        <v>4274</v>
      </c>
      <c r="C1467" s="54">
        <v>77.769148000000001</v>
      </c>
      <c r="D1467" s="26">
        <v>7.3611111111111113E-2</v>
      </c>
      <c r="F1467" s="61" t="s">
        <v>5590</v>
      </c>
    </row>
    <row r="1468" spans="1:6" x14ac:dyDescent="0.25">
      <c r="A1468" s="15" t="s">
        <v>4295</v>
      </c>
      <c r="B1468" s="15" t="s">
        <v>4275</v>
      </c>
      <c r="C1468" s="52">
        <v>77.862353999999996</v>
      </c>
      <c r="D1468" s="25">
        <v>7.4305555555555555E-2</v>
      </c>
      <c r="F1468" s="61" t="s">
        <v>5591</v>
      </c>
    </row>
    <row r="1469" spans="1:6" x14ac:dyDescent="0.25">
      <c r="A1469" s="15" t="s">
        <v>4295</v>
      </c>
      <c r="B1469" s="15" t="s">
        <v>4276</v>
      </c>
      <c r="C1469" s="54">
        <v>59.900953000000001</v>
      </c>
      <c r="D1469" s="26">
        <v>6.25E-2</v>
      </c>
      <c r="F1469" s="61" t="s">
        <v>5592</v>
      </c>
    </row>
    <row r="1470" spans="1:6" x14ac:dyDescent="0.25">
      <c r="A1470" s="15" t="s">
        <v>4295</v>
      </c>
      <c r="B1470" s="15" t="s">
        <v>4277</v>
      </c>
      <c r="C1470" s="52">
        <v>64.955820000000003</v>
      </c>
      <c r="D1470" s="25">
        <v>6.3888888888888884E-2</v>
      </c>
      <c r="F1470" s="61" t="s">
        <v>5593</v>
      </c>
    </row>
    <row r="1471" spans="1:6" x14ac:dyDescent="0.25">
      <c r="A1471" s="15" t="s">
        <v>4295</v>
      </c>
      <c r="B1471" s="15" t="s">
        <v>4278</v>
      </c>
      <c r="C1471" s="54">
        <v>73.985608999999997</v>
      </c>
      <c r="D1471" s="26">
        <v>7.1527777777777787E-2</v>
      </c>
      <c r="F1471" s="61" t="s">
        <v>5594</v>
      </c>
    </row>
    <row r="1472" spans="1:6" x14ac:dyDescent="0.25">
      <c r="A1472" s="15" t="s">
        <v>4295</v>
      </c>
      <c r="B1472" s="15" t="s">
        <v>4279</v>
      </c>
      <c r="C1472" s="52">
        <v>86.098648999999995</v>
      </c>
      <c r="D1472" s="25">
        <v>8.7500000000000008E-2</v>
      </c>
      <c r="F1472" s="61" t="s">
        <v>5595</v>
      </c>
    </row>
    <row r="1473" spans="1:6" x14ac:dyDescent="0.25">
      <c r="A1473" s="15" t="s">
        <v>4295</v>
      </c>
      <c r="B1473" s="15" t="s">
        <v>4280</v>
      </c>
      <c r="C1473" s="54">
        <v>17.080293999999999</v>
      </c>
      <c r="D1473" s="26">
        <v>3.9583333333333331E-2</v>
      </c>
      <c r="F1473" s="61" t="s">
        <v>5596</v>
      </c>
    </row>
    <row r="1474" spans="1:6" x14ac:dyDescent="0.25">
      <c r="A1474" s="15" t="s">
        <v>4295</v>
      </c>
      <c r="B1474" s="15" t="s">
        <v>4281</v>
      </c>
      <c r="C1474" s="52">
        <v>103.31999500000001</v>
      </c>
      <c r="D1474" s="25">
        <v>9.5833333333333326E-2</v>
      </c>
      <c r="F1474" s="61" t="s">
        <v>5597</v>
      </c>
    </row>
    <row r="1475" spans="1:6" x14ac:dyDescent="0.25">
      <c r="A1475" s="15" t="s">
        <v>4295</v>
      </c>
      <c r="B1475" s="15" t="s">
        <v>4282</v>
      </c>
      <c r="C1475" s="54">
        <v>59.257832000000001</v>
      </c>
      <c r="D1475" s="26">
        <v>7.1527777777777787E-2</v>
      </c>
      <c r="F1475" s="61" t="s">
        <v>5598</v>
      </c>
    </row>
    <row r="1476" spans="1:6" x14ac:dyDescent="0.25">
      <c r="A1476" s="15" t="s">
        <v>4295</v>
      </c>
      <c r="B1476" s="15" t="s">
        <v>4283</v>
      </c>
      <c r="C1476" s="52">
        <v>67.505933999999996</v>
      </c>
      <c r="D1476" s="25">
        <v>7.7083333333333337E-2</v>
      </c>
      <c r="F1476" s="61" t="s">
        <v>5599</v>
      </c>
    </row>
    <row r="1477" spans="1:6" x14ac:dyDescent="0.25">
      <c r="A1477" s="15" t="s">
        <v>4295</v>
      </c>
      <c r="B1477" s="15" t="s">
        <v>4284</v>
      </c>
      <c r="C1477" s="54">
        <v>65.568494000000001</v>
      </c>
      <c r="D1477" s="26">
        <v>7.4305555555555555E-2</v>
      </c>
      <c r="F1477" s="61" t="s">
        <v>5600</v>
      </c>
    </row>
    <row r="1478" spans="1:6" x14ac:dyDescent="0.25">
      <c r="A1478" s="15" t="s">
        <v>4295</v>
      </c>
      <c r="B1478" s="15" t="s">
        <v>4285</v>
      </c>
      <c r="C1478" s="52">
        <v>67.947108999999998</v>
      </c>
      <c r="D1478" s="25">
        <v>8.0555555555555561E-2</v>
      </c>
      <c r="F1478" s="61" t="s">
        <v>5601</v>
      </c>
    </row>
    <row r="1479" spans="1:6" x14ac:dyDescent="0.25">
      <c r="A1479" s="15" t="s">
        <v>4295</v>
      </c>
      <c r="B1479" s="15" t="s">
        <v>4286</v>
      </c>
      <c r="C1479" s="54">
        <v>66.877725999999996</v>
      </c>
      <c r="D1479" s="26">
        <v>7.8472222222222221E-2</v>
      </c>
      <c r="F1479" s="61" t="s">
        <v>5602</v>
      </c>
    </row>
    <row r="1480" spans="1:6" x14ac:dyDescent="0.25">
      <c r="A1480" s="15" t="s">
        <v>4295</v>
      </c>
      <c r="B1480" s="15" t="s">
        <v>4287</v>
      </c>
      <c r="C1480" s="52">
        <v>67.569314000000006</v>
      </c>
      <c r="D1480" s="25">
        <v>7.7083333333333337E-2</v>
      </c>
      <c r="F1480" s="61" t="s">
        <v>5603</v>
      </c>
    </row>
    <row r="1481" spans="1:6" x14ac:dyDescent="0.25">
      <c r="A1481" s="15" t="s">
        <v>4295</v>
      </c>
      <c r="B1481" s="15" t="s">
        <v>4288</v>
      </c>
      <c r="C1481" s="54">
        <v>72.761505</v>
      </c>
      <c r="D1481" s="26">
        <v>8.1944444444444445E-2</v>
      </c>
      <c r="F1481" s="61" t="s">
        <v>5604</v>
      </c>
    </row>
    <row r="1482" spans="1:6" x14ac:dyDescent="0.25">
      <c r="A1482" s="15" t="s">
        <v>4295</v>
      </c>
      <c r="B1482" s="15" t="s">
        <v>4289</v>
      </c>
      <c r="C1482" s="52">
        <v>10.769011000000001</v>
      </c>
      <c r="D1482" s="25">
        <v>2.7777777777777776E-2</v>
      </c>
      <c r="F1482" s="61" t="s">
        <v>5605</v>
      </c>
    </row>
    <row r="1483" spans="1:6" x14ac:dyDescent="0.25">
      <c r="A1483" s="15" t="s">
        <v>4295</v>
      </c>
      <c r="B1483" s="15" t="s">
        <v>4290</v>
      </c>
      <c r="C1483" s="54">
        <v>8.4941650000000006</v>
      </c>
      <c r="D1483" s="26">
        <v>2.013888888888889E-2</v>
      </c>
      <c r="F1483" s="61" t="s">
        <v>5606</v>
      </c>
    </row>
    <row r="1484" spans="1:6" x14ac:dyDescent="0.25">
      <c r="A1484" s="15" t="s">
        <v>4295</v>
      </c>
      <c r="B1484" s="15" t="s">
        <v>4291</v>
      </c>
      <c r="C1484" s="52">
        <v>9.1142950000000003</v>
      </c>
      <c r="D1484" s="25">
        <v>1.9444444444444445E-2</v>
      </c>
      <c r="F1484" s="61" t="s">
        <v>5607</v>
      </c>
    </row>
    <row r="1485" spans="1:6" x14ac:dyDescent="0.25">
      <c r="A1485" s="15" t="s">
        <v>4295</v>
      </c>
      <c r="B1485" s="15" t="s">
        <v>4292</v>
      </c>
      <c r="C1485" s="54">
        <v>8.3251519999999992</v>
      </c>
      <c r="D1485" s="26">
        <v>2.013888888888889E-2</v>
      </c>
      <c r="F1485" s="61" t="s">
        <v>5608</v>
      </c>
    </row>
    <row r="1486" spans="1:6" x14ac:dyDescent="0.25">
      <c r="A1486" s="15" t="s">
        <v>4295</v>
      </c>
      <c r="B1486" s="15" t="s">
        <v>4293</v>
      </c>
      <c r="C1486" s="52">
        <v>2.8949760000000002</v>
      </c>
      <c r="D1486" s="25">
        <v>9.7222222222222224E-3</v>
      </c>
      <c r="F1486" s="61" t="s">
        <v>5609</v>
      </c>
    </row>
    <row r="1487" spans="1:6" x14ac:dyDescent="0.25">
      <c r="A1487" s="15" t="s">
        <v>4295</v>
      </c>
      <c r="B1487" s="15" t="s">
        <v>4294</v>
      </c>
      <c r="C1487" s="54">
        <v>2.4140329999999999</v>
      </c>
      <c r="D1487" s="26">
        <v>8.3333333333333332E-3</v>
      </c>
      <c r="F1487" s="61" t="s">
        <v>5610</v>
      </c>
    </row>
    <row r="1488" spans="1:6" x14ac:dyDescent="0.25">
      <c r="A1488" s="15" t="s">
        <v>4295</v>
      </c>
      <c r="B1488" s="15" t="s">
        <v>4295</v>
      </c>
      <c r="C1488" s="52">
        <v>0</v>
      </c>
      <c r="D1488" s="25">
        <v>0</v>
      </c>
      <c r="F1488" s="61" t="s">
        <v>5611</v>
      </c>
    </row>
    <row r="1489" spans="1:6" x14ac:dyDescent="0.25">
      <c r="A1489" s="15" t="s">
        <v>4295</v>
      </c>
      <c r="B1489" s="15" t="s">
        <v>4296</v>
      </c>
      <c r="C1489" s="54">
        <v>9.2516189999999998</v>
      </c>
      <c r="D1489" s="26">
        <v>1.7361111111111112E-2</v>
      </c>
      <c r="F1489" s="61" t="s">
        <v>5612</v>
      </c>
    </row>
    <row r="1490" spans="1:6" x14ac:dyDescent="0.25">
      <c r="A1490" s="15" t="s">
        <v>4295</v>
      </c>
      <c r="B1490" s="15" t="s">
        <v>4297</v>
      </c>
      <c r="C1490" s="52">
        <v>1.427915</v>
      </c>
      <c r="D1490" s="25">
        <v>4.8611111111111112E-3</v>
      </c>
      <c r="F1490" s="61" t="s">
        <v>5613</v>
      </c>
    </row>
    <row r="1491" spans="1:6" x14ac:dyDescent="0.25">
      <c r="A1491" s="15" t="s">
        <v>4295</v>
      </c>
      <c r="B1491" s="15" t="s">
        <v>4298</v>
      </c>
      <c r="C1491" s="54">
        <v>12.034746999999999</v>
      </c>
      <c r="D1491" s="26">
        <v>2.7777777777777776E-2</v>
      </c>
      <c r="F1491" s="61" t="s">
        <v>5614</v>
      </c>
    </row>
    <row r="1492" spans="1:6" x14ac:dyDescent="0.25">
      <c r="A1492" s="15" t="s">
        <v>4295</v>
      </c>
      <c r="B1492" s="15" t="s">
        <v>4299</v>
      </c>
      <c r="C1492" s="52">
        <v>18.769805999999999</v>
      </c>
      <c r="D1492" s="25">
        <v>3.6111111111111115E-2</v>
      </c>
      <c r="F1492" s="61" t="s">
        <v>5615</v>
      </c>
    </row>
    <row r="1493" spans="1:6" x14ac:dyDescent="0.25">
      <c r="A1493" s="15" t="s">
        <v>4295</v>
      </c>
      <c r="B1493" s="15" t="s">
        <v>4300</v>
      </c>
      <c r="C1493" s="54">
        <v>24.645506999999998</v>
      </c>
      <c r="D1493" s="26">
        <v>5.347222222222222E-2</v>
      </c>
      <c r="F1493" s="61" t="s">
        <v>5616</v>
      </c>
    </row>
    <row r="1494" spans="1:6" x14ac:dyDescent="0.25">
      <c r="A1494" s="15" t="s">
        <v>4295</v>
      </c>
      <c r="B1494" s="15" t="s">
        <v>4301</v>
      </c>
      <c r="C1494" s="52">
        <v>8.8309490000000004</v>
      </c>
      <c r="D1494" s="25">
        <v>2.361111111111111E-2</v>
      </c>
      <c r="F1494" s="61" t="s">
        <v>5617</v>
      </c>
    </row>
    <row r="1495" spans="1:6" x14ac:dyDescent="0.25">
      <c r="A1495" s="15" t="s">
        <v>4295</v>
      </c>
      <c r="B1495" s="15" t="s">
        <v>4302</v>
      </c>
      <c r="C1495" s="54">
        <v>14.758224</v>
      </c>
      <c r="D1495" s="26">
        <v>2.9861111111111113E-2</v>
      </c>
      <c r="F1495" s="61" t="s">
        <v>5618</v>
      </c>
    </row>
    <row r="1496" spans="1:6" x14ac:dyDescent="0.25">
      <c r="A1496" s="15" t="s">
        <v>4295</v>
      </c>
      <c r="B1496" s="15" t="s">
        <v>4303</v>
      </c>
      <c r="C1496" s="52">
        <v>18.272708000000002</v>
      </c>
      <c r="D1496" s="25">
        <v>4.3055555555555562E-2</v>
      </c>
      <c r="F1496" s="61" t="s">
        <v>5619</v>
      </c>
    </row>
    <row r="1497" spans="1:6" x14ac:dyDescent="0.25">
      <c r="A1497" s="15" t="s">
        <v>4295</v>
      </c>
      <c r="B1497" s="15" t="s">
        <v>4304</v>
      </c>
      <c r="C1497" s="54">
        <v>20.399667000000001</v>
      </c>
      <c r="D1497" s="26">
        <v>3.2638888888888891E-2</v>
      </c>
      <c r="F1497" s="61" t="s">
        <v>5620</v>
      </c>
    </row>
    <row r="1498" spans="1:6" x14ac:dyDescent="0.25">
      <c r="A1498" s="15" t="s">
        <v>4295</v>
      </c>
      <c r="B1498" s="15" t="s">
        <v>4305</v>
      </c>
      <c r="C1498" s="52">
        <v>20.995563000000001</v>
      </c>
      <c r="D1498" s="25">
        <v>3.1944444444444449E-2</v>
      </c>
      <c r="F1498" s="61" t="s">
        <v>5621</v>
      </c>
    </row>
    <row r="1499" spans="1:6" x14ac:dyDescent="0.25">
      <c r="A1499" s="15" t="s">
        <v>4295</v>
      </c>
      <c r="B1499" s="15" t="s">
        <v>4306</v>
      </c>
      <c r="C1499" s="54">
        <v>156.38584800000001</v>
      </c>
      <c r="D1499" s="26">
        <v>0.14305555555555557</v>
      </c>
      <c r="F1499" s="61" t="s">
        <v>5622</v>
      </c>
    </row>
    <row r="1500" spans="1:6" x14ac:dyDescent="0.25">
      <c r="A1500" s="15" t="s">
        <v>4295</v>
      </c>
      <c r="B1500" s="15" t="s">
        <v>4307</v>
      </c>
      <c r="C1500" s="52">
        <v>155.28912500000001</v>
      </c>
      <c r="D1500" s="25">
        <v>0.14166666666666666</v>
      </c>
      <c r="F1500" s="61" t="s">
        <v>5623</v>
      </c>
    </row>
    <row r="1501" spans="1:6" x14ac:dyDescent="0.25">
      <c r="A1501" s="15" t="s">
        <v>4295</v>
      </c>
      <c r="B1501" s="15" t="s">
        <v>4308</v>
      </c>
      <c r="C1501" s="54">
        <v>153.51262</v>
      </c>
      <c r="D1501" s="26">
        <v>0.13958333333333334</v>
      </c>
      <c r="F1501" s="61" t="s">
        <v>5624</v>
      </c>
    </row>
    <row r="1502" spans="1:6" x14ac:dyDescent="0.25">
      <c r="A1502" s="15" t="s">
        <v>4295</v>
      </c>
      <c r="B1502" s="15" t="s">
        <v>4309</v>
      </c>
      <c r="C1502" s="52">
        <v>93.767630999999994</v>
      </c>
      <c r="D1502" s="25">
        <v>0.1013888888888889</v>
      </c>
      <c r="F1502" s="61" t="s">
        <v>5625</v>
      </c>
    </row>
    <row r="1503" spans="1:6" x14ac:dyDescent="0.25">
      <c r="A1503" s="15" t="s">
        <v>4295</v>
      </c>
      <c r="B1503" s="15" t="s">
        <v>4310</v>
      </c>
      <c r="C1503" s="54">
        <v>98.623037999999994</v>
      </c>
      <c r="D1503" s="26">
        <v>0.10972222222222222</v>
      </c>
      <c r="F1503" s="61" t="s">
        <v>5626</v>
      </c>
    </row>
    <row r="1504" spans="1:6" x14ac:dyDescent="0.25">
      <c r="A1504" s="15" t="s">
        <v>4295</v>
      </c>
      <c r="B1504" s="15" t="s">
        <v>4311</v>
      </c>
      <c r="C1504" s="52">
        <v>84.806194000000005</v>
      </c>
      <c r="D1504" s="25">
        <v>9.5833333333333326E-2</v>
      </c>
      <c r="F1504" s="61" t="s">
        <v>5627</v>
      </c>
    </row>
    <row r="1505" spans="1:6" x14ac:dyDescent="0.25">
      <c r="A1505" s="15" t="s">
        <v>4295</v>
      </c>
      <c r="B1505" s="15" t="s">
        <v>4312</v>
      </c>
      <c r="C1505" s="54">
        <v>81.335205999999999</v>
      </c>
      <c r="D1505" s="26">
        <v>8.819444444444445E-2</v>
      </c>
      <c r="F1505" s="61" t="s">
        <v>5628</v>
      </c>
    </row>
    <row r="1506" spans="1:6" x14ac:dyDescent="0.25">
      <c r="A1506" s="15" t="s">
        <v>4295</v>
      </c>
      <c r="B1506" s="15" t="s">
        <v>4313</v>
      </c>
      <c r="C1506" s="52">
        <v>103.98797</v>
      </c>
      <c r="D1506" s="25">
        <v>0.10833333333333334</v>
      </c>
      <c r="F1506" s="61" t="s">
        <v>5629</v>
      </c>
    </row>
    <row r="1507" spans="1:6" x14ac:dyDescent="0.25">
      <c r="A1507" s="15" t="s">
        <v>4295</v>
      </c>
      <c r="B1507" s="15" t="s">
        <v>4314</v>
      </c>
      <c r="C1507" s="54">
        <v>66.617992000000001</v>
      </c>
      <c r="D1507" s="26">
        <v>7.013888888888889E-2</v>
      </c>
      <c r="F1507" s="61" t="s">
        <v>5630</v>
      </c>
    </row>
    <row r="1508" spans="1:6" x14ac:dyDescent="0.25">
      <c r="A1508" s="15" t="s">
        <v>4295</v>
      </c>
      <c r="B1508" s="15" t="s">
        <v>4315</v>
      </c>
      <c r="C1508" s="52">
        <v>73.138057000000003</v>
      </c>
      <c r="D1508" s="25">
        <v>7.4999999999999997E-2</v>
      </c>
      <c r="F1508" s="61" t="s">
        <v>5631</v>
      </c>
    </row>
    <row r="1509" spans="1:6" x14ac:dyDescent="0.25">
      <c r="A1509" s="15" t="s">
        <v>4295</v>
      </c>
      <c r="B1509" s="15" t="s">
        <v>4316</v>
      </c>
      <c r="C1509" s="54">
        <v>64.699192999999994</v>
      </c>
      <c r="D1509" s="26">
        <v>6.7361111111111108E-2</v>
      </c>
      <c r="F1509" s="61" t="s">
        <v>5632</v>
      </c>
    </row>
    <row r="1510" spans="1:6" x14ac:dyDescent="0.25">
      <c r="A1510" s="15" t="s">
        <v>4295</v>
      </c>
      <c r="B1510" s="15" t="s">
        <v>4317</v>
      </c>
      <c r="C1510" s="52">
        <v>202.84215900000001</v>
      </c>
      <c r="D1510" s="25">
        <v>0.17777777777777778</v>
      </c>
      <c r="F1510" s="61" t="s">
        <v>5633</v>
      </c>
    </row>
    <row r="1511" spans="1:6" x14ac:dyDescent="0.25">
      <c r="A1511" s="15" t="s">
        <v>4295</v>
      </c>
      <c r="B1511" s="15" t="s">
        <v>4318</v>
      </c>
      <c r="C1511" s="54">
        <v>211.95334700000001</v>
      </c>
      <c r="D1511" s="26">
        <v>0.18611111111111112</v>
      </c>
      <c r="F1511" s="61" t="s">
        <v>5634</v>
      </c>
    </row>
    <row r="1512" spans="1:6" x14ac:dyDescent="0.25">
      <c r="A1512" s="15" t="s">
        <v>4295</v>
      </c>
      <c r="B1512" s="15" t="s">
        <v>4319</v>
      </c>
      <c r="C1512" s="52">
        <v>205.59111200000001</v>
      </c>
      <c r="D1512" s="25">
        <v>0.18194444444444444</v>
      </c>
      <c r="F1512" s="61" t="s">
        <v>5635</v>
      </c>
    </row>
    <row r="1513" spans="1:6" x14ac:dyDescent="0.25">
      <c r="A1513" s="15" t="s">
        <v>4295</v>
      </c>
      <c r="B1513" s="15" t="s">
        <v>4320</v>
      </c>
      <c r="C1513" s="54">
        <v>211.831558</v>
      </c>
      <c r="D1513" s="26">
        <v>0.18541666666666667</v>
      </c>
      <c r="F1513" s="61" t="s">
        <v>5636</v>
      </c>
    </row>
    <row r="1514" spans="1:6" x14ac:dyDescent="0.25">
      <c r="A1514" s="15" t="s">
        <v>4295</v>
      </c>
      <c r="B1514" s="15" t="s">
        <v>4321</v>
      </c>
      <c r="C1514" s="52">
        <v>208.363677</v>
      </c>
      <c r="D1514" s="25">
        <v>0.18194444444444444</v>
      </c>
      <c r="F1514" s="61" t="s">
        <v>5637</v>
      </c>
    </row>
    <row r="1515" spans="1:6" x14ac:dyDescent="0.25">
      <c r="A1515" s="15" t="s">
        <v>4296</v>
      </c>
      <c r="B1515" s="15">
        <v>3423909</v>
      </c>
      <c r="C1515" s="54">
        <v>57.787042999999997</v>
      </c>
      <c r="D1515" s="26">
        <v>4.9999999999999996E-2</v>
      </c>
      <c r="F1515" s="61" t="s">
        <v>7041</v>
      </c>
    </row>
    <row r="1516" spans="1:6" x14ac:dyDescent="0.25">
      <c r="A1516" s="15" t="s">
        <v>4296</v>
      </c>
      <c r="B1516" s="15">
        <v>3403208</v>
      </c>
      <c r="C1516" s="52">
        <v>170.54444699999999</v>
      </c>
      <c r="D1516" s="25">
        <v>0.13958333333333334</v>
      </c>
      <c r="F1516" s="61" t="s">
        <v>7146</v>
      </c>
    </row>
    <row r="1517" spans="1:6" x14ac:dyDescent="0.25">
      <c r="A1517" s="15" t="s">
        <v>4296</v>
      </c>
      <c r="B1517" s="15">
        <v>3424402</v>
      </c>
      <c r="C1517" s="54">
        <v>68.092510000000004</v>
      </c>
      <c r="D1517" s="26">
        <v>6.458333333333334E-2</v>
      </c>
      <c r="F1517" s="61" t="s">
        <v>7253</v>
      </c>
    </row>
    <row r="1518" spans="1:6" x14ac:dyDescent="0.25">
      <c r="A1518" s="15" t="s">
        <v>4296</v>
      </c>
      <c r="B1518" s="15" t="s">
        <v>4271</v>
      </c>
      <c r="C1518" s="52">
        <v>60.629823000000002</v>
      </c>
      <c r="D1518" s="25">
        <v>5.347222222222222E-2</v>
      </c>
      <c r="F1518" s="61" t="s">
        <v>5638</v>
      </c>
    </row>
    <row r="1519" spans="1:6" x14ac:dyDescent="0.25">
      <c r="A1519" s="15" t="s">
        <v>4296</v>
      </c>
      <c r="B1519" s="15" t="s">
        <v>4272</v>
      </c>
      <c r="C1519" s="54">
        <v>64.397828000000004</v>
      </c>
      <c r="D1519" s="26">
        <v>5.9722222222222225E-2</v>
      </c>
      <c r="F1519" s="61" t="s">
        <v>5639</v>
      </c>
    </row>
    <row r="1520" spans="1:6" x14ac:dyDescent="0.25">
      <c r="A1520" s="15" t="s">
        <v>4296</v>
      </c>
      <c r="B1520" s="15" t="s">
        <v>4273</v>
      </c>
      <c r="C1520" s="52">
        <v>62.377124000000002</v>
      </c>
      <c r="D1520" s="25">
        <v>5.6250000000000001E-2</v>
      </c>
      <c r="F1520" s="61" t="s">
        <v>5640</v>
      </c>
    </row>
    <row r="1521" spans="1:6" x14ac:dyDescent="0.25">
      <c r="A1521" s="15" t="s">
        <v>4296</v>
      </c>
      <c r="B1521" s="15" t="s">
        <v>4274</v>
      </c>
      <c r="C1521" s="54">
        <v>72.534081999999998</v>
      </c>
      <c r="D1521" s="26">
        <v>6.3194444444444442E-2</v>
      </c>
      <c r="F1521" s="61" t="s">
        <v>5641</v>
      </c>
    </row>
    <row r="1522" spans="1:6" x14ac:dyDescent="0.25">
      <c r="A1522" s="15" t="s">
        <v>4296</v>
      </c>
      <c r="B1522" s="15" t="s">
        <v>4275</v>
      </c>
      <c r="C1522" s="52">
        <v>72.627287999999993</v>
      </c>
      <c r="D1522" s="25">
        <v>6.3888888888888884E-2</v>
      </c>
      <c r="F1522" s="61" t="s">
        <v>5642</v>
      </c>
    </row>
    <row r="1523" spans="1:6" x14ac:dyDescent="0.25">
      <c r="A1523" s="15" t="s">
        <v>4296</v>
      </c>
      <c r="B1523" s="15" t="s">
        <v>4276</v>
      </c>
      <c r="C1523" s="54">
        <v>55.002671999999997</v>
      </c>
      <c r="D1523" s="26">
        <v>5.2777777777777778E-2</v>
      </c>
      <c r="F1523" s="61" t="s">
        <v>5643</v>
      </c>
    </row>
    <row r="1524" spans="1:6" x14ac:dyDescent="0.25">
      <c r="A1524" s="15" t="s">
        <v>4296</v>
      </c>
      <c r="B1524" s="15" t="s">
        <v>4277</v>
      </c>
      <c r="C1524" s="52">
        <v>59.720754999999997</v>
      </c>
      <c r="D1524" s="25">
        <v>5.347222222222222E-2</v>
      </c>
      <c r="F1524" s="61" t="s">
        <v>5644</v>
      </c>
    </row>
    <row r="1525" spans="1:6" x14ac:dyDescent="0.25">
      <c r="A1525" s="15" t="s">
        <v>4296</v>
      </c>
      <c r="B1525" s="15" t="s">
        <v>4278</v>
      </c>
      <c r="C1525" s="54">
        <v>68.750544000000005</v>
      </c>
      <c r="D1525" s="26">
        <v>6.1111111111111116E-2</v>
      </c>
      <c r="F1525" s="61" t="s">
        <v>5645</v>
      </c>
    </row>
    <row r="1526" spans="1:6" x14ac:dyDescent="0.25">
      <c r="A1526" s="15" t="s">
        <v>4296</v>
      </c>
      <c r="B1526" s="15" t="s">
        <v>4279</v>
      </c>
      <c r="C1526" s="52">
        <v>80.762921000000006</v>
      </c>
      <c r="D1526" s="25">
        <v>7.1527777777777787E-2</v>
      </c>
      <c r="F1526" s="61" t="s">
        <v>5646</v>
      </c>
    </row>
    <row r="1527" spans="1:6" x14ac:dyDescent="0.25">
      <c r="A1527" s="15" t="s">
        <v>4296</v>
      </c>
      <c r="B1527" s="15" t="s">
        <v>4280</v>
      </c>
      <c r="C1527" s="54">
        <v>21.846222999999998</v>
      </c>
      <c r="D1527" s="26">
        <v>3.0555555555555555E-2</v>
      </c>
      <c r="F1527" s="61" t="s">
        <v>5647</v>
      </c>
    </row>
    <row r="1528" spans="1:6" x14ac:dyDescent="0.25">
      <c r="A1528" s="15" t="s">
        <v>4296</v>
      </c>
      <c r="B1528" s="15" t="s">
        <v>4281</v>
      </c>
      <c r="C1528" s="52">
        <v>97.984267000000003</v>
      </c>
      <c r="D1528" s="25">
        <v>8.0555555555555561E-2</v>
      </c>
      <c r="F1528" s="61" t="s">
        <v>5648</v>
      </c>
    </row>
    <row r="1529" spans="1:6" x14ac:dyDescent="0.25">
      <c r="A1529" s="15" t="s">
        <v>4296</v>
      </c>
      <c r="B1529" s="15" t="s">
        <v>4282</v>
      </c>
      <c r="C1529" s="54">
        <v>67.133731999999995</v>
      </c>
      <c r="D1529" s="26">
        <v>6.458333333333334E-2</v>
      </c>
      <c r="F1529" s="61" t="s">
        <v>5649</v>
      </c>
    </row>
    <row r="1530" spans="1:6" x14ac:dyDescent="0.25">
      <c r="A1530" s="15" t="s">
        <v>4296</v>
      </c>
      <c r="B1530" s="15" t="s">
        <v>4283</v>
      </c>
      <c r="C1530" s="52">
        <v>75.017708999999996</v>
      </c>
      <c r="D1530" s="25">
        <v>7.013888888888889E-2</v>
      </c>
      <c r="F1530" s="61" t="s">
        <v>5650</v>
      </c>
    </row>
    <row r="1531" spans="1:6" x14ac:dyDescent="0.25">
      <c r="A1531" s="15" t="s">
        <v>4296</v>
      </c>
      <c r="B1531" s="15" t="s">
        <v>4284</v>
      </c>
      <c r="C1531" s="54">
        <v>73.080269000000001</v>
      </c>
      <c r="D1531" s="26">
        <v>6.7361111111111108E-2</v>
      </c>
      <c r="F1531" s="61" t="s">
        <v>5651</v>
      </c>
    </row>
    <row r="1532" spans="1:6" x14ac:dyDescent="0.25">
      <c r="A1532" s="15" t="s">
        <v>4296</v>
      </c>
      <c r="B1532" s="15" t="s">
        <v>4285</v>
      </c>
      <c r="C1532" s="52">
        <v>75.458883999999998</v>
      </c>
      <c r="D1532" s="25">
        <v>7.3611111111111113E-2</v>
      </c>
      <c r="F1532" s="61" t="s">
        <v>5652</v>
      </c>
    </row>
    <row r="1533" spans="1:6" x14ac:dyDescent="0.25">
      <c r="A1533" s="15" t="s">
        <v>4296</v>
      </c>
      <c r="B1533" s="15" t="s">
        <v>4286</v>
      </c>
      <c r="C1533" s="54">
        <v>74.389500999999996</v>
      </c>
      <c r="D1533" s="26">
        <v>7.1527777777777787E-2</v>
      </c>
      <c r="F1533" s="61" t="s">
        <v>5653</v>
      </c>
    </row>
    <row r="1534" spans="1:6" x14ac:dyDescent="0.25">
      <c r="A1534" s="15" t="s">
        <v>4296</v>
      </c>
      <c r="B1534" s="15" t="s">
        <v>4287</v>
      </c>
      <c r="C1534" s="52">
        <v>75.445214000000007</v>
      </c>
      <c r="D1534" s="25">
        <v>7.013888888888889E-2</v>
      </c>
      <c r="F1534" s="61" t="s">
        <v>5654</v>
      </c>
    </row>
    <row r="1535" spans="1:6" x14ac:dyDescent="0.25">
      <c r="A1535" s="15" t="s">
        <v>4296</v>
      </c>
      <c r="B1535" s="15" t="s">
        <v>4288</v>
      </c>
      <c r="C1535" s="54">
        <v>80.27328</v>
      </c>
      <c r="D1535" s="26">
        <v>7.4999999999999997E-2</v>
      </c>
      <c r="F1535" s="61" t="s">
        <v>5655</v>
      </c>
    </row>
    <row r="1536" spans="1:6" x14ac:dyDescent="0.25">
      <c r="A1536" s="15" t="s">
        <v>4296</v>
      </c>
      <c r="B1536" s="15" t="s">
        <v>4289</v>
      </c>
      <c r="C1536" s="52">
        <v>18.646153000000002</v>
      </c>
      <c r="D1536" s="25">
        <v>2.1527777777777781E-2</v>
      </c>
      <c r="F1536" s="61" t="s">
        <v>5656</v>
      </c>
    </row>
    <row r="1537" spans="1:6" x14ac:dyDescent="0.25">
      <c r="A1537" s="15" t="s">
        <v>4296</v>
      </c>
      <c r="B1537" s="15" t="s">
        <v>4290</v>
      </c>
      <c r="C1537" s="54">
        <v>8.6507509999999996</v>
      </c>
      <c r="D1537" s="26">
        <v>1.3888888888888888E-2</v>
      </c>
      <c r="F1537" s="61" t="s">
        <v>5657</v>
      </c>
    </row>
    <row r="1538" spans="1:6" x14ac:dyDescent="0.25">
      <c r="A1538" s="15" t="s">
        <v>4296</v>
      </c>
      <c r="B1538" s="15" t="s">
        <v>4291</v>
      </c>
      <c r="C1538" s="52">
        <v>9.9792459999999998</v>
      </c>
      <c r="D1538" s="25">
        <v>1.5277777777777777E-2</v>
      </c>
      <c r="F1538" s="61" t="s">
        <v>5658</v>
      </c>
    </row>
    <row r="1539" spans="1:6" x14ac:dyDescent="0.25">
      <c r="A1539" s="15" t="s">
        <v>4296</v>
      </c>
      <c r="B1539" s="15" t="s">
        <v>4292</v>
      </c>
      <c r="C1539" s="54">
        <v>10.901363</v>
      </c>
      <c r="D1539" s="26">
        <v>1.8055555555555557E-2</v>
      </c>
      <c r="F1539" s="61" t="s">
        <v>5659</v>
      </c>
    </row>
    <row r="1540" spans="1:6" x14ac:dyDescent="0.25">
      <c r="A1540" s="15" t="s">
        <v>4296</v>
      </c>
      <c r="B1540" s="15" t="s">
        <v>4293</v>
      </c>
      <c r="C1540" s="52">
        <v>8.1505460000000003</v>
      </c>
      <c r="D1540" s="25">
        <v>1.1111111111111112E-2</v>
      </c>
      <c r="F1540" s="61" t="s">
        <v>5660</v>
      </c>
    </row>
    <row r="1541" spans="1:6" x14ac:dyDescent="0.25">
      <c r="A1541" s="15" t="s">
        <v>4296</v>
      </c>
      <c r="B1541" s="15" t="s">
        <v>4294</v>
      </c>
      <c r="C1541" s="54">
        <v>9.1298300000000001</v>
      </c>
      <c r="D1541" s="26">
        <v>1.3194444444444444E-2</v>
      </c>
      <c r="F1541" s="61" t="s">
        <v>5661</v>
      </c>
    </row>
    <row r="1542" spans="1:6" x14ac:dyDescent="0.25">
      <c r="A1542" s="15" t="s">
        <v>4296</v>
      </c>
      <c r="B1542" s="15" t="s">
        <v>4295</v>
      </c>
      <c r="C1542" s="52">
        <v>12.014241999999999</v>
      </c>
      <c r="D1542" s="25">
        <v>1.6666666666666666E-2</v>
      </c>
      <c r="F1542" s="61" t="s">
        <v>5662</v>
      </c>
    </row>
    <row r="1543" spans="1:6" x14ac:dyDescent="0.25">
      <c r="A1543" s="15" t="s">
        <v>4296</v>
      </c>
      <c r="B1543" s="15" t="s">
        <v>4296</v>
      </c>
      <c r="C1543" s="54">
        <v>0</v>
      </c>
      <c r="D1543" s="26">
        <v>0</v>
      </c>
      <c r="F1543" s="61" t="s">
        <v>5663</v>
      </c>
    </row>
    <row r="1544" spans="1:6" x14ac:dyDescent="0.25">
      <c r="A1544" s="15" t="s">
        <v>4296</v>
      </c>
      <c r="B1544" s="15" t="s">
        <v>4297</v>
      </c>
      <c r="C1544" s="52">
        <v>9.9295360000000006</v>
      </c>
      <c r="D1544" s="25">
        <v>1.3888888888888888E-2</v>
      </c>
      <c r="F1544" s="61" t="s">
        <v>5664</v>
      </c>
    </row>
    <row r="1545" spans="1:6" x14ac:dyDescent="0.25">
      <c r="A1545" s="15" t="s">
        <v>4296</v>
      </c>
      <c r="B1545" s="15" t="s">
        <v>4298</v>
      </c>
      <c r="C1545" s="54">
        <v>18.850584999999999</v>
      </c>
      <c r="D1545" s="26">
        <v>2.8472222222222222E-2</v>
      </c>
      <c r="F1545" s="61" t="s">
        <v>5665</v>
      </c>
    </row>
    <row r="1546" spans="1:6" x14ac:dyDescent="0.25">
      <c r="A1546" s="15" t="s">
        <v>4296</v>
      </c>
      <c r="B1546" s="15" t="s">
        <v>4299</v>
      </c>
      <c r="C1546" s="52">
        <v>23.494102999999999</v>
      </c>
      <c r="D1546" s="25">
        <v>3.4722222222222224E-2</v>
      </c>
      <c r="F1546" s="61" t="s">
        <v>5666</v>
      </c>
    </row>
    <row r="1547" spans="1:6" x14ac:dyDescent="0.25">
      <c r="A1547" s="15" t="s">
        <v>4296</v>
      </c>
      <c r="B1547" s="15" t="s">
        <v>4300</v>
      </c>
      <c r="C1547" s="54">
        <v>42.915107999999996</v>
      </c>
      <c r="D1547" s="26">
        <v>4.8611111111111112E-2</v>
      </c>
      <c r="F1547" s="61" t="s">
        <v>5667</v>
      </c>
    </row>
    <row r="1548" spans="1:6" x14ac:dyDescent="0.25">
      <c r="A1548" s="15" t="s">
        <v>4296</v>
      </c>
      <c r="B1548" s="15" t="s">
        <v>4301</v>
      </c>
      <c r="C1548" s="52">
        <v>8.1946639999999995</v>
      </c>
      <c r="D1548" s="25">
        <v>1.5972222222222224E-2</v>
      </c>
      <c r="F1548" s="61" t="s">
        <v>5668</v>
      </c>
    </row>
    <row r="1549" spans="1:6" x14ac:dyDescent="0.25">
      <c r="A1549" s="15" t="s">
        <v>4296</v>
      </c>
      <c r="B1549" s="15" t="s">
        <v>4302</v>
      </c>
      <c r="C1549" s="54">
        <v>17.530168</v>
      </c>
      <c r="D1549" s="26">
        <v>2.2916666666666669E-2</v>
      </c>
      <c r="F1549" s="61" t="s">
        <v>5669</v>
      </c>
    </row>
    <row r="1550" spans="1:6" x14ac:dyDescent="0.25">
      <c r="A1550" s="15" t="s">
        <v>4296</v>
      </c>
      <c r="B1550" s="15" t="s">
        <v>4303</v>
      </c>
      <c r="C1550" s="52">
        <v>31.542123</v>
      </c>
      <c r="D1550" s="25">
        <v>3.7499999999999999E-2</v>
      </c>
      <c r="F1550" s="61" t="s">
        <v>5670</v>
      </c>
    </row>
    <row r="1551" spans="1:6" x14ac:dyDescent="0.25">
      <c r="A1551" s="15" t="s">
        <v>4296</v>
      </c>
      <c r="B1551" s="15" t="s">
        <v>4304</v>
      </c>
      <c r="C1551" s="54">
        <v>15.501386</v>
      </c>
      <c r="D1551" s="26">
        <v>2.2222222222222223E-2</v>
      </c>
      <c r="F1551" s="61" t="s">
        <v>5671</v>
      </c>
    </row>
    <row r="1552" spans="1:6" x14ac:dyDescent="0.25">
      <c r="A1552" s="15" t="s">
        <v>4296</v>
      </c>
      <c r="B1552" s="15" t="s">
        <v>4305</v>
      </c>
      <c r="C1552" s="52">
        <v>16.097282</v>
      </c>
      <c r="D1552" s="25">
        <v>2.1527777777777781E-2</v>
      </c>
      <c r="F1552" s="61" t="s">
        <v>5672</v>
      </c>
    </row>
    <row r="1553" spans="1:6" x14ac:dyDescent="0.25">
      <c r="A1553" s="15" t="s">
        <v>4296</v>
      </c>
      <c r="B1553" s="15" t="s">
        <v>4306</v>
      </c>
      <c r="C1553" s="54">
        <v>147.480334</v>
      </c>
      <c r="D1553" s="26">
        <v>0.12430555555555556</v>
      </c>
      <c r="F1553" s="61" t="s">
        <v>5673</v>
      </c>
    </row>
    <row r="1554" spans="1:6" x14ac:dyDescent="0.25">
      <c r="A1554" s="15" t="s">
        <v>4296</v>
      </c>
      <c r="B1554" s="15" t="s">
        <v>4307</v>
      </c>
      <c r="C1554" s="52">
        <v>146.383611</v>
      </c>
      <c r="D1554" s="25">
        <v>0.12291666666666667</v>
      </c>
      <c r="F1554" s="61" t="s">
        <v>5674</v>
      </c>
    </row>
    <row r="1555" spans="1:6" x14ac:dyDescent="0.25">
      <c r="A1555" s="15" t="s">
        <v>4296</v>
      </c>
      <c r="B1555" s="15" t="s">
        <v>4308</v>
      </c>
      <c r="C1555" s="54">
        <v>144.60710599999999</v>
      </c>
      <c r="D1555" s="26">
        <v>0.12083333333333333</v>
      </c>
      <c r="F1555" s="61" t="s">
        <v>5675</v>
      </c>
    </row>
    <row r="1556" spans="1:6" x14ac:dyDescent="0.25">
      <c r="A1556" s="15" t="s">
        <v>4296</v>
      </c>
      <c r="B1556" s="15" t="s">
        <v>4309</v>
      </c>
      <c r="C1556" s="52">
        <v>101.27940599999999</v>
      </c>
      <c r="D1556" s="25">
        <v>9.4444444444444442E-2</v>
      </c>
      <c r="F1556" s="61" t="s">
        <v>5676</v>
      </c>
    </row>
    <row r="1557" spans="1:6" x14ac:dyDescent="0.25">
      <c r="A1557" s="15" t="s">
        <v>4296</v>
      </c>
      <c r="B1557" s="15" t="s">
        <v>4310</v>
      </c>
      <c r="C1557" s="54">
        <v>106.13481299999999</v>
      </c>
      <c r="D1557" s="26">
        <v>0.10277777777777779</v>
      </c>
      <c r="F1557" s="61" t="s">
        <v>5677</v>
      </c>
    </row>
    <row r="1558" spans="1:6" x14ac:dyDescent="0.25">
      <c r="A1558" s="15" t="s">
        <v>4296</v>
      </c>
      <c r="B1558" s="15" t="s">
        <v>4311</v>
      </c>
      <c r="C1558" s="52">
        <v>92.317969000000005</v>
      </c>
      <c r="D1558" s="25">
        <v>8.8888888888888892E-2</v>
      </c>
      <c r="F1558" s="61" t="s">
        <v>5678</v>
      </c>
    </row>
    <row r="1559" spans="1:6" x14ac:dyDescent="0.25">
      <c r="A1559" s="15" t="s">
        <v>4296</v>
      </c>
      <c r="B1559" s="15" t="s">
        <v>4312</v>
      </c>
      <c r="C1559" s="54">
        <v>88.846981</v>
      </c>
      <c r="D1559" s="26">
        <v>8.1250000000000003E-2</v>
      </c>
      <c r="F1559" s="61" t="s">
        <v>5679</v>
      </c>
    </row>
    <row r="1560" spans="1:6" x14ac:dyDescent="0.25">
      <c r="A1560" s="15" t="s">
        <v>4296</v>
      </c>
      <c r="B1560" s="15" t="s">
        <v>4313</v>
      </c>
      <c r="C1560" s="52">
        <v>111.499745</v>
      </c>
      <c r="D1560" s="25">
        <v>0.1013888888888889</v>
      </c>
      <c r="F1560" s="61" t="s">
        <v>5680</v>
      </c>
    </row>
    <row r="1561" spans="1:6" x14ac:dyDescent="0.25">
      <c r="A1561" s="15" t="s">
        <v>4296</v>
      </c>
      <c r="B1561" s="15" t="s">
        <v>4314</v>
      </c>
      <c r="C1561" s="54">
        <v>59.466614</v>
      </c>
      <c r="D1561" s="26">
        <v>5.9027777777777783E-2</v>
      </c>
      <c r="F1561" s="61" t="s">
        <v>5681</v>
      </c>
    </row>
    <row r="1562" spans="1:6" x14ac:dyDescent="0.25">
      <c r="A1562" s="15" t="s">
        <v>4296</v>
      </c>
      <c r="B1562" s="15" t="s">
        <v>4315</v>
      </c>
      <c r="C1562" s="52">
        <v>65.986677999999998</v>
      </c>
      <c r="D1562" s="25">
        <v>6.3888888888888884E-2</v>
      </c>
      <c r="F1562" s="61" t="s">
        <v>5682</v>
      </c>
    </row>
    <row r="1563" spans="1:6" x14ac:dyDescent="0.25">
      <c r="A1563" s="15" t="s">
        <v>4296</v>
      </c>
      <c r="B1563" s="15" t="s">
        <v>4316</v>
      </c>
      <c r="C1563" s="54">
        <v>57.547815</v>
      </c>
      <c r="D1563" s="26">
        <v>5.5555555555555552E-2</v>
      </c>
      <c r="F1563" s="61" t="s">
        <v>5683</v>
      </c>
    </row>
    <row r="1564" spans="1:6" x14ac:dyDescent="0.25">
      <c r="A1564" s="15" t="s">
        <v>4296</v>
      </c>
      <c r="B1564" s="15" t="s">
        <v>4317</v>
      </c>
      <c r="C1564" s="52">
        <v>193.936645</v>
      </c>
      <c r="D1564" s="25">
        <v>0.15833333333333333</v>
      </c>
      <c r="F1564" s="61" t="s">
        <v>5684</v>
      </c>
    </row>
    <row r="1565" spans="1:6" x14ac:dyDescent="0.25">
      <c r="A1565" s="15" t="s">
        <v>4296</v>
      </c>
      <c r="B1565" s="15" t="s">
        <v>4318</v>
      </c>
      <c r="C1565" s="54">
        <v>203.047833</v>
      </c>
      <c r="D1565" s="26">
        <v>0.16666666666666666</v>
      </c>
      <c r="F1565" s="61" t="s">
        <v>5685</v>
      </c>
    </row>
    <row r="1566" spans="1:6" x14ac:dyDescent="0.25">
      <c r="A1566" s="15" t="s">
        <v>4296</v>
      </c>
      <c r="B1566" s="15" t="s">
        <v>4319</v>
      </c>
      <c r="C1566" s="52">
        <v>196.685598</v>
      </c>
      <c r="D1566" s="25">
        <v>0.16250000000000001</v>
      </c>
      <c r="F1566" s="61" t="s">
        <v>5686</v>
      </c>
    </row>
    <row r="1567" spans="1:6" x14ac:dyDescent="0.25">
      <c r="A1567" s="15" t="s">
        <v>4296</v>
      </c>
      <c r="B1567" s="15" t="s">
        <v>4320</v>
      </c>
      <c r="C1567" s="54">
        <v>202.92604399999999</v>
      </c>
      <c r="D1567" s="26">
        <v>0.16597222222222222</v>
      </c>
      <c r="F1567" s="61" t="s">
        <v>5687</v>
      </c>
    </row>
    <row r="1568" spans="1:6" x14ac:dyDescent="0.25">
      <c r="A1568" s="15" t="s">
        <v>4296</v>
      </c>
      <c r="B1568" s="15" t="s">
        <v>4321</v>
      </c>
      <c r="C1568" s="52">
        <v>199.45816300000001</v>
      </c>
      <c r="D1568" s="25">
        <v>0.16319444444444445</v>
      </c>
      <c r="F1568" s="61" t="s">
        <v>5688</v>
      </c>
    </row>
    <row r="1569" spans="1:6" x14ac:dyDescent="0.25">
      <c r="A1569" s="15" t="s">
        <v>4297</v>
      </c>
      <c r="B1569" s="15">
        <v>3423909</v>
      </c>
      <c r="C1569" s="54">
        <v>62.235450999999998</v>
      </c>
      <c r="D1569" s="26">
        <v>5.7638888888888885E-2</v>
      </c>
      <c r="F1569" s="61" t="s">
        <v>7042</v>
      </c>
    </row>
    <row r="1570" spans="1:6" x14ac:dyDescent="0.25">
      <c r="A1570" s="15" t="s">
        <v>4297</v>
      </c>
      <c r="B1570" s="15">
        <v>3403208</v>
      </c>
      <c r="C1570" s="52">
        <v>174.16704999999999</v>
      </c>
      <c r="D1570" s="25">
        <v>0.15069444444444444</v>
      </c>
      <c r="F1570" s="61" t="s">
        <v>7147</v>
      </c>
    </row>
    <row r="1571" spans="1:6" x14ac:dyDescent="0.25">
      <c r="A1571" s="15" t="s">
        <v>4297</v>
      </c>
      <c r="B1571" s="15">
        <v>3424402</v>
      </c>
      <c r="C1571" s="54">
        <v>59.444865999999998</v>
      </c>
      <c r="D1571" s="26">
        <v>6.805555555555555E-2</v>
      </c>
      <c r="F1571" s="61" t="s">
        <v>7254</v>
      </c>
    </row>
    <row r="1572" spans="1:6" x14ac:dyDescent="0.25">
      <c r="A1572" s="15" t="s">
        <v>4297</v>
      </c>
      <c r="B1572" s="15" t="s">
        <v>4271</v>
      </c>
      <c r="C1572" s="52">
        <v>65.078231000000002</v>
      </c>
      <c r="D1572" s="25">
        <v>6.1805555555555558E-2</v>
      </c>
      <c r="F1572" s="61" t="s">
        <v>5689</v>
      </c>
    </row>
    <row r="1573" spans="1:6" x14ac:dyDescent="0.25">
      <c r="A1573" s="15" t="s">
        <v>4297</v>
      </c>
      <c r="B1573" s="15" t="s">
        <v>4272</v>
      </c>
      <c r="C1573" s="54">
        <v>68.846234999999993</v>
      </c>
      <c r="D1573" s="26">
        <v>6.7361111111111108E-2</v>
      </c>
      <c r="F1573" s="61" t="s">
        <v>5690</v>
      </c>
    </row>
    <row r="1574" spans="1:6" x14ac:dyDescent="0.25">
      <c r="A1574" s="15" t="s">
        <v>4297</v>
      </c>
      <c r="B1574" s="15" t="s">
        <v>4273</v>
      </c>
      <c r="C1574" s="52">
        <v>66.825530999999998</v>
      </c>
      <c r="D1574" s="25">
        <v>6.458333333333334E-2</v>
      </c>
      <c r="F1574" s="61" t="s">
        <v>5691</v>
      </c>
    </row>
    <row r="1575" spans="1:6" x14ac:dyDescent="0.25">
      <c r="A1575" s="15" t="s">
        <v>4297</v>
      </c>
      <c r="B1575" s="15" t="s">
        <v>4274</v>
      </c>
      <c r="C1575" s="54">
        <v>76.982489999999999</v>
      </c>
      <c r="D1575" s="26">
        <v>7.1527777777777787E-2</v>
      </c>
      <c r="F1575" s="61" t="s">
        <v>5692</v>
      </c>
    </row>
    <row r="1576" spans="1:6" x14ac:dyDescent="0.25">
      <c r="A1576" s="15" t="s">
        <v>4297</v>
      </c>
      <c r="B1576" s="15" t="s">
        <v>4275</v>
      </c>
      <c r="C1576" s="52">
        <v>77.075695999999994</v>
      </c>
      <c r="D1576" s="25">
        <v>7.1527777777777787E-2</v>
      </c>
      <c r="F1576" s="61" t="s">
        <v>5693</v>
      </c>
    </row>
    <row r="1577" spans="1:6" x14ac:dyDescent="0.25">
      <c r="A1577" s="15" t="s">
        <v>4297</v>
      </c>
      <c r="B1577" s="15" t="s">
        <v>4276</v>
      </c>
      <c r="C1577" s="54">
        <v>59.451079</v>
      </c>
      <c r="D1577" s="26">
        <v>6.0416666666666667E-2</v>
      </c>
      <c r="F1577" s="61" t="s">
        <v>5694</v>
      </c>
    </row>
    <row r="1578" spans="1:6" x14ac:dyDescent="0.25">
      <c r="A1578" s="15" t="s">
        <v>4297</v>
      </c>
      <c r="B1578" s="15" t="s">
        <v>4277</v>
      </c>
      <c r="C1578" s="52">
        <v>64.169162999999998</v>
      </c>
      <c r="D1578" s="25">
        <v>6.1111111111111116E-2</v>
      </c>
      <c r="F1578" s="61" t="s">
        <v>5695</v>
      </c>
    </row>
    <row r="1579" spans="1:6" x14ac:dyDescent="0.25">
      <c r="A1579" s="15" t="s">
        <v>4297</v>
      </c>
      <c r="B1579" s="15" t="s">
        <v>4278</v>
      </c>
      <c r="C1579" s="54">
        <v>73.198950999999994</v>
      </c>
      <c r="D1579" s="26">
        <v>6.8749999999999992E-2</v>
      </c>
      <c r="F1579" s="61" t="s">
        <v>5696</v>
      </c>
    </row>
    <row r="1580" spans="1:6" x14ac:dyDescent="0.25">
      <c r="A1580" s="15" t="s">
        <v>4297</v>
      </c>
      <c r="B1580" s="15" t="s">
        <v>4279</v>
      </c>
      <c r="C1580" s="52">
        <v>85.211329000000006</v>
      </c>
      <c r="D1580" s="25">
        <v>7.9861111111111105E-2</v>
      </c>
      <c r="F1580" s="61" t="s">
        <v>5697</v>
      </c>
    </row>
    <row r="1581" spans="1:6" x14ac:dyDescent="0.25">
      <c r="A1581" s="15" t="s">
        <v>4297</v>
      </c>
      <c r="B1581" s="15" t="s">
        <v>4280</v>
      </c>
      <c r="C1581" s="54">
        <v>15.728808000000001</v>
      </c>
      <c r="D1581" s="26">
        <v>3.6111111111111115E-2</v>
      </c>
      <c r="F1581" s="61" t="s">
        <v>5698</v>
      </c>
    </row>
    <row r="1582" spans="1:6" x14ac:dyDescent="0.25">
      <c r="A1582" s="15" t="s">
        <v>4297</v>
      </c>
      <c r="B1582" s="15" t="s">
        <v>4281</v>
      </c>
      <c r="C1582" s="52">
        <v>102.43267400000001</v>
      </c>
      <c r="D1582" s="25">
        <v>8.819444444444445E-2</v>
      </c>
      <c r="F1582" s="61" t="s">
        <v>5699</v>
      </c>
    </row>
    <row r="1583" spans="1:6" x14ac:dyDescent="0.25">
      <c r="A1583" s="15" t="s">
        <v>4297</v>
      </c>
      <c r="B1583" s="15" t="s">
        <v>4282</v>
      </c>
      <c r="C1583" s="54">
        <v>58.486086999999998</v>
      </c>
      <c r="D1583" s="26">
        <v>6.805555555555555E-2</v>
      </c>
      <c r="F1583" s="61" t="s">
        <v>5700</v>
      </c>
    </row>
    <row r="1584" spans="1:6" x14ac:dyDescent="0.25">
      <c r="A1584" s="15" t="s">
        <v>4297</v>
      </c>
      <c r="B1584" s="15" t="s">
        <v>4283</v>
      </c>
      <c r="C1584" s="52">
        <v>66.370064999999997</v>
      </c>
      <c r="D1584" s="25">
        <v>7.3611111111111113E-2</v>
      </c>
      <c r="F1584" s="61" t="s">
        <v>5701</v>
      </c>
    </row>
    <row r="1585" spans="1:6" x14ac:dyDescent="0.25">
      <c r="A1585" s="15" t="s">
        <v>4297</v>
      </c>
      <c r="B1585" s="15" t="s">
        <v>4284</v>
      </c>
      <c r="C1585" s="54">
        <v>64.432625000000002</v>
      </c>
      <c r="D1585" s="26">
        <v>7.0833333333333331E-2</v>
      </c>
      <c r="F1585" s="61" t="s">
        <v>5702</v>
      </c>
    </row>
    <row r="1586" spans="1:6" x14ac:dyDescent="0.25">
      <c r="A1586" s="15" t="s">
        <v>4297</v>
      </c>
      <c r="B1586" s="15" t="s">
        <v>4285</v>
      </c>
      <c r="C1586" s="52">
        <v>66.811239</v>
      </c>
      <c r="D1586" s="25">
        <v>7.7083333333333337E-2</v>
      </c>
      <c r="F1586" s="61" t="s">
        <v>5703</v>
      </c>
    </row>
    <row r="1587" spans="1:6" x14ac:dyDescent="0.25">
      <c r="A1587" s="15" t="s">
        <v>4297</v>
      </c>
      <c r="B1587" s="15" t="s">
        <v>4286</v>
      </c>
      <c r="C1587" s="54">
        <v>65.741856999999996</v>
      </c>
      <c r="D1587" s="26">
        <v>7.4999999999999997E-2</v>
      </c>
      <c r="F1587" s="61" t="s">
        <v>5704</v>
      </c>
    </row>
    <row r="1588" spans="1:6" x14ac:dyDescent="0.25">
      <c r="A1588" s="15" t="s">
        <v>4297</v>
      </c>
      <c r="B1588" s="15" t="s">
        <v>4287</v>
      </c>
      <c r="C1588" s="52">
        <v>66.797568999999996</v>
      </c>
      <c r="D1588" s="25">
        <v>7.3611111111111113E-2</v>
      </c>
      <c r="F1588" s="61" t="s">
        <v>5705</v>
      </c>
    </row>
    <row r="1589" spans="1:6" x14ac:dyDescent="0.25">
      <c r="A1589" s="15" t="s">
        <v>4297</v>
      </c>
      <c r="B1589" s="15" t="s">
        <v>4288</v>
      </c>
      <c r="C1589" s="54">
        <v>71.625635000000003</v>
      </c>
      <c r="D1589" s="26">
        <v>7.8472222222222221E-2</v>
      </c>
      <c r="F1589" s="61" t="s">
        <v>5706</v>
      </c>
    </row>
    <row r="1590" spans="1:6" x14ac:dyDescent="0.25">
      <c r="A1590" s="15" t="s">
        <v>4297</v>
      </c>
      <c r="B1590" s="15" t="s">
        <v>4289</v>
      </c>
      <c r="C1590" s="52">
        <v>9.9972659999999998</v>
      </c>
      <c r="D1590" s="25">
        <v>2.4305555555555556E-2</v>
      </c>
      <c r="F1590" s="61" t="s">
        <v>5707</v>
      </c>
    </row>
    <row r="1591" spans="1:6" x14ac:dyDescent="0.25">
      <c r="A1591" s="15" t="s">
        <v>4297</v>
      </c>
      <c r="B1591" s="15" t="s">
        <v>4290</v>
      </c>
      <c r="C1591" s="54">
        <v>8.0442909999999994</v>
      </c>
      <c r="D1591" s="26">
        <v>1.8055555555555557E-2</v>
      </c>
      <c r="F1591" s="61" t="s">
        <v>5708</v>
      </c>
    </row>
    <row r="1592" spans="1:6" x14ac:dyDescent="0.25">
      <c r="A1592" s="15" t="s">
        <v>4297</v>
      </c>
      <c r="B1592" s="15" t="s">
        <v>4291</v>
      </c>
      <c r="C1592" s="52">
        <v>8.3425499999999992</v>
      </c>
      <c r="D1592" s="25">
        <v>1.6666666666666666E-2</v>
      </c>
      <c r="F1592" s="61" t="s">
        <v>5709</v>
      </c>
    </row>
    <row r="1593" spans="1:6" x14ac:dyDescent="0.25">
      <c r="A1593" s="15" t="s">
        <v>4297</v>
      </c>
      <c r="B1593" s="15" t="s">
        <v>4292</v>
      </c>
      <c r="C1593" s="54">
        <v>7.553407</v>
      </c>
      <c r="D1593" s="26">
        <v>1.6666666666666666E-2</v>
      </c>
      <c r="F1593" s="61" t="s">
        <v>5710</v>
      </c>
    </row>
    <row r="1594" spans="1:6" x14ac:dyDescent="0.25">
      <c r="A1594" s="15" t="s">
        <v>4297</v>
      </c>
      <c r="B1594" s="15" t="s">
        <v>4293</v>
      </c>
      <c r="C1594" s="52">
        <v>2.4451019999999999</v>
      </c>
      <c r="D1594" s="25">
        <v>7.6388888888888886E-3</v>
      </c>
      <c r="F1594" s="61" t="s">
        <v>5711</v>
      </c>
    </row>
    <row r="1595" spans="1:6" x14ac:dyDescent="0.25">
      <c r="A1595" s="15" t="s">
        <v>4297</v>
      </c>
      <c r="B1595" s="15" t="s">
        <v>4294</v>
      </c>
      <c r="C1595" s="54">
        <v>1.642288</v>
      </c>
      <c r="D1595" s="26">
        <v>4.8611111111111112E-3</v>
      </c>
      <c r="F1595" s="61" t="s">
        <v>5712</v>
      </c>
    </row>
    <row r="1596" spans="1:6" x14ac:dyDescent="0.25">
      <c r="A1596" s="15" t="s">
        <v>4297</v>
      </c>
      <c r="B1596" s="15" t="s">
        <v>4295</v>
      </c>
      <c r="C1596" s="52">
        <v>1.3825540000000001</v>
      </c>
      <c r="D1596" s="25">
        <v>6.9444444444444441E-3</v>
      </c>
      <c r="F1596" s="61" t="s">
        <v>5713</v>
      </c>
    </row>
    <row r="1597" spans="1:6" x14ac:dyDescent="0.25">
      <c r="A1597" s="15" t="s">
        <v>4297</v>
      </c>
      <c r="B1597" s="15" t="s">
        <v>4296</v>
      </c>
      <c r="C1597" s="54">
        <v>8.8017450000000004</v>
      </c>
      <c r="D1597" s="26">
        <v>1.5277777777777777E-2</v>
      </c>
      <c r="F1597" s="61" t="s">
        <v>5714</v>
      </c>
    </row>
    <row r="1598" spans="1:6" x14ac:dyDescent="0.25">
      <c r="A1598" s="15" t="s">
        <v>4297</v>
      </c>
      <c r="B1598" s="15" t="s">
        <v>4297</v>
      </c>
      <c r="C1598" s="52">
        <v>0</v>
      </c>
      <c r="D1598" s="25">
        <v>0</v>
      </c>
      <c r="F1598" s="61" t="s">
        <v>5715</v>
      </c>
    </row>
    <row r="1599" spans="1:6" x14ac:dyDescent="0.25">
      <c r="A1599" s="15" t="s">
        <v>4297</v>
      </c>
      <c r="B1599" s="15" t="s">
        <v>4298</v>
      </c>
      <c r="C1599" s="54">
        <v>10.692582</v>
      </c>
      <c r="D1599" s="26">
        <v>2.361111111111111E-2</v>
      </c>
      <c r="F1599" s="61" t="s">
        <v>5716</v>
      </c>
    </row>
    <row r="1600" spans="1:6" x14ac:dyDescent="0.25">
      <c r="A1600" s="15" t="s">
        <v>4297</v>
      </c>
      <c r="B1600" s="15" t="s">
        <v>4299</v>
      </c>
      <c r="C1600" s="52">
        <v>17.998061</v>
      </c>
      <c r="D1600" s="25">
        <v>3.3333333333333333E-2</v>
      </c>
      <c r="F1600" s="61" t="s">
        <v>5717</v>
      </c>
    </row>
    <row r="1601" spans="1:6" x14ac:dyDescent="0.25">
      <c r="A1601" s="15" t="s">
        <v>4297</v>
      </c>
      <c r="B1601" s="15" t="s">
        <v>4300</v>
      </c>
      <c r="C1601" s="54">
        <v>37.419066000000001</v>
      </c>
      <c r="D1601" s="26">
        <v>4.6527777777777779E-2</v>
      </c>
      <c r="F1601" s="61" t="s">
        <v>5718</v>
      </c>
    </row>
    <row r="1602" spans="1:6" x14ac:dyDescent="0.25">
      <c r="A1602" s="15" t="s">
        <v>4297</v>
      </c>
      <c r="B1602" s="15" t="s">
        <v>4301</v>
      </c>
      <c r="C1602" s="52">
        <v>8.3810749999999992</v>
      </c>
      <c r="D1602" s="25">
        <v>2.1527777777777781E-2</v>
      </c>
      <c r="F1602" s="61" t="s">
        <v>5719</v>
      </c>
    </row>
    <row r="1603" spans="1:6" x14ac:dyDescent="0.25">
      <c r="A1603" s="15" t="s">
        <v>4297</v>
      </c>
      <c r="B1603" s="15" t="s">
        <v>4302</v>
      </c>
      <c r="C1603" s="54">
        <v>13.986478999999999</v>
      </c>
      <c r="D1603" s="26">
        <v>2.6388888888888889E-2</v>
      </c>
      <c r="F1603" s="61" t="s">
        <v>5720</v>
      </c>
    </row>
    <row r="1604" spans="1:6" x14ac:dyDescent="0.25">
      <c r="A1604" s="15" t="s">
        <v>4297</v>
      </c>
      <c r="B1604" s="15" t="s">
        <v>4303</v>
      </c>
      <c r="C1604" s="52">
        <v>16.923708000000001</v>
      </c>
      <c r="D1604" s="25">
        <v>3.8194444444444441E-2</v>
      </c>
      <c r="F1604" s="61" t="s">
        <v>5721</v>
      </c>
    </row>
    <row r="1605" spans="1:6" x14ac:dyDescent="0.25">
      <c r="A1605" s="15" t="s">
        <v>4297</v>
      </c>
      <c r="B1605" s="15" t="s">
        <v>4304</v>
      </c>
      <c r="C1605" s="54">
        <v>19.949793</v>
      </c>
      <c r="D1605" s="26">
        <v>2.9861111111111113E-2</v>
      </c>
      <c r="F1605" s="61" t="s">
        <v>5722</v>
      </c>
    </row>
    <row r="1606" spans="1:6" x14ac:dyDescent="0.25">
      <c r="A1606" s="15" t="s">
        <v>4297</v>
      </c>
      <c r="B1606" s="15" t="s">
        <v>4305</v>
      </c>
      <c r="C1606" s="52">
        <v>20.54569</v>
      </c>
      <c r="D1606" s="25">
        <v>2.9166666666666664E-2</v>
      </c>
      <c r="F1606" s="61" t="s">
        <v>5723</v>
      </c>
    </row>
    <row r="1607" spans="1:6" x14ac:dyDescent="0.25">
      <c r="A1607" s="15" t="s">
        <v>4297</v>
      </c>
      <c r="B1607" s="15" t="s">
        <v>4306</v>
      </c>
      <c r="C1607" s="54">
        <v>151.102937</v>
      </c>
      <c r="D1607" s="26">
        <v>0.13541666666666666</v>
      </c>
      <c r="F1607" s="61" t="s">
        <v>5724</v>
      </c>
    </row>
    <row r="1608" spans="1:6" x14ac:dyDescent="0.25">
      <c r="A1608" s="15" t="s">
        <v>4297</v>
      </c>
      <c r="B1608" s="15" t="s">
        <v>4307</v>
      </c>
      <c r="C1608" s="52">
        <v>150.006214</v>
      </c>
      <c r="D1608" s="25">
        <v>0.13402777777777777</v>
      </c>
      <c r="F1608" s="61" t="s">
        <v>5725</v>
      </c>
    </row>
    <row r="1609" spans="1:6" x14ac:dyDescent="0.25">
      <c r="A1609" s="15" t="s">
        <v>4297</v>
      </c>
      <c r="B1609" s="15" t="s">
        <v>4308</v>
      </c>
      <c r="C1609" s="54">
        <v>148.22970900000001</v>
      </c>
      <c r="D1609" s="26">
        <v>0.13194444444444445</v>
      </c>
      <c r="F1609" s="61" t="s">
        <v>5726</v>
      </c>
    </row>
    <row r="1610" spans="1:6" x14ac:dyDescent="0.25">
      <c r="A1610" s="15" t="s">
        <v>4297</v>
      </c>
      <c r="B1610" s="15" t="s">
        <v>4309</v>
      </c>
      <c r="C1610" s="52">
        <v>92.631761999999995</v>
      </c>
      <c r="D1610" s="25">
        <v>9.7916666666666666E-2</v>
      </c>
      <c r="F1610" s="61" t="s">
        <v>5727</v>
      </c>
    </row>
    <row r="1611" spans="1:6" x14ac:dyDescent="0.25">
      <c r="A1611" s="15" t="s">
        <v>4297</v>
      </c>
      <c r="B1611" s="15" t="s">
        <v>4310</v>
      </c>
      <c r="C1611" s="54">
        <v>97.487168999999994</v>
      </c>
      <c r="D1611" s="26">
        <v>0.10625</v>
      </c>
      <c r="F1611" s="61" t="s">
        <v>5728</v>
      </c>
    </row>
    <row r="1612" spans="1:6" x14ac:dyDescent="0.25">
      <c r="A1612" s="15" t="s">
        <v>4297</v>
      </c>
      <c r="B1612" s="15" t="s">
        <v>4311</v>
      </c>
      <c r="C1612" s="52">
        <v>83.670323999999994</v>
      </c>
      <c r="D1612" s="25">
        <v>9.2361111111111116E-2</v>
      </c>
      <c r="F1612" s="61" t="s">
        <v>5729</v>
      </c>
    </row>
    <row r="1613" spans="1:6" x14ac:dyDescent="0.25">
      <c r="A1613" s="15" t="s">
        <v>4297</v>
      </c>
      <c r="B1613" s="15" t="s">
        <v>4312</v>
      </c>
      <c r="C1613" s="54">
        <v>80.199336000000002</v>
      </c>
      <c r="D1613" s="26">
        <v>8.4722222222222213E-2</v>
      </c>
      <c r="F1613" s="61" t="s">
        <v>5730</v>
      </c>
    </row>
    <row r="1614" spans="1:6" x14ac:dyDescent="0.25">
      <c r="A1614" s="15" t="s">
        <v>4297</v>
      </c>
      <c r="B1614" s="15" t="s">
        <v>4313</v>
      </c>
      <c r="C1614" s="52">
        <v>102.852101</v>
      </c>
      <c r="D1614" s="25">
        <v>0.10555555555555556</v>
      </c>
      <c r="F1614" s="61" t="s">
        <v>5731</v>
      </c>
    </row>
    <row r="1615" spans="1:6" x14ac:dyDescent="0.25">
      <c r="A1615" s="15" t="s">
        <v>4297</v>
      </c>
      <c r="B1615" s="15" t="s">
        <v>4314</v>
      </c>
      <c r="C1615" s="54">
        <v>63.915021000000003</v>
      </c>
      <c r="D1615" s="26">
        <v>6.6666666666666666E-2</v>
      </c>
      <c r="F1615" s="61" t="s">
        <v>5732</v>
      </c>
    </row>
    <row r="1616" spans="1:6" x14ac:dyDescent="0.25">
      <c r="A1616" s="15" t="s">
        <v>4297</v>
      </c>
      <c r="B1616" s="15" t="s">
        <v>4315</v>
      </c>
      <c r="C1616" s="52">
        <v>70.435085000000001</v>
      </c>
      <c r="D1616" s="25">
        <v>7.1527777777777787E-2</v>
      </c>
      <c r="F1616" s="61" t="s">
        <v>5733</v>
      </c>
    </row>
    <row r="1617" spans="1:6" x14ac:dyDescent="0.25">
      <c r="A1617" s="15" t="s">
        <v>4297</v>
      </c>
      <c r="B1617" s="15" t="s">
        <v>4316</v>
      </c>
      <c r="C1617" s="54">
        <v>61.996222000000003</v>
      </c>
      <c r="D1617" s="26">
        <v>6.3888888888888884E-2</v>
      </c>
      <c r="F1617" s="61" t="s">
        <v>5734</v>
      </c>
    </row>
    <row r="1618" spans="1:6" x14ac:dyDescent="0.25">
      <c r="A1618" s="15" t="s">
        <v>4297</v>
      </c>
      <c r="B1618" s="15" t="s">
        <v>4317</v>
      </c>
      <c r="C1618" s="52">
        <v>197.559248</v>
      </c>
      <c r="D1618" s="25">
        <v>0.16944444444444443</v>
      </c>
      <c r="F1618" s="61" t="s">
        <v>5735</v>
      </c>
    </row>
    <row r="1619" spans="1:6" x14ac:dyDescent="0.25">
      <c r="A1619" s="15" t="s">
        <v>4297</v>
      </c>
      <c r="B1619" s="15" t="s">
        <v>4318</v>
      </c>
      <c r="C1619" s="54">
        <v>206.670436</v>
      </c>
      <c r="D1619" s="26">
        <v>0.17777777777777778</v>
      </c>
      <c r="F1619" s="61" t="s">
        <v>5736</v>
      </c>
    </row>
    <row r="1620" spans="1:6" x14ac:dyDescent="0.25">
      <c r="A1620" s="15" t="s">
        <v>4297</v>
      </c>
      <c r="B1620" s="15" t="s">
        <v>4319</v>
      </c>
      <c r="C1620" s="52">
        <v>200.308201</v>
      </c>
      <c r="D1620" s="25">
        <v>0.17361111111111113</v>
      </c>
      <c r="F1620" s="61" t="s">
        <v>5737</v>
      </c>
    </row>
    <row r="1621" spans="1:6" x14ac:dyDescent="0.25">
      <c r="A1621" s="15" t="s">
        <v>4297</v>
      </c>
      <c r="B1621" s="15" t="s">
        <v>4320</v>
      </c>
      <c r="C1621" s="54">
        <v>211.734003</v>
      </c>
      <c r="D1621" s="26">
        <v>0.17916666666666667</v>
      </c>
      <c r="F1621" s="61" t="s">
        <v>5738</v>
      </c>
    </row>
    <row r="1622" spans="1:6" x14ac:dyDescent="0.25">
      <c r="A1622" s="15" t="s">
        <v>4297</v>
      </c>
      <c r="B1622" s="15" t="s">
        <v>4321</v>
      </c>
      <c r="C1622" s="52">
        <v>208.266122</v>
      </c>
      <c r="D1622" s="25">
        <v>0.17569444444444446</v>
      </c>
      <c r="F1622" s="61" t="s">
        <v>5739</v>
      </c>
    </row>
    <row r="1623" spans="1:6" x14ac:dyDescent="0.25">
      <c r="A1623" s="15" t="s">
        <v>4298</v>
      </c>
      <c r="B1623" s="15">
        <v>3423909</v>
      </c>
      <c r="C1623" s="54">
        <v>67.069108999999997</v>
      </c>
      <c r="D1623" s="26">
        <v>6.805555555555555E-2</v>
      </c>
      <c r="F1623" s="61" t="s">
        <v>7043</v>
      </c>
    </row>
    <row r="1624" spans="1:6" x14ac:dyDescent="0.25">
      <c r="A1624" s="15" t="s">
        <v>4298</v>
      </c>
      <c r="B1624" s="15">
        <v>3403208</v>
      </c>
      <c r="C1624" s="52">
        <v>177.45100500000001</v>
      </c>
      <c r="D1624" s="25">
        <v>0.15625</v>
      </c>
      <c r="F1624" s="61" t="s">
        <v>7148</v>
      </c>
    </row>
    <row r="1625" spans="1:6" x14ac:dyDescent="0.25">
      <c r="A1625" s="15" t="s">
        <v>4298</v>
      </c>
      <c r="B1625" s="15">
        <v>3424402</v>
      </c>
      <c r="C1625" s="54">
        <v>59.562305000000002</v>
      </c>
      <c r="D1625" s="26">
        <v>6.5277777777777782E-2</v>
      </c>
      <c r="F1625" s="61" t="s">
        <v>7255</v>
      </c>
    </row>
    <row r="1626" spans="1:6" x14ac:dyDescent="0.25">
      <c r="A1626" s="15" t="s">
        <v>4298</v>
      </c>
      <c r="B1626" s="15" t="s">
        <v>4271</v>
      </c>
      <c r="C1626" s="52">
        <v>67.556264999999996</v>
      </c>
      <c r="D1626" s="25">
        <v>7.013888888888889E-2</v>
      </c>
      <c r="F1626" s="61" t="s">
        <v>5740</v>
      </c>
    </row>
    <row r="1627" spans="1:6" x14ac:dyDescent="0.25">
      <c r="A1627" s="15" t="s">
        <v>4298</v>
      </c>
      <c r="B1627" s="15" t="s">
        <v>4272</v>
      </c>
      <c r="C1627" s="54">
        <v>70.459940000000003</v>
      </c>
      <c r="D1627" s="26">
        <v>7.4999999999999997E-2</v>
      </c>
      <c r="F1627" s="61" t="s">
        <v>5741</v>
      </c>
    </row>
    <row r="1628" spans="1:6" x14ac:dyDescent="0.25">
      <c r="A1628" s="15" t="s">
        <v>4298</v>
      </c>
      <c r="B1628" s="15" t="s">
        <v>4273</v>
      </c>
      <c r="C1628" s="52">
        <v>69.283681999999999</v>
      </c>
      <c r="D1628" s="25">
        <v>7.3611111111111113E-2</v>
      </c>
      <c r="F1628" s="61" t="s">
        <v>5742</v>
      </c>
    </row>
    <row r="1629" spans="1:6" x14ac:dyDescent="0.25">
      <c r="A1629" s="15" t="s">
        <v>4298</v>
      </c>
      <c r="B1629" s="15" t="s">
        <v>4274</v>
      </c>
      <c r="C1629" s="54">
        <v>79.440640000000002</v>
      </c>
      <c r="D1629" s="26">
        <v>8.0555555555555561E-2</v>
      </c>
      <c r="F1629" s="61" t="s">
        <v>5743</v>
      </c>
    </row>
    <row r="1630" spans="1:6" x14ac:dyDescent="0.25">
      <c r="A1630" s="15" t="s">
        <v>4298</v>
      </c>
      <c r="B1630" s="15" t="s">
        <v>4275</v>
      </c>
      <c r="C1630" s="52">
        <v>79.533845999999997</v>
      </c>
      <c r="D1630" s="25">
        <v>8.0555555555555561E-2</v>
      </c>
      <c r="F1630" s="61" t="s">
        <v>5744</v>
      </c>
    </row>
    <row r="1631" spans="1:6" x14ac:dyDescent="0.25">
      <c r="A1631" s="15" t="s">
        <v>4298</v>
      </c>
      <c r="B1631" s="15" t="s">
        <v>4276</v>
      </c>
      <c r="C1631" s="54">
        <v>61.929113999999998</v>
      </c>
      <c r="D1631" s="26">
        <v>6.8749999999999992E-2</v>
      </c>
      <c r="F1631" s="61" t="s">
        <v>5745</v>
      </c>
    </row>
    <row r="1632" spans="1:6" x14ac:dyDescent="0.25">
      <c r="A1632" s="15" t="s">
        <v>4298</v>
      </c>
      <c r="B1632" s="15" t="s">
        <v>4277</v>
      </c>
      <c r="C1632" s="52">
        <v>66.647197000000006</v>
      </c>
      <c r="D1632" s="25">
        <v>6.9444444444444434E-2</v>
      </c>
      <c r="F1632" s="61" t="s">
        <v>5746</v>
      </c>
    </row>
    <row r="1633" spans="1:6" x14ac:dyDescent="0.25">
      <c r="A1633" s="15" t="s">
        <v>4298</v>
      </c>
      <c r="B1633" s="15" t="s">
        <v>4278</v>
      </c>
      <c r="C1633" s="54">
        <v>75.676985999999999</v>
      </c>
      <c r="D1633" s="26">
        <v>7.7083333333333337E-2</v>
      </c>
      <c r="F1633" s="61" t="s">
        <v>5747</v>
      </c>
    </row>
    <row r="1634" spans="1:6" x14ac:dyDescent="0.25">
      <c r="A1634" s="15" t="s">
        <v>4298</v>
      </c>
      <c r="B1634" s="15" t="s">
        <v>4279</v>
      </c>
      <c r="C1634" s="52">
        <v>87.669478999999995</v>
      </c>
      <c r="D1634" s="25">
        <v>8.8888888888888892E-2</v>
      </c>
      <c r="F1634" s="61" t="s">
        <v>5748</v>
      </c>
    </row>
    <row r="1635" spans="1:6" x14ac:dyDescent="0.25">
      <c r="A1635" s="15" t="s">
        <v>4298</v>
      </c>
      <c r="B1635" s="15" t="s">
        <v>4280</v>
      </c>
      <c r="C1635" s="54">
        <v>17.668734000000001</v>
      </c>
      <c r="D1635" s="26">
        <v>3.6805555555555557E-2</v>
      </c>
      <c r="F1635" s="61" t="s">
        <v>5749</v>
      </c>
    </row>
    <row r="1636" spans="1:6" x14ac:dyDescent="0.25">
      <c r="A1636" s="15" t="s">
        <v>4298</v>
      </c>
      <c r="B1636" s="15" t="s">
        <v>4281</v>
      </c>
      <c r="C1636" s="52">
        <v>104.89082500000001</v>
      </c>
      <c r="D1636" s="25">
        <v>9.7222222222222224E-2</v>
      </c>
      <c r="F1636" s="61" t="s">
        <v>5750</v>
      </c>
    </row>
    <row r="1637" spans="1:6" x14ac:dyDescent="0.25">
      <c r="A1637" s="15" t="s">
        <v>4298</v>
      </c>
      <c r="B1637" s="15" t="s">
        <v>4282</v>
      </c>
      <c r="C1637" s="54">
        <v>58.603527</v>
      </c>
      <c r="D1637" s="26">
        <v>6.5277777777777782E-2</v>
      </c>
      <c r="F1637" s="61" t="s">
        <v>5751</v>
      </c>
    </row>
    <row r="1638" spans="1:6" x14ac:dyDescent="0.25">
      <c r="A1638" s="15" t="s">
        <v>4298</v>
      </c>
      <c r="B1638" s="15" t="s">
        <v>4283</v>
      </c>
      <c r="C1638" s="52">
        <v>66.487504000000001</v>
      </c>
      <c r="D1638" s="25">
        <v>7.0833333333333331E-2</v>
      </c>
      <c r="F1638" s="61" t="s">
        <v>5752</v>
      </c>
    </row>
    <row r="1639" spans="1:6" x14ac:dyDescent="0.25">
      <c r="A1639" s="15" t="s">
        <v>4298</v>
      </c>
      <c r="B1639" s="15" t="s">
        <v>4284</v>
      </c>
      <c r="C1639" s="54">
        <v>64.550064000000006</v>
      </c>
      <c r="D1639" s="26">
        <v>6.805555555555555E-2</v>
      </c>
      <c r="F1639" s="61" t="s">
        <v>5753</v>
      </c>
    </row>
    <row r="1640" spans="1:6" x14ac:dyDescent="0.25">
      <c r="A1640" s="15" t="s">
        <v>4298</v>
      </c>
      <c r="B1640" s="15" t="s">
        <v>4285</v>
      </c>
      <c r="C1640" s="52">
        <v>66.928679000000002</v>
      </c>
      <c r="D1640" s="25">
        <v>7.3611111111111113E-2</v>
      </c>
      <c r="F1640" s="61" t="s">
        <v>5754</v>
      </c>
    </row>
    <row r="1641" spans="1:6" x14ac:dyDescent="0.25">
      <c r="A1641" s="15" t="s">
        <v>4298</v>
      </c>
      <c r="B1641" s="15" t="s">
        <v>4286</v>
      </c>
      <c r="C1641" s="54">
        <v>65.859296000000001</v>
      </c>
      <c r="D1641" s="26">
        <v>7.2222222222222229E-2</v>
      </c>
      <c r="F1641" s="61" t="s">
        <v>5755</v>
      </c>
    </row>
    <row r="1642" spans="1:6" x14ac:dyDescent="0.25">
      <c r="A1642" s="15" t="s">
        <v>4298</v>
      </c>
      <c r="B1642" s="15" t="s">
        <v>4287</v>
      </c>
      <c r="C1642" s="52">
        <v>66.915008999999998</v>
      </c>
      <c r="D1642" s="25">
        <v>7.0833333333333331E-2</v>
      </c>
      <c r="F1642" s="61" t="s">
        <v>5756</v>
      </c>
    </row>
    <row r="1643" spans="1:6" x14ac:dyDescent="0.25">
      <c r="A1643" s="15" t="s">
        <v>4298</v>
      </c>
      <c r="B1643" s="15" t="s">
        <v>4288</v>
      </c>
      <c r="C1643" s="54">
        <v>71.743075000000005</v>
      </c>
      <c r="D1643" s="26">
        <v>7.4999999999999997E-2</v>
      </c>
      <c r="F1643" s="61" t="s">
        <v>5757</v>
      </c>
    </row>
    <row r="1644" spans="1:6" x14ac:dyDescent="0.25">
      <c r="A1644" s="15" t="s">
        <v>4298</v>
      </c>
      <c r="B1644" s="15" t="s">
        <v>4289</v>
      </c>
      <c r="C1644" s="52">
        <v>15.812072000000001</v>
      </c>
      <c r="D1644" s="25">
        <v>2.9166666666666664E-2</v>
      </c>
      <c r="F1644" s="61" t="s">
        <v>5758</v>
      </c>
    </row>
    <row r="1645" spans="1:6" x14ac:dyDescent="0.25">
      <c r="A1645" s="15" t="s">
        <v>4298</v>
      </c>
      <c r="B1645" s="15" t="s">
        <v>4290</v>
      </c>
      <c r="C1645" s="54">
        <v>13.836107</v>
      </c>
      <c r="D1645" s="26">
        <v>2.5694444444444447E-2</v>
      </c>
      <c r="F1645" s="61" t="s">
        <v>5759</v>
      </c>
    </row>
    <row r="1646" spans="1:6" x14ac:dyDescent="0.25">
      <c r="A1646" s="15" t="s">
        <v>4298</v>
      </c>
      <c r="B1646" s="15" t="s">
        <v>4291</v>
      </c>
      <c r="C1646" s="52">
        <v>12.688431</v>
      </c>
      <c r="D1646" s="25">
        <v>2.2916666666666669E-2</v>
      </c>
      <c r="F1646" s="61" t="s">
        <v>5760</v>
      </c>
    </row>
    <row r="1647" spans="1:6" x14ac:dyDescent="0.25">
      <c r="A1647" s="15" t="s">
        <v>4298</v>
      </c>
      <c r="B1647" s="15" t="s">
        <v>4292</v>
      </c>
      <c r="C1647" s="54">
        <v>11.906744</v>
      </c>
      <c r="D1647" s="26">
        <v>2.4999999999999998E-2</v>
      </c>
      <c r="F1647" s="61" t="s">
        <v>5761</v>
      </c>
    </row>
    <row r="1648" spans="1:6" x14ac:dyDescent="0.25">
      <c r="A1648" s="15" t="s">
        <v>4298</v>
      </c>
      <c r="B1648" s="15" t="s">
        <v>4293</v>
      </c>
      <c r="C1648" s="52">
        <v>14.203338</v>
      </c>
      <c r="D1648" s="25">
        <v>3.125E-2</v>
      </c>
      <c r="F1648" s="61" t="s">
        <v>5762</v>
      </c>
    </row>
    <row r="1649" spans="1:6" x14ac:dyDescent="0.25">
      <c r="A1649" s="15" t="s">
        <v>4298</v>
      </c>
      <c r="B1649" s="15" t="s">
        <v>4294</v>
      </c>
      <c r="C1649" s="54">
        <v>12.278325000000001</v>
      </c>
      <c r="D1649" s="26">
        <v>3.0555555555555555E-2</v>
      </c>
      <c r="F1649" s="61" t="s">
        <v>5763</v>
      </c>
    </row>
    <row r="1650" spans="1:6" x14ac:dyDescent="0.25">
      <c r="A1650" s="15" t="s">
        <v>4298</v>
      </c>
      <c r="B1650" s="15" t="s">
        <v>4295</v>
      </c>
      <c r="C1650" s="52">
        <v>12.993525</v>
      </c>
      <c r="D1650" s="25">
        <v>3.0555555555555555E-2</v>
      </c>
      <c r="F1650" s="61" t="s">
        <v>5764</v>
      </c>
    </row>
    <row r="1651" spans="1:6" x14ac:dyDescent="0.25">
      <c r="A1651" s="15" t="s">
        <v>4298</v>
      </c>
      <c r="B1651" s="15" t="s">
        <v>4296</v>
      </c>
      <c r="C1651" s="54">
        <v>18.690892000000002</v>
      </c>
      <c r="D1651" s="26">
        <v>3.3333333333333333E-2</v>
      </c>
      <c r="F1651" s="61" t="s">
        <v>5765</v>
      </c>
    </row>
    <row r="1652" spans="1:6" x14ac:dyDescent="0.25">
      <c r="A1652" s="15" t="s">
        <v>4298</v>
      </c>
      <c r="B1652" s="15" t="s">
        <v>4297</v>
      </c>
      <c r="C1652" s="52">
        <v>11.011968</v>
      </c>
      <c r="D1652" s="25">
        <v>2.6388888888888889E-2</v>
      </c>
      <c r="F1652" s="61" t="s">
        <v>5766</v>
      </c>
    </row>
    <row r="1653" spans="1:6" x14ac:dyDescent="0.25">
      <c r="A1653" s="15" t="s">
        <v>4298</v>
      </c>
      <c r="B1653" s="15" t="s">
        <v>4298</v>
      </c>
      <c r="C1653" s="54">
        <v>0</v>
      </c>
      <c r="D1653" s="26">
        <v>0</v>
      </c>
      <c r="F1653" s="61" t="s">
        <v>5767</v>
      </c>
    </row>
    <row r="1654" spans="1:6" x14ac:dyDescent="0.25">
      <c r="A1654" s="15" t="s">
        <v>4298</v>
      </c>
      <c r="B1654" s="15" t="s">
        <v>4299</v>
      </c>
      <c r="C1654" s="52">
        <v>6.3672060000000004</v>
      </c>
      <c r="D1654" s="25">
        <v>1.4583333333333332E-2</v>
      </c>
      <c r="F1654" s="61" t="s">
        <v>5768</v>
      </c>
    </row>
    <row r="1655" spans="1:6" x14ac:dyDescent="0.25">
      <c r="A1655" s="15" t="s">
        <v>4298</v>
      </c>
      <c r="B1655" s="15" t="s">
        <v>4300</v>
      </c>
      <c r="C1655" s="54">
        <v>13.600606000000001</v>
      </c>
      <c r="D1655" s="26">
        <v>2.6388888888888889E-2</v>
      </c>
      <c r="F1655" s="61" t="s">
        <v>5769</v>
      </c>
    </row>
    <row r="1656" spans="1:6" x14ac:dyDescent="0.25">
      <c r="A1656" s="15" t="s">
        <v>4298</v>
      </c>
      <c r="B1656" s="15" t="s">
        <v>4301</v>
      </c>
      <c r="C1656" s="52">
        <v>19.245156000000001</v>
      </c>
      <c r="D1656" s="25">
        <v>3.4027777777777775E-2</v>
      </c>
      <c r="F1656" s="61" t="s">
        <v>5770</v>
      </c>
    </row>
    <row r="1657" spans="1:6" x14ac:dyDescent="0.25">
      <c r="A1657" s="15" t="s">
        <v>4298</v>
      </c>
      <c r="B1657" s="15" t="s">
        <v>4302</v>
      </c>
      <c r="C1657" s="54">
        <v>19.176805000000002</v>
      </c>
      <c r="D1657" s="26">
        <v>3.4722222222222224E-2</v>
      </c>
      <c r="F1657" s="61" t="s">
        <v>5771</v>
      </c>
    </row>
    <row r="1658" spans="1:6" x14ac:dyDescent="0.25">
      <c r="A1658" s="15" t="s">
        <v>4298</v>
      </c>
      <c r="B1658" s="15" t="s">
        <v>4303</v>
      </c>
      <c r="C1658" s="52">
        <v>17.788036999999999</v>
      </c>
      <c r="D1658" s="25">
        <v>3.5416666666666666E-2</v>
      </c>
      <c r="F1658" s="61" t="s">
        <v>5772</v>
      </c>
    </row>
    <row r="1659" spans="1:6" x14ac:dyDescent="0.25">
      <c r="A1659" s="15" t="s">
        <v>4298</v>
      </c>
      <c r="B1659" s="15" t="s">
        <v>4304</v>
      </c>
      <c r="C1659" s="54">
        <v>24.797122000000002</v>
      </c>
      <c r="D1659" s="26">
        <v>4.0972222222222222E-2</v>
      </c>
      <c r="F1659" s="61" t="s">
        <v>5773</v>
      </c>
    </row>
    <row r="1660" spans="1:6" x14ac:dyDescent="0.25">
      <c r="A1660" s="15" t="s">
        <v>4298</v>
      </c>
      <c r="B1660" s="15" t="s">
        <v>4305</v>
      </c>
      <c r="C1660" s="52">
        <v>25.393018000000001</v>
      </c>
      <c r="D1660" s="25">
        <v>4.027777777777778E-2</v>
      </c>
      <c r="F1660" s="61" t="s">
        <v>5774</v>
      </c>
    </row>
    <row r="1661" spans="1:6" x14ac:dyDescent="0.25">
      <c r="A1661" s="15" t="s">
        <v>4298</v>
      </c>
      <c r="B1661" s="15" t="s">
        <v>4306</v>
      </c>
      <c r="C1661" s="54">
        <v>154.38689199999999</v>
      </c>
      <c r="D1661" s="26">
        <v>0.14097222222222222</v>
      </c>
      <c r="F1661" s="61" t="s">
        <v>5775</v>
      </c>
    </row>
    <row r="1662" spans="1:6" x14ac:dyDescent="0.25">
      <c r="A1662" s="15" t="s">
        <v>4298</v>
      </c>
      <c r="B1662" s="15" t="s">
        <v>4307</v>
      </c>
      <c r="C1662" s="52">
        <v>153.29016899999999</v>
      </c>
      <c r="D1662" s="25">
        <v>0.13958333333333334</v>
      </c>
      <c r="F1662" s="61" t="s">
        <v>5776</v>
      </c>
    </row>
    <row r="1663" spans="1:6" x14ac:dyDescent="0.25">
      <c r="A1663" s="15" t="s">
        <v>4298</v>
      </c>
      <c r="B1663" s="15" t="s">
        <v>4308</v>
      </c>
      <c r="C1663" s="54">
        <v>151.51366400000001</v>
      </c>
      <c r="D1663" s="26">
        <v>0.13749999999999998</v>
      </c>
      <c r="F1663" s="61" t="s">
        <v>5777</v>
      </c>
    </row>
    <row r="1664" spans="1:6" x14ac:dyDescent="0.25">
      <c r="A1664" s="15" t="s">
        <v>4298</v>
      </c>
      <c r="B1664" s="15" t="s">
        <v>4309</v>
      </c>
      <c r="C1664" s="52">
        <v>92.749201999999997</v>
      </c>
      <c r="D1664" s="25">
        <v>9.4444444444444442E-2</v>
      </c>
      <c r="F1664" s="61" t="s">
        <v>5778</v>
      </c>
    </row>
    <row r="1665" spans="1:6" x14ac:dyDescent="0.25">
      <c r="A1665" s="15" t="s">
        <v>4298</v>
      </c>
      <c r="B1665" s="15" t="s">
        <v>4310</v>
      </c>
      <c r="C1665" s="54">
        <v>93.763282000000004</v>
      </c>
      <c r="D1665" s="26">
        <v>9.8611111111111108E-2</v>
      </c>
      <c r="F1665" s="61" t="s">
        <v>5779</v>
      </c>
    </row>
    <row r="1666" spans="1:6" x14ac:dyDescent="0.25">
      <c r="A1666" s="15" t="s">
        <v>4298</v>
      </c>
      <c r="B1666" s="15" t="s">
        <v>4311</v>
      </c>
      <c r="C1666" s="52">
        <v>83.787763999999996</v>
      </c>
      <c r="D1666" s="25">
        <v>8.9583333333333334E-2</v>
      </c>
      <c r="F1666" s="61" t="s">
        <v>5780</v>
      </c>
    </row>
    <row r="1667" spans="1:6" x14ac:dyDescent="0.25">
      <c r="A1667" s="15" t="s">
        <v>4298</v>
      </c>
      <c r="B1667" s="15" t="s">
        <v>4312</v>
      </c>
      <c r="C1667" s="54">
        <v>80.316776000000004</v>
      </c>
      <c r="D1667" s="26">
        <v>8.1944444444444445E-2</v>
      </c>
      <c r="F1667" s="61" t="s">
        <v>5781</v>
      </c>
    </row>
    <row r="1668" spans="1:6" x14ac:dyDescent="0.25">
      <c r="A1668" s="15" t="s">
        <v>4298</v>
      </c>
      <c r="B1668" s="15" t="s">
        <v>4313</v>
      </c>
      <c r="C1668" s="52">
        <v>102.96953999999999</v>
      </c>
      <c r="D1668" s="25">
        <v>0.10208333333333335</v>
      </c>
      <c r="F1668" s="61" t="s">
        <v>5782</v>
      </c>
    </row>
    <row r="1669" spans="1:6" x14ac:dyDescent="0.25">
      <c r="A1669" s="15" t="s">
        <v>4298</v>
      </c>
      <c r="B1669" s="15" t="s">
        <v>4314</v>
      </c>
      <c r="C1669" s="54">
        <v>67.912932999999995</v>
      </c>
      <c r="D1669" s="26">
        <v>7.4999999999999997E-2</v>
      </c>
      <c r="F1669" s="61" t="s">
        <v>5783</v>
      </c>
    </row>
    <row r="1670" spans="1:6" x14ac:dyDescent="0.25">
      <c r="A1670" s="15" t="s">
        <v>4298</v>
      </c>
      <c r="B1670" s="15" t="s">
        <v>4315</v>
      </c>
      <c r="C1670" s="52">
        <v>68.690892000000005</v>
      </c>
      <c r="D1670" s="25">
        <v>7.7777777777777779E-2</v>
      </c>
      <c r="F1670" s="61" t="s">
        <v>5784</v>
      </c>
    </row>
    <row r="1671" spans="1:6" x14ac:dyDescent="0.25">
      <c r="A1671" s="15" t="s">
        <v>4298</v>
      </c>
      <c r="B1671" s="15" t="s">
        <v>4316</v>
      </c>
      <c r="C1671" s="54">
        <v>66.829881</v>
      </c>
      <c r="D1671" s="26">
        <v>7.3611111111111113E-2</v>
      </c>
      <c r="F1671" s="61" t="s">
        <v>5785</v>
      </c>
    </row>
    <row r="1672" spans="1:6" x14ac:dyDescent="0.25">
      <c r="A1672" s="15" t="s">
        <v>4298</v>
      </c>
      <c r="B1672" s="15" t="s">
        <v>4317</v>
      </c>
      <c r="C1672" s="52">
        <v>200.84320299999999</v>
      </c>
      <c r="D1672" s="25">
        <v>0.17569444444444446</v>
      </c>
      <c r="F1672" s="61" t="s">
        <v>5786</v>
      </c>
    </row>
    <row r="1673" spans="1:6" x14ac:dyDescent="0.25">
      <c r="A1673" s="15" t="s">
        <v>4298</v>
      </c>
      <c r="B1673" s="15" t="s">
        <v>4318</v>
      </c>
      <c r="C1673" s="54">
        <v>209.95439099999999</v>
      </c>
      <c r="D1673" s="26">
        <v>0.18402777777777779</v>
      </c>
      <c r="F1673" s="61" t="s">
        <v>5787</v>
      </c>
    </row>
    <row r="1674" spans="1:6" x14ac:dyDescent="0.25">
      <c r="A1674" s="15" t="s">
        <v>4298</v>
      </c>
      <c r="B1674" s="15" t="s">
        <v>4319</v>
      </c>
      <c r="C1674" s="52">
        <v>203.59215599999999</v>
      </c>
      <c r="D1674" s="25">
        <v>0.17986111111111111</v>
      </c>
      <c r="F1674" s="61" t="s">
        <v>5788</v>
      </c>
    </row>
    <row r="1675" spans="1:6" x14ac:dyDescent="0.25">
      <c r="A1675" s="15" t="s">
        <v>4298</v>
      </c>
      <c r="B1675" s="15" t="s">
        <v>4320</v>
      </c>
      <c r="C1675" s="54">
        <v>212.20811</v>
      </c>
      <c r="D1675" s="26">
        <v>0.18402777777777779</v>
      </c>
      <c r="F1675" s="61" t="s">
        <v>5789</v>
      </c>
    </row>
    <row r="1676" spans="1:6" x14ac:dyDescent="0.25">
      <c r="A1676" s="15" t="s">
        <v>4298</v>
      </c>
      <c r="B1676" s="15" t="s">
        <v>4321</v>
      </c>
      <c r="C1676" s="52">
        <v>215.65672900000001</v>
      </c>
      <c r="D1676" s="25">
        <v>0.18958333333333333</v>
      </c>
      <c r="F1676" s="61" t="s">
        <v>5790</v>
      </c>
    </row>
    <row r="1677" spans="1:6" x14ac:dyDescent="0.25">
      <c r="A1677" s="15" t="s">
        <v>4299</v>
      </c>
      <c r="B1677" s="15">
        <v>3423909</v>
      </c>
      <c r="C1677" s="54">
        <v>72.200405000000003</v>
      </c>
      <c r="D1677" s="26">
        <v>7.2222222222222229E-2</v>
      </c>
      <c r="F1677" s="61" t="s">
        <v>7044</v>
      </c>
    </row>
    <row r="1678" spans="1:6" x14ac:dyDescent="0.25">
      <c r="A1678" s="15" t="s">
        <v>4299</v>
      </c>
      <c r="B1678" s="15">
        <v>3403208</v>
      </c>
      <c r="C1678" s="52">
        <v>179.16909999999999</v>
      </c>
      <c r="D1678" s="25">
        <v>0.15694444444444444</v>
      </c>
      <c r="F1678" s="61" t="s">
        <v>7149</v>
      </c>
    </row>
    <row r="1679" spans="1:6" x14ac:dyDescent="0.25">
      <c r="A1679" s="15" t="s">
        <v>4299</v>
      </c>
      <c r="B1679" s="15">
        <v>3424402</v>
      </c>
      <c r="C1679" s="54">
        <v>67.824077000000003</v>
      </c>
      <c r="D1679" s="26">
        <v>6.1805555555555558E-2</v>
      </c>
      <c r="F1679" s="61" t="s">
        <v>7256</v>
      </c>
    </row>
    <row r="1680" spans="1:6" x14ac:dyDescent="0.25">
      <c r="A1680" s="15" t="s">
        <v>4299</v>
      </c>
      <c r="B1680" s="15" t="s">
        <v>4271</v>
      </c>
      <c r="C1680" s="52">
        <v>69.254476999999994</v>
      </c>
      <c r="D1680" s="25">
        <v>7.1527777777777787E-2</v>
      </c>
      <c r="F1680" s="61" t="s">
        <v>5791</v>
      </c>
    </row>
    <row r="1681" spans="1:6" x14ac:dyDescent="0.25">
      <c r="A1681" s="15" t="s">
        <v>4299</v>
      </c>
      <c r="B1681" s="15" t="s">
        <v>4272</v>
      </c>
      <c r="C1681" s="54">
        <v>73.022480999999999</v>
      </c>
      <c r="D1681" s="26">
        <v>7.7083333333333337E-2</v>
      </c>
      <c r="F1681" s="61" t="s">
        <v>5792</v>
      </c>
    </row>
    <row r="1682" spans="1:6" x14ac:dyDescent="0.25">
      <c r="A1682" s="15" t="s">
        <v>4299</v>
      </c>
      <c r="B1682" s="15" t="s">
        <v>4273</v>
      </c>
      <c r="C1682" s="52">
        <v>71.001777000000004</v>
      </c>
      <c r="D1682" s="25">
        <v>7.4305555555555555E-2</v>
      </c>
      <c r="F1682" s="61" t="s">
        <v>5793</v>
      </c>
    </row>
    <row r="1683" spans="1:6" x14ac:dyDescent="0.25">
      <c r="A1683" s="15" t="s">
        <v>4299</v>
      </c>
      <c r="B1683" s="15" t="s">
        <v>4274</v>
      </c>
      <c r="C1683" s="54">
        <v>81.158736000000005</v>
      </c>
      <c r="D1683" s="26">
        <v>8.1250000000000003E-2</v>
      </c>
      <c r="F1683" s="61" t="s">
        <v>5794</v>
      </c>
    </row>
    <row r="1684" spans="1:6" x14ac:dyDescent="0.25">
      <c r="A1684" s="15" t="s">
        <v>4299</v>
      </c>
      <c r="B1684" s="15" t="s">
        <v>4275</v>
      </c>
      <c r="C1684" s="52">
        <v>81.251942</v>
      </c>
      <c r="D1684" s="25">
        <v>8.1250000000000003E-2</v>
      </c>
      <c r="F1684" s="61" t="s">
        <v>5795</v>
      </c>
    </row>
    <row r="1685" spans="1:6" x14ac:dyDescent="0.25">
      <c r="A1685" s="15" t="s">
        <v>4299</v>
      </c>
      <c r="B1685" s="15" t="s">
        <v>4276</v>
      </c>
      <c r="C1685" s="54">
        <v>63.627324999999999</v>
      </c>
      <c r="D1685" s="26">
        <v>7.013888888888889E-2</v>
      </c>
      <c r="F1685" s="61" t="s">
        <v>5796</v>
      </c>
    </row>
    <row r="1686" spans="1:6" x14ac:dyDescent="0.25">
      <c r="A1686" s="15" t="s">
        <v>4299</v>
      </c>
      <c r="B1686" s="15" t="s">
        <v>4277</v>
      </c>
      <c r="C1686" s="52">
        <v>68.345409000000004</v>
      </c>
      <c r="D1686" s="25">
        <v>7.0833333333333331E-2</v>
      </c>
      <c r="F1686" s="61" t="s">
        <v>5797</v>
      </c>
    </row>
    <row r="1687" spans="1:6" x14ac:dyDescent="0.25">
      <c r="A1687" s="15" t="s">
        <v>4299</v>
      </c>
      <c r="B1687" s="15" t="s">
        <v>4278</v>
      </c>
      <c r="C1687" s="54">
        <v>77.375197</v>
      </c>
      <c r="D1687" s="26">
        <v>7.8472222222222221E-2</v>
      </c>
      <c r="F1687" s="61" t="s">
        <v>5798</v>
      </c>
    </row>
    <row r="1688" spans="1:6" x14ac:dyDescent="0.25">
      <c r="A1688" s="15" t="s">
        <v>4299</v>
      </c>
      <c r="B1688" s="15" t="s">
        <v>4279</v>
      </c>
      <c r="C1688" s="52">
        <v>89.387574999999998</v>
      </c>
      <c r="D1688" s="25">
        <v>8.9583333333333334E-2</v>
      </c>
      <c r="F1688" s="61" t="s">
        <v>5799</v>
      </c>
    </row>
    <row r="1689" spans="1:6" x14ac:dyDescent="0.25">
      <c r="A1689" s="15" t="s">
        <v>4299</v>
      </c>
      <c r="B1689" s="15" t="s">
        <v>4280</v>
      </c>
      <c r="C1689" s="54">
        <v>21.073235</v>
      </c>
      <c r="D1689" s="26">
        <v>3.7499999999999999E-2</v>
      </c>
      <c r="F1689" s="61" t="s">
        <v>5800</v>
      </c>
    </row>
    <row r="1690" spans="1:6" x14ac:dyDescent="0.25">
      <c r="A1690" s="15" t="s">
        <v>4299</v>
      </c>
      <c r="B1690" s="15" t="s">
        <v>4281</v>
      </c>
      <c r="C1690" s="52">
        <v>106.60892</v>
      </c>
      <c r="D1690" s="25">
        <v>9.7916666666666666E-2</v>
      </c>
      <c r="F1690" s="61" t="s">
        <v>5801</v>
      </c>
    </row>
    <row r="1691" spans="1:6" x14ac:dyDescent="0.25">
      <c r="A1691" s="15" t="s">
        <v>4299</v>
      </c>
      <c r="B1691" s="15" t="s">
        <v>4282</v>
      </c>
      <c r="C1691" s="54">
        <v>65.673506000000003</v>
      </c>
      <c r="D1691" s="26">
        <v>6.0416666666666667E-2</v>
      </c>
      <c r="F1691" s="61" t="s">
        <v>5802</v>
      </c>
    </row>
    <row r="1692" spans="1:6" x14ac:dyDescent="0.25">
      <c r="A1692" s="15" t="s">
        <v>4299</v>
      </c>
      <c r="B1692" s="15" t="s">
        <v>4283</v>
      </c>
      <c r="C1692" s="52">
        <v>74.749275999999995</v>
      </c>
      <c r="D1692" s="25">
        <v>6.7361111111111108E-2</v>
      </c>
      <c r="F1692" s="61" t="s">
        <v>5803</v>
      </c>
    </row>
    <row r="1693" spans="1:6" x14ac:dyDescent="0.25">
      <c r="A1693" s="15" t="s">
        <v>4299</v>
      </c>
      <c r="B1693" s="15" t="s">
        <v>4284</v>
      </c>
      <c r="C1693" s="54">
        <v>72.811836</v>
      </c>
      <c r="D1693" s="26">
        <v>6.3888888888888884E-2</v>
      </c>
      <c r="F1693" s="61" t="s">
        <v>5804</v>
      </c>
    </row>
    <row r="1694" spans="1:6" x14ac:dyDescent="0.25">
      <c r="A1694" s="15" t="s">
        <v>4299</v>
      </c>
      <c r="B1694" s="15" t="s">
        <v>4285</v>
      </c>
      <c r="C1694" s="52">
        <v>75.190450999999996</v>
      </c>
      <c r="D1694" s="25">
        <v>7.013888888888889E-2</v>
      </c>
      <c r="F1694" s="61" t="s">
        <v>5805</v>
      </c>
    </row>
    <row r="1695" spans="1:6" x14ac:dyDescent="0.25">
      <c r="A1695" s="15" t="s">
        <v>4299</v>
      </c>
      <c r="B1695" s="15" t="s">
        <v>4286</v>
      </c>
      <c r="C1695" s="54">
        <v>74.121067999999994</v>
      </c>
      <c r="D1695" s="26">
        <v>6.8749999999999992E-2</v>
      </c>
      <c r="F1695" s="61" t="s">
        <v>5806</v>
      </c>
    </row>
    <row r="1696" spans="1:6" x14ac:dyDescent="0.25">
      <c r="A1696" s="15" t="s">
        <v>4299</v>
      </c>
      <c r="B1696" s="15" t="s">
        <v>4287</v>
      </c>
      <c r="C1696" s="52">
        <v>75.176781000000005</v>
      </c>
      <c r="D1696" s="25">
        <v>6.6666666666666666E-2</v>
      </c>
      <c r="F1696" s="61" t="s">
        <v>5807</v>
      </c>
    </row>
    <row r="1697" spans="1:6" x14ac:dyDescent="0.25">
      <c r="A1697" s="15" t="s">
        <v>4299</v>
      </c>
      <c r="B1697" s="15" t="s">
        <v>4288</v>
      </c>
      <c r="C1697" s="54">
        <v>80.004846999999998</v>
      </c>
      <c r="D1697" s="26">
        <v>7.1527777777777787E-2</v>
      </c>
      <c r="F1697" s="61" t="s">
        <v>5808</v>
      </c>
    </row>
    <row r="1698" spans="1:6" x14ac:dyDescent="0.25">
      <c r="A1698" s="15" t="s">
        <v>4299</v>
      </c>
      <c r="B1698" s="15" t="s">
        <v>4289</v>
      </c>
      <c r="C1698" s="52">
        <v>16.24579</v>
      </c>
      <c r="D1698" s="25">
        <v>2.8472222222222222E-2</v>
      </c>
      <c r="F1698" s="61" t="s">
        <v>5809</v>
      </c>
    </row>
    <row r="1699" spans="1:6" x14ac:dyDescent="0.25">
      <c r="A1699" s="15" t="s">
        <v>4299</v>
      </c>
      <c r="B1699" s="15" t="s">
        <v>4290</v>
      </c>
      <c r="C1699" s="54">
        <v>19.926181</v>
      </c>
      <c r="D1699" s="26">
        <v>3.1944444444444449E-2</v>
      </c>
      <c r="F1699" s="61" t="s">
        <v>5810</v>
      </c>
    </row>
    <row r="1700" spans="1:6" x14ac:dyDescent="0.25">
      <c r="A1700" s="15" t="s">
        <v>4299</v>
      </c>
      <c r="B1700" s="15" t="s">
        <v>4291</v>
      </c>
      <c r="C1700" s="52">
        <v>18.778504999999999</v>
      </c>
      <c r="D1700" s="25">
        <v>2.9166666666666664E-2</v>
      </c>
      <c r="F1700" s="61" t="s">
        <v>5811</v>
      </c>
    </row>
    <row r="1701" spans="1:6" x14ac:dyDescent="0.25">
      <c r="A1701" s="15" t="s">
        <v>4299</v>
      </c>
      <c r="B1701" s="15" t="s">
        <v>4292</v>
      </c>
      <c r="C1701" s="54">
        <v>18.003032000000001</v>
      </c>
      <c r="D1701" s="26">
        <v>3.0555555555555555E-2</v>
      </c>
      <c r="F1701" s="61" t="s">
        <v>5812</v>
      </c>
    </row>
    <row r="1702" spans="1:6" x14ac:dyDescent="0.25">
      <c r="A1702" s="15" t="s">
        <v>4299</v>
      </c>
      <c r="B1702" s="15" t="s">
        <v>4293</v>
      </c>
      <c r="C1702" s="52">
        <v>19.448967</v>
      </c>
      <c r="D1702" s="25">
        <v>3.5416666666666666E-2</v>
      </c>
      <c r="F1702" s="61" t="s">
        <v>5813</v>
      </c>
    </row>
    <row r="1703" spans="1:6" x14ac:dyDescent="0.25">
      <c r="A1703" s="15" t="s">
        <v>4299</v>
      </c>
      <c r="B1703" s="15" t="s">
        <v>4294</v>
      </c>
      <c r="C1703" s="54">
        <v>19.947928999999998</v>
      </c>
      <c r="D1703" s="26">
        <v>3.6805555555555557E-2</v>
      </c>
      <c r="F1703" s="61" t="s">
        <v>5814</v>
      </c>
    </row>
    <row r="1704" spans="1:6" x14ac:dyDescent="0.25">
      <c r="A1704" s="15" t="s">
        <v>4299</v>
      </c>
      <c r="B1704" s="15" t="s">
        <v>4295</v>
      </c>
      <c r="C1704" s="52">
        <v>21.598915999999999</v>
      </c>
      <c r="D1704" s="25">
        <v>4.0972222222222222E-2</v>
      </c>
      <c r="F1704" s="61" t="s">
        <v>5815</v>
      </c>
    </row>
    <row r="1705" spans="1:6" x14ac:dyDescent="0.25">
      <c r="A1705" s="15" t="s">
        <v>4299</v>
      </c>
      <c r="B1705" s="15" t="s">
        <v>4296</v>
      </c>
      <c r="C1705" s="54">
        <v>24.787179999999999</v>
      </c>
      <c r="D1705" s="26">
        <v>3.9583333333333331E-2</v>
      </c>
      <c r="F1705" s="61" t="s">
        <v>5816</v>
      </c>
    </row>
    <row r="1706" spans="1:6" x14ac:dyDescent="0.25">
      <c r="A1706" s="15" t="s">
        <v>4299</v>
      </c>
      <c r="B1706" s="15" t="s">
        <v>4297</v>
      </c>
      <c r="C1706" s="52">
        <v>20.476717000000001</v>
      </c>
      <c r="D1706" s="25">
        <v>3.7499999999999999E-2</v>
      </c>
      <c r="F1706" s="61" t="s">
        <v>5817</v>
      </c>
    </row>
    <row r="1707" spans="1:6" x14ac:dyDescent="0.25">
      <c r="A1707" s="15" t="s">
        <v>4299</v>
      </c>
      <c r="B1707" s="15" t="s">
        <v>4298</v>
      </c>
      <c r="C1707" s="54">
        <v>6.9121499999999996</v>
      </c>
      <c r="D1707" s="26">
        <v>1.8055555555555557E-2</v>
      </c>
      <c r="F1707" s="61" t="s">
        <v>5818</v>
      </c>
    </row>
    <row r="1708" spans="1:6" x14ac:dyDescent="0.25">
      <c r="A1708" s="15" t="s">
        <v>4299</v>
      </c>
      <c r="B1708" s="15" t="s">
        <v>4299</v>
      </c>
      <c r="C1708" s="52">
        <v>0</v>
      </c>
      <c r="D1708" s="25">
        <v>0</v>
      </c>
      <c r="F1708" s="61" t="s">
        <v>5819</v>
      </c>
    </row>
    <row r="1709" spans="1:6" x14ac:dyDescent="0.25">
      <c r="A1709" s="15" t="s">
        <v>4299</v>
      </c>
      <c r="B1709" s="15" t="s">
        <v>4300</v>
      </c>
      <c r="C1709" s="54">
        <v>7.9249879999999999</v>
      </c>
      <c r="D1709" s="26">
        <v>1.6666666666666666E-2</v>
      </c>
      <c r="F1709" s="61" t="s">
        <v>5820</v>
      </c>
    </row>
    <row r="1710" spans="1:6" x14ac:dyDescent="0.25">
      <c r="A1710" s="15" t="s">
        <v>4299</v>
      </c>
      <c r="B1710" s="15" t="s">
        <v>4301</v>
      </c>
      <c r="C1710" s="52">
        <v>25.335231</v>
      </c>
      <c r="D1710" s="25">
        <v>4.027777777777778E-2</v>
      </c>
      <c r="F1710" s="61" t="s">
        <v>5821</v>
      </c>
    </row>
    <row r="1711" spans="1:6" x14ac:dyDescent="0.25">
      <c r="A1711" s="15" t="s">
        <v>4299</v>
      </c>
      <c r="B1711" s="15" t="s">
        <v>4302</v>
      </c>
      <c r="C1711" s="54">
        <v>21.544857</v>
      </c>
      <c r="D1711" s="26">
        <v>3.6111111111111115E-2</v>
      </c>
      <c r="F1711" s="61" t="s">
        <v>5822</v>
      </c>
    </row>
    <row r="1712" spans="1:6" x14ac:dyDescent="0.25">
      <c r="A1712" s="15" t="s">
        <v>4299</v>
      </c>
      <c r="B1712" s="15" t="s">
        <v>4303</v>
      </c>
      <c r="C1712" s="52">
        <v>20.647594999999999</v>
      </c>
      <c r="D1712" s="25">
        <v>3.4027777777777775E-2</v>
      </c>
      <c r="F1712" s="61" t="s">
        <v>5823</v>
      </c>
    </row>
    <row r="1713" spans="1:6" x14ac:dyDescent="0.25">
      <c r="A1713" s="15" t="s">
        <v>4299</v>
      </c>
      <c r="B1713" s="15" t="s">
        <v>4304</v>
      </c>
      <c r="C1713" s="54">
        <v>30.042750000000002</v>
      </c>
      <c r="D1713" s="26">
        <v>4.5138888888888888E-2</v>
      </c>
      <c r="F1713" s="61" t="s">
        <v>5824</v>
      </c>
    </row>
    <row r="1714" spans="1:6" x14ac:dyDescent="0.25">
      <c r="A1714" s="15" t="s">
        <v>4299</v>
      </c>
      <c r="B1714" s="15" t="s">
        <v>4305</v>
      </c>
      <c r="C1714" s="52">
        <v>30.638646999999999</v>
      </c>
      <c r="D1714" s="25">
        <v>4.4444444444444446E-2</v>
      </c>
      <c r="F1714" s="61" t="s">
        <v>5825</v>
      </c>
    </row>
    <row r="1715" spans="1:6" x14ac:dyDescent="0.25">
      <c r="A1715" s="15" t="s">
        <v>4299</v>
      </c>
      <c r="B1715" s="15" t="s">
        <v>4306</v>
      </c>
      <c r="C1715" s="54">
        <v>156.10498699999999</v>
      </c>
      <c r="D1715" s="26">
        <v>0.14166666666666666</v>
      </c>
      <c r="F1715" s="61" t="s">
        <v>5826</v>
      </c>
    </row>
    <row r="1716" spans="1:6" x14ac:dyDescent="0.25">
      <c r="A1716" s="15" t="s">
        <v>4299</v>
      </c>
      <c r="B1716" s="15" t="s">
        <v>4307</v>
      </c>
      <c r="C1716" s="52">
        <v>155.008264</v>
      </c>
      <c r="D1716" s="25">
        <v>0.14027777777777778</v>
      </c>
      <c r="F1716" s="61" t="s">
        <v>5827</v>
      </c>
    </row>
    <row r="1717" spans="1:6" x14ac:dyDescent="0.25">
      <c r="A1717" s="15" t="s">
        <v>4299</v>
      </c>
      <c r="B1717" s="15" t="s">
        <v>4308</v>
      </c>
      <c r="C1717" s="54">
        <v>153.23176000000001</v>
      </c>
      <c r="D1717" s="26">
        <v>0.13819444444444443</v>
      </c>
      <c r="F1717" s="61" t="s">
        <v>5828</v>
      </c>
    </row>
    <row r="1718" spans="1:6" x14ac:dyDescent="0.25">
      <c r="A1718" s="15" t="s">
        <v>4299</v>
      </c>
      <c r="B1718" s="15" t="s">
        <v>4309</v>
      </c>
      <c r="C1718" s="52">
        <v>102.660718</v>
      </c>
      <c r="D1718" s="25">
        <v>9.0972222222222218E-2</v>
      </c>
      <c r="F1718" s="61" t="s">
        <v>5829</v>
      </c>
    </row>
    <row r="1719" spans="1:6" x14ac:dyDescent="0.25">
      <c r="A1719" s="15" t="s">
        <v>4299</v>
      </c>
      <c r="B1719" s="15" t="s">
        <v>4310</v>
      </c>
      <c r="C1719" s="54">
        <v>104.222228</v>
      </c>
      <c r="D1719" s="26">
        <v>9.4444444444444442E-2</v>
      </c>
      <c r="F1719" s="61" t="s">
        <v>5830</v>
      </c>
    </row>
    <row r="1720" spans="1:6" x14ac:dyDescent="0.25">
      <c r="A1720" s="15" t="s">
        <v>4299</v>
      </c>
      <c r="B1720" s="15" t="s">
        <v>4311</v>
      </c>
      <c r="C1720" s="52">
        <v>81.242621</v>
      </c>
      <c r="D1720" s="25">
        <v>8.5416666666666655E-2</v>
      </c>
      <c r="F1720" s="61" t="s">
        <v>5831</v>
      </c>
    </row>
    <row r="1721" spans="1:6" x14ac:dyDescent="0.25">
      <c r="A1721" s="15" t="s">
        <v>4299</v>
      </c>
      <c r="B1721" s="15" t="s">
        <v>4312</v>
      </c>
      <c r="C1721" s="54">
        <v>88.578547999999998</v>
      </c>
      <c r="D1721" s="26">
        <v>7.7777777777777779E-2</v>
      </c>
      <c r="F1721" s="61" t="s">
        <v>5832</v>
      </c>
    </row>
    <row r="1722" spans="1:6" x14ac:dyDescent="0.25">
      <c r="A1722" s="15" t="s">
        <v>4299</v>
      </c>
      <c r="B1722" s="15" t="s">
        <v>4313</v>
      </c>
      <c r="C1722" s="52">
        <v>112.881057</v>
      </c>
      <c r="D1722" s="25">
        <v>9.8611111111111108E-2</v>
      </c>
      <c r="F1722" s="61" t="s">
        <v>5833</v>
      </c>
    </row>
    <row r="1723" spans="1:6" x14ac:dyDescent="0.25">
      <c r="A1723" s="15" t="s">
        <v>4299</v>
      </c>
      <c r="B1723" s="15" t="s">
        <v>4314</v>
      </c>
      <c r="C1723" s="54">
        <v>73.994308000000004</v>
      </c>
      <c r="D1723" s="26">
        <v>8.1250000000000003E-2</v>
      </c>
      <c r="F1723" s="61" t="s">
        <v>5834</v>
      </c>
    </row>
    <row r="1724" spans="1:6" x14ac:dyDescent="0.25">
      <c r="A1724" s="15" t="s">
        <v>4299</v>
      </c>
      <c r="B1724" s="15" t="s">
        <v>4315</v>
      </c>
      <c r="C1724" s="52">
        <v>75.951010999999994</v>
      </c>
      <c r="D1724" s="25">
        <v>8.6805555555555566E-2</v>
      </c>
      <c r="F1724" s="61" t="s">
        <v>5835</v>
      </c>
    </row>
    <row r="1725" spans="1:6" x14ac:dyDescent="0.25">
      <c r="A1725" s="15" t="s">
        <v>4299</v>
      </c>
      <c r="B1725" s="15" t="s">
        <v>4316</v>
      </c>
      <c r="C1725" s="54">
        <v>72.066810000000004</v>
      </c>
      <c r="D1725" s="26">
        <v>7.8472222222222221E-2</v>
      </c>
      <c r="F1725" s="61" t="s">
        <v>5836</v>
      </c>
    </row>
    <row r="1726" spans="1:6" x14ac:dyDescent="0.25">
      <c r="A1726" s="15" t="s">
        <v>4299</v>
      </c>
      <c r="B1726" s="15" t="s">
        <v>4317</v>
      </c>
      <c r="C1726" s="52">
        <v>202.56129799999999</v>
      </c>
      <c r="D1726" s="25">
        <v>0.1763888888888889</v>
      </c>
      <c r="F1726" s="61" t="s">
        <v>5837</v>
      </c>
    </row>
    <row r="1727" spans="1:6" x14ac:dyDescent="0.25">
      <c r="A1727" s="15" t="s">
        <v>4299</v>
      </c>
      <c r="B1727" s="15" t="s">
        <v>4318</v>
      </c>
      <c r="C1727" s="54">
        <v>211.67248699999999</v>
      </c>
      <c r="D1727" s="26">
        <v>0.18472222222222223</v>
      </c>
      <c r="F1727" s="61" t="s">
        <v>5838</v>
      </c>
    </row>
    <row r="1728" spans="1:6" x14ac:dyDescent="0.25">
      <c r="A1728" s="15" t="s">
        <v>4299</v>
      </c>
      <c r="B1728" s="15" t="s">
        <v>4319</v>
      </c>
      <c r="C1728" s="52">
        <v>205.31025099999999</v>
      </c>
      <c r="D1728" s="25">
        <v>0.17986111111111111</v>
      </c>
      <c r="F1728" s="61" t="s">
        <v>5839</v>
      </c>
    </row>
    <row r="1729" spans="1:6" x14ac:dyDescent="0.25">
      <c r="A1729" s="15" t="s">
        <v>4299</v>
      </c>
      <c r="B1729" s="15" t="s">
        <v>4320</v>
      </c>
      <c r="C1729" s="54">
        <v>218.3597</v>
      </c>
      <c r="D1729" s="26">
        <v>0.18958333333333333</v>
      </c>
      <c r="F1729" s="61" t="s">
        <v>5840</v>
      </c>
    </row>
    <row r="1730" spans="1:6" x14ac:dyDescent="0.25">
      <c r="A1730" s="15" t="s">
        <v>4299</v>
      </c>
      <c r="B1730" s="15" t="s">
        <v>4321</v>
      </c>
      <c r="C1730" s="52">
        <v>215.164602</v>
      </c>
      <c r="D1730" s="25">
        <v>0.1875</v>
      </c>
      <c r="F1730" s="61" t="s">
        <v>5841</v>
      </c>
    </row>
    <row r="1731" spans="1:6" x14ac:dyDescent="0.25">
      <c r="A1731" s="15" t="s">
        <v>4300</v>
      </c>
      <c r="B1731" s="15">
        <v>3423909</v>
      </c>
      <c r="C1731" s="54">
        <v>76.862565000000004</v>
      </c>
      <c r="D1731" s="26">
        <v>8.1250000000000003E-2</v>
      </c>
      <c r="F1731" s="61" t="s">
        <v>7045</v>
      </c>
    </row>
    <row r="1732" spans="1:6" x14ac:dyDescent="0.25">
      <c r="A1732" s="15" t="s">
        <v>4300</v>
      </c>
      <c r="B1732" s="15">
        <v>3403208</v>
      </c>
      <c r="C1732" s="52">
        <v>182.538183</v>
      </c>
      <c r="D1732" s="25">
        <v>0.16319444444444445</v>
      </c>
      <c r="F1732" s="61" t="s">
        <v>7150</v>
      </c>
    </row>
    <row r="1733" spans="1:6" x14ac:dyDescent="0.25">
      <c r="A1733" s="15" t="s">
        <v>4300</v>
      </c>
      <c r="B1733" s="15">
        <v>3424402</v>
      </c>
      <c r="C1733" s="54">
        <v>58.180371999999998</v>
      </c>
      <c r="D1733" s="26">
        <v>5.347222222222222E-2</v>
      </c>
      <c r="F1733" s="61" t="s">
        <v>7257</v>
      </c>
    </row>
    <row r="1734" spans="1:6" x14ac:dyDescent="0.25">
      <c r="A1734" s="15" t="s">
        <v>4300</v>
      </c>
      <c r="B1734" s="15" t="s">
        <v>4271</v>
      </c>
      <c r="C1734" s="52">
        <v>72.623559999999998</v>
      </c>
      <c r="D1734" s="25">
        <v>7.7777777777777779E-2</v>
      </c>
      <c r="F1734" s="61" t="s">
        <v>5842</v>
      </c>
    </row>
    <row r="1735" spans="1:6" x14ac:dyDescent="0.25">
      <c r="A1735" s="15" t="s">
        <v>4300</v>
      </c>
      <c r="B1735" s="15" t="s">
        <v>4272</v>
      </c>
      <c r="C1735" s="54">
        <v>76.391564000000002</v>
      </c>
      <c r="D1735" s="26">
        <v>8.3333333333333329E-2</v>
      </c>
      <c r="F1735" s="61" t="s">
        <v>5843</v>
      </c>
    </row>
    <row r="1736" spans="1:6" x14ac:dyDescent="0.25">
      <c r="A1736" s="15" t="s">
        <v>4300</v>
      </c>
      <c r="B1736" s="15" t="s">
        <v>4273</v>
      </c>
      <c r="C1736" s="52">
        <v>74.370859999999993</v>
      </c>
      <c r="D1736" s="25">
        <v>8.0555555555555561E-2</v>
      </c>
      <c r="F1736" s="61" t="s">
        <v>5844</v>
      </c>
    </row>
    <row r="1737" spans="1:6" x14ac:dyDescent="0.25">
      <c r="A1737" s="15" t="s">
        <v>4300</v>
      </c>
      <c r="B1737" s="15" t="s">
        <v>4274</v>
      </c>
      <c r="C1737" s="54">
        <v>84.527818999999994</v>
      </c>
      <c r="D1737" s="26">
        <v>8.7500000000000008E-2</v>
      </c>
      <c r="F1737" s="61" t="s">
        <v>5845</v>
      </c>
    </row>
    <row r="1738" spans="1:6" x14ac:dyDescent="0.25">
      <c r="A1738" s="15" t="s">
        <v>4300</v>
      </c>
      <c r="B1738" s="15" t="s">
        <v>4275</v>
      </c>
      <c r="C1738" s="52">
        <v>84.621025000000003</v>
      </c>
      <c r="D1738" s="25">
        <v>8.7500000000000008E-2</v>
      </c>
      <c r="F1738" s="61" t="s">
        <v>5846</v>
      </c>
    </row>
    <row r="1739" spans="1:6" x14ac:dyDescent="0.25">
      <c r="A1739" s="15" t="s">
        <v>4300</v>
      </c>
      <c r="B1739" s="15" t="s">
        <v>4276</v>
      </c>
      <c r="C1739" s="54">
        <v>66.996408000000002</v>
      </c>
      <c r="D1739" s="26">
        <v>7.6388888888888895E-2</v>
      </c>
      <c r="F1739" s="61" t="s">
        <v>5847</v>
      </c>
    </row>
    <row r="1740" spans="1:6" x14ac:dyDescent="0.25">
      <c r="A1740" s="15" t="s">
        <v>4300</v>
      </c>
      <c r="B1740" s="15" t="s">
        <v>4277</v>
      </c>
      <c r="C1740" s="52">
        <v>71.714492000000007</v>
      </c>
      <c r="D1740" s="25">
        <v>7.7083333333333337E-2</v>
      </c>
      <c r="F1740" s="61" t="s">
        <v>5848</v>
      </c>
    </row>
    <row r="1741" spans="1:6" x14ac:dyDescent="0.25">
      <c r="A1741" s="15" t="s">
        <v>4300</v>
      </c>
      <c r="B1741" s="15" t="s">
        <v>4278</v>
      </c>
      <c r="C1741" s="54">
        <v>80.744280000000003</v>
      </c>
      <c r="D1741" s="26">
        <v>8.4722222222222213E-2</v>
      </c>
      <c r="F1741" s="61" t="s">
        <v>5849</v>
      </c>
    </row>
    <row r="1742" spans="1:6" x14ac:dyDescent="0.25">
      <c r="A1742" s="15" t="s">
        <v>4300</v>
      </c>
      <c r="B1742" s="15" t="s">
        <v>4279</v>
      </c>
      <c r="C1742" s="52">
        <v>92.756658000000002</v>
      </c>
      <c r="D1742" s="25">
        <v>9.5833333333333326E-2</v>
      </c>
      <c r="F1742" s="61" t="s">
        <v>5850</v>
      </c>
    </row>
    <row r="1743" spans="1:6" x14ac:dyDescent="0.25">
      <c r="A1743" s="15" t="s">
        <v>4300</v>
      </c>
      <c r="B1743" s="15" t="s">
        <v>4280</v>
      </c>
      <c r="C1743" s="54">
        <v>24.442318</v>
      </c>
      <c r="D1743" s="26">
        <v>4.4444444444444446E-2</v>
      </c>
      <c r="F1743" s="61" t="s">
        <v>5851</v>
      </c>
    </row>
    <row r="1744" spans="1:6" x14ac:dyDescent="0.25">
      <c r="A1744" s="15" t="s">
        <v>4300</v>
      </c>
      <c r="B1744" s="15" t="s">
        <v>4281</v>
      </c>
      <c r="C1744" s="52">
        <v>109.978003</v>
      </c>
      <c r="D1744" s="25">
        <v>0.10416666666666667</v>
      </c>
      <c r="F1744" s="61" t="s">
        <v>5852</v>
      </c>
    </row>
    <row r="1745" spans="1:6" x14ac:dyDescent="0.25">
      <c r="A1745" s="15" t="s">
        <v>4300</v>
      </c>
      <c r="B1745" s="15" t="s">
        <v>4282</v>
      </c>
      <c r="C1745" s="54">
        <v>56.029800999999999</v>
      </c>
      <c r="D1745" s="26">
        <v>5.2777777777777778E-2</v>
      </c>
      <c r="F1745" s="61" t="s">
        <v>5853</v>
      </c>
    </row>
    <row r="1746" spans="1:6" x14ac:dyDescent="0.25">
      <c r="A1746" s="15" t="s">
        <v>4300</v>
      </c>
      <c r="B1746" s="15" t="s">
        <v>4283</v>
      </c>
      <c r="C1746" s="52">
        <v>65.105570999999998</v>
      </c>
      <c r="D1746" s="25">
        <v>5.9027777777777783E-2</v>
      </c>
      <c r="F1746" s="61" t="s">
        <v>5854</v>
      </c>
    </row>
    <row r="1747" spans="1:6" x14ac:dyDescent="0.25">
      <c r="A1747" s="15" t="s">
        <v>4300</v>
      </c>
      <c r="B1747" s="15" t="s">
        <v>4284</v>
      </c>
      <c r="C1747" s="54">
        <v>63.168131000000002</v>
      </c>
      <c r="D1747" s="26">
        <v>5.5555555555555552E-2</v>
      </c>
      <c r="F1747" s="61" t="s">
        <v>5855</v>
      </c>
    </row>
    <row r="1748" spans="1:6" x14ac:dyDescent="0.25">
      <c r="A1748" s="15" t="s">
        <v>4300</v>
      </c>
      <c r="B1748" s="15" t="s">
        <v>4285</v>
      </c>
      <c r="C1748" s="52">
        <v>65.546745999999999</v>
      </c>
      <c r="D1748" s="25">
        <v>6.1805555555555558E-2</v>
      </c>
      <c r="F1748" s="61" t="s">
        <v>5856</v>
      </c>
    </row>
    <row r="1749" spans="1:6" x14ac:dyDescent="0.25">
      <c r="A1749" s="15" t="s">
        <v>4300</v>
      </c>
      <c r="B1749" s="15" t="s">
        <v>4286</v>
      </c>
      <c r="C1749" s="54">
        <v>64.477362999999997</v>
      </c>
      <c r="D1749" s="26">
        <v>6.0416666666666667E-2</v>
      </c>
      <c r="F1749" s="61" t="s">
        <v>5857</v>
      </c>
    </row>
    <row r="1750" spans="1:6" x14ac:dyDescent="0.25">
      <c r="A1750" s="15" t="s">
        <v>4300</v>
      </c>
      <c r="B1750" s="15" t="s">
        <v>4287</v>
      </c>
      <c r="C1750" s="52">
        <v>65.533075999999994</v>
      </c>
      <c r="D1750" s="25">
        <v>5.8333333333333327E-2</v>
      </c>
      <c r="F1750" s="61" t="s">
        <v>5858</v>
      </c>
    </row>
    <row r="1751" spans="1:6" x14ac:dyDescent="0.25">
      <c r="A1751" s="15" t="s">
        <v>4300</v>
      </c>
      <c r="B1751" s="15" t="s">
        <v>4288</v>
      </c>
      <c r="C1751" s="54">
        <v>70.361142000000001</v>
      </c>
      <c r="D1751" s="26">
        <v>6.3194444444444442E-2</v>
      </c>
      <c r="F1751" s="61" t="s">
        <v>5859</v>
      </c>
    </row>
    <row r="1752" spans="1:6" x14ac:dyDescent="0.25">
      <c r="A1752" s="15" t="s">
        <v>4300</v>
      </c>
      <c r="B1752" s="15" t="s">
        <v>4289</v>
      </c>
      <c r="C1752" s="52">
        <v>19.614872999999999</v>
      </c>
      <c r="D1752" s="25">
        <v>3.4722222222222224E-2</v>
      </c>
      <c r="F1752" s="61" t="s">
        <v>5860</v>
      </c>
    </row>
    <row r="1753" spans="1:6" x14ac:dyDescent="0.25">
      <c r="A1753" s="15" t="s">
        <v>4300</v>
      </c>
      <c r="B1753" s="15" t="s">
        <v>4290</v>
      </c>
      <c r="C1753" s="54">
        <v>26.257968999999999</v>
      </c>
      <c r="D1753" s="26">
        <v>4.3055555555555562E-2</v>
      </c>
      <c r="F1753" s="61" t="s">
        <v>5861</v>
      </c>
    </row>
    <row r="1754" spans="1:6" x14ac:dyDescent="0.25">
      <c r="A1754" s="15" t="s">
        <v>4300</v>
      </c>
      <c r="B1754" s="15" t="s">
        <v>4291</v>
      </c>
      <c r="C1754" s="52">
        <v>25.110294</v>
      </c>
      <c r="D1754" s="25">
        <v>3.9583333333333331E-2</v>
      </c>
      <c r="F1754" s="61" t="s">
        <v>5862</v>
      </c>
    </row>
    <row r="1755" spans="1:6" x14ac:dyDescent="0.25">
      <c r="A1755" s="15" t="s">
        <v>4300</v>
      </c>
      <c r="B1755" s="15" t="s">
        <v>4292</v>
      </c>
      <c r="C1755" s="54">
        <v>23.484783</v>
      </c>
      <c r="D1755" s="26">
        <v>4.1666666666666664E-2</v>
      </c>
      <c r="F1755" s="61" t="s">
        <v>5863</v>
      </c>
    </row>
    <row r="1756" spans="1:6" x14ac:dyDescent="0.25">
      <c r="A1756" s="15" t="s">
        <v>4300</v>
      </c>
      <c r="B1756" s="15" t="s">
        <v>4293</v>
      </c>
      <c r="C1756" s="52">
        <v>25.780754999999999</v>
      </c>
      <c r="D1756" s="25">
        <v>4.5833333333333337E-2</v>
      </c>
      <c r="F1756" s="61" t="s">
        <v>5864</v>
      </c>
    </row>
    <row r="1757" spans="1:6" x14ac:dyDescent="0.25">
      <c r="A1757" s="15" t="s">
        <v>4300</v>
      </c>
      <c r="B1757" s="15" t="s">
        <v>4294</v>
      </c>
      <c r="C1757" s="54">
        <v>23.683622</v>
      </c>
      <c r="D1757" s="26">
        <v>4.7222222222222221E-2</v>
      </c>
      <c r="F1757" s="61" t="s">
        <v>5865</v>
      </c>
    </row>
    <row r="1758" spans="1:6" x14ac:dyDescent="0.25">
      <c r="A1758" s="15" t="s">
        <v>4300</v>
      </c>
      <c r="B1758" s="15" t="s">
        <v>4295</v>
      </c>
      <c r="C1758" s="52">
        <v>28.040686999999998</v>
      </c>
      <c r="D1758" s="25">
        <v>5.1388888888888894E-2</v>
      </c>
      <c r="F1758" s="61" t="s">
        <v>5866</v>
      </c>
    </row>
    <row r="1759" spans="1:6" x14ac:dyDescent="0.25">
      <c r="A1759" s="15" t="s">
        <v>4300</v>
      </c>
      <c r="B1759" s="15" t="s">
        <v>4296</v>
      </c>
      <c r="C1759" s="54">
        <v>31.003392999999999</v>
      </c>
      <c r="D1759" s="26">
        <v>4.8611111111111112E-2</v>
      </c>
      <c r="F1759" s="61" t="s">
        <v>5867</v>
      </c>
    </row>
    <row r="1760" spans="1:6" x14ac:dyDescent="0.25">
      <c r="A1760" s="15" t="s">
        <v>4300</v>
      </c>
      <c r="B1760" s="15" t="s">
        <v>4297</v>
      </c>
      <c r="C1760" s="52">
        <v>24.636185999999999</v>
      </c>
      <c r="D1760" s="25">
        <v>4.8611111111111112E-2</v>
      </c>
      <c r="F1760" s="61" t="s">
        <v>5868</v>
      </c>
    </row>
    <row r="1761" spans="1:6" x14ac:dyDescent="0.25">
      <c r="A1761" s="15" t="s">
        <v>4300</v>
      </c>
      <c r="B1761" s="15" t="s">
        <v>4298</v>
      </c>
      <c r="C1761" s="54">
        <v>13.128363</v>
      </c>
      <c r="D1761" s="26">
        <v>2.7777777777777776E-2</v>
      </c>
      <c r="F1761" s="61" t="s">
        <v>5869</v>
      </c>
    </row>
    <row r="1762" spans="1:6" x14ac:dyDescent="0.25">
      <c r="A1762" s="15" t="s">
        <v>4300</v>
      </c>
      <c r="B1762" s="15" t="s">
        <v>4299</v>
      </c>
      <c r="C1762" s="52">
        <v>7.9131819999999999</v>
      </c>
      <c r="D1762" s="25">
        <v>1.5277777777777777E-2</v>
      </c>
      <c r="F1762" s="61" t="s">
        <v>5870</v>
      </c>
    </row>
    <row r="1763" spans="1:6" x14ac:dyDescent="0.25">
      <c r="A1763" s="15" t="s">
        <v>4300</v>
      </c>
      <c r="B1763" s="15" t="s">
        <v>4300</v>
      </c>
      <c r="C1763" s="54">
        <v>0</v>
      </c>
      <c r="D1763" s="26">
        <v>0</v>
      </c>
      <c r="F1763" s="61" t="s">
        <v>5871</v>
      </c>
    </row>
    <row r="1764" spans="1:6" x14ac:dyDescent="0.25">
      <c r="A1764" s="15" t="s">
        <v>4300</v>
      </c>
      <c r="B1764" s="15" t="s">
        <v>4301</v>
      </c>
      <c r="C1764" s="52">
        <v>29.883057999999998</v>
      </c>
      <c r="D1764" s="25">
        <v>4.9305555555555554E-2</v>
      </c>
      <c r="F1764" s="61" t="s">
        <v>5872</v>
      </c>
    </row>
    <row r="1765" spans="1:6" x14ac:dyDescent="0.25">
      <c r="A1765" s="15" t="s">
        <v>4300</v>
      </c>
      <c r="B1765" s="15" t="s">
        <v>4302</v>
      </c>
      <c r="C1765" s="54">
        <v>24.91394</v>
      </c>
      <c r="D1765" s="26">
        <v>4.2361111111111106E-2</v>
      </c>
      <c r="F1765" s="61" t="s">
        <v>5873</v>
      </c>
    </row>
    <row r="1766" spans="1:6" x14ac:dyDescent="0.25">
      <c r="A1766" s="15" t="s">
        <v>4300</v>
      </c>
      <c r="B1766" s="15" t="s">
        <v>4303</v>
      </c>
      <c r="C1766" s="52">
        <v>21.274560000000001</v>
      </c>
      <c r="D1766" s="25">
        <v>3.6805555555555557E-2</v>
      </c>
      <c r="F1766" s="61" t="s">
        <v>5874</v>
      </c>
    </row>
    <row r="1767" spans="1:6" x14ac:dyDescent="0.25">
      <c r="A1767" s="15" t="s">
        <v>4300</v>
      </c>
      <c r="B1767" s="15" t="s">
        <v>4304</v>
      </c>
      <c r="C1767" s="54">
        <v>34.590578000000001</v>
      </c>
      <c r="D1767" s="26">
        <v>5.4166666666666669E-2</v>
      </c>
      <c r="F1767" s="61" t="s">
        <v>5875</v>
      </c>
    </row>
    <row r="1768" spans="1:6" x14ac:dyDescent="0.25">
      <c r="A1768" s="15" t="s">
        <v>4300</v>
      </c>
      <c r="B1768" s="15" t="s">
        <v>4305</v>
      </c>
      <c r="C1768" s="52">
        <v>35.186473999999997</v>
      </c>
      <c r="D1768" s="25">
        <v>5.347222222222222E-2</v>
      </c>
      <c r="F1768" s="61" t="s">
        <v>5876</v>
      </c>
    </row>
    <row r="1769" spans="1:6" x14ac:dyDescent="0.25">
      <c r="A1769" s="15" t="s">
        <v>4300</v>
      </c>
      <c r="B1769" s="15" t="s">
        <v>4306</v>
      </c>
      <c r="C1769" s="54">
        <v>159.47407000000001</v>
      </c>
      <c r="D1769" s="26">
        <v>0.14791666666666667</v>
      </c>
      <c r="F1769" s="61" t="s">
        <v>5877</v>
      </c>
    </row>
    <row r="1770" spans="1:6" x14ac:dyDescent="0.25">
      <c r="A1770" s="15" t="s">
        <v>4300</v>
      </c>
      <c r="B1770" s="15" t="s">
        <v>4307</v>
      </c>
      <c r="C1770" s="52">
        <v>158.37734699999999</v>
      </c>
      <c r="D1770" s="25">
        <v>0.14722222222222223</v>
      </c>
      <c r="F1770" s="61" t="s">
        <v>5878</v>
      </c>
    </row>
    <row r="1771" spans="1:6" x14ac:dyDescent="0.25">
      <c r="A1771" s="15" t="s">
        <v>4300</v>
      </c>
      <c r="B1771" s="15" t="s">
        <v>4308</v>
      </c>
      <c r="C1771" s="54">
        <v>156.600843</v>
      </c>
      <c r="D1771" s="26">
        <v>0.14444444444444446</v>
      </c>
      <c r="F1771" s="61" t="s">
        <v>5879</v>
      </c>
    </row>
    <row r="1772" spans="1:6" x14ac:dyDescent="0.25">
      <c r="A1772" s="15" t="s">
        <v>4300</v>
      </c>
      <c r="B1772" s="15" t="s">
        <v>4309</v>
      </c>
      <c r="C1772" s="52">
        <v>93.017013000000006</v>
      </c>
      <c r="D1772" s="25">
        <v>8.2638888888888887E-2</v>
      </c>
      <c r="F1772" s="61" t="s">
        <v>5880</v>
      </c>
    </row>
    <row r="1773" spans="1:6" x14ac:dyDescent="0.25">
      <c r="A1773" s="15" t="s">
        <v>4300</v>
      </c>
      <c r="B1773" s="15" t="s">
        <v>4310</v>
      </c>
      <c r="C1773" s="54">
        <v>94.578523000000004</v>
      </c>
      <c r="D1773" s="26">
        <v>8.6111111111111124E-2</v>
      </c>
      <c r="F1773" s="61" t="s">
        <v>5881</v>
      </c>
    </row>
    <row r="1774" spans="1:6" x14ac:dyDescent="0.25">
      <c r="A1774" s="15" t="s">
        <v>4300</v>
      </c>
      <c r="B1774" s="15" t="s">
        <v>4311</v>
      </c>
      <c r="C1774" s="52">
        <v>82.222526000000002</v>
      </c>
      <c r="D1774" s="25">
        <v>7.7083333333333337E-2</v>
      </c>
      <c r="F1774" s="61" t="s">
        <v>5882</v>
      </c>
    </row>
    <row r="1775" spans="1:6" x14ac:dyDescent="0.25">
      <c r="A1775" s="15" t="s">
        <v>4300</v>
      </c>
      <c r="B1775" s="15" t="s">
        <v>4312</v>
      </c>
      <c r="C1775" s="54">
        <v>78.934843000000001</v>
      </c>
      <c r="D1775" s="26">
        <v>6.9444444444444434E-2</v>
      </c>
      <c r="F1775" s="61" t="s">
        <v>5883</v>
      </c>
    </row>
    <row r="1776" spans="1:6" x14ac:dyDescent="0.25">
      <c r="A1776" s="15" t="s">
        <v>4300</v>
      </c>
      <c r="B1776" s="15" t="s">
        <v>4313</v>
      </c>
      <c r="C1776" s="52">
        <v>99.258702</v>
      </c>
      <c r="D1776" s="25">
        <v>8.819444444444445E-2</v>
      </c>
      <c r="F1776" s="61" t="s">
        <v>5884</v>
      </c>
    </row>
    <row r="1777" spans="1:6" x14ac:dyDescent="0.25">
      <c r="A1777" s="15" t="s">
        <v>4300</v>
      </c>
      <c r="B1777" s="15" t="s">
        <v>4314</v>
      </c>
      <c r="C1777" s="54">
        <v>78.542135000000002</v>
      </c>
      <c r="D1777" s="26">
        <v>9.0277777777777776E-2</v>
      </c>
      <c r="F1777" s="61" t="s">
        <v>5885</v>
      </c>
    </row>
    <row r="1778" spans="1:6" x14ac:dyDescent="0.25">
      <c r="A1778" s="15" t="s">
        <v>4300</v>
      </c>
      <c r="B1778" s="15" t="s">
        <v>4315</v>
      </c>
      <c r="C1778" s="52">
        <v>79.320093999999997</v>
      </c>
      <c r="D1778" s="25">
        <v>9.3055555555555558E-2</v>
      </c>
      <c r="F1778" s="61" t="s">
        <v>5886</v>
      </c>
    </row>
    <row r="1779" spans="1:6" x14ac:dyDescent="0.25">
      <c r="A1779" s="15" t="s">
        <v>4300</v>
      </c>
      <c r="B1779" s="15" t="s">
        <v>4316</v>
      </c>
      <c r="C1779" s="54">
        <v>76.614637000000002</v>
      </c>
      <c r="D1779" s="26">
        <v>8.7500000000000008E-2</v>
      </c>
      <c r="F1779" s="61" t="s">
        <v>5887</v>
      </c>
    </row>
    <row r="1780" spans="1:6" x14ac:dyDescent="0.25">
      <c r="A1780" s="15" t="s">
        <v>4300</v>
      </c>
      <c r="B1780" s="15" t="s">
        <v>4317</v>
      </c>
      <c r="C1780" s="52">
        <v>205.93038100000001</v>
      </c>
      <c r="D1780" s="25">
        <v>0.18263888888888891</v>
      </c>
      <c r="F1780" s="61" t="s">
        <v>5888</v>
      </c>
    </row>
    <row r="1781" spans="1:6" x14ac:dyDescent="0.25">
      <c r="A1781" s="15" t="s">
        <v>4300</v>
      </c>
      <c r="B1781" s="15" t="s">
        <v>4318</v>
      </c>
      <c r="C1781" s="54">
        <v>215.04157000000001</v>
      </c>
      <c r="D1781" s="26">
        <v>0.19097222222222221</v>
      </c>
      <c r="F1781" s="61" t="s">
        <v>5889</v>
      </c>
    </row>
    <row r="1782" spans="1:6" x14ac:dyDescent="0.25">
      <c r="A1782" s="15" t="s">
        <v>4300</v>
      </c>
      <c r="B1782" s="15" t="s">
        <v>4319</v>
      </c>
      <c r="C1782" s="52">
        <v>208.67933400000001</v>
      </c>
      <c r="D1782" s="25">
        <v>0.18680555555555556</v>
      </c>
      <c r="F1782" s="61" t="s">
        <v>5890</v>
      </c>
    </row>
    <row r="1783" spans="1:6" x14ac:dyDescent="0.25">
      <c r="A1783" s="15" t="s">
        <v>4300</v>
      </c>
      <c r="B1783" s="15" t="s">
        <v>4320</v>
      </c>
      <c r="C1783" s="54">
        <v>222.001566</v>
      </c>
      <c r="D1783" s="26">
        <v>0.19722222222222222</v>
      </c>
      <c r="F1783" s="61" t="s">
        <v>5891</v>
      </c>
    </row>
    <row r="1784" spans="1:6" x14ac:dyDescent="0.25">
      <c r="A1784" s="15" t="s">
        <v>4300</v>
      </c>
      <c r="B1784" s="15" t="s">
        <v>4321</v>
      </c>
      <c r="C1784" s="52">
        <v>218.53368499999999</v>
      </c>
      <c r="D1784" s="25">
        <v>0.19444444444444445</v>
      </c>
      <c r="F1784" s="61" t="s">
        <v>5892</v>
      </c>
    </row>
    <row r="1785" spans="1:6" x14ac:dyDescent="0.25">
      <c r="A1785" s="15" t="s">
        <v>4301</v>
      </c>
      <c r="B1785" s="15">
        <v>3423909</v>
      </c>
      <c r="C1785" s="54">
        <v>53.018006999999997</v>
      </c>
      <c r="D1785" s="26">
        <v>4.9305555555555554E-2</v>
      </c>
      <c r="F1785" s="61" t="s">
        <v>7046</v>
      </c>
    </row>
    <row r="1786" spans="1:6" x14ac:dyDescent="0.25">
      <c r="A1786" s="15" t="s">
        <v>4301</v>
      </c>
      <c r="B1786" s="15">
        <v>3403208</v>
      </c>
      <c r="C1786" s="52">
        <v>169.55957100000001</v>
      </c>
      <c r="D1786" s="25">
        <v>0.14652777777777778</v>
      </c>
      <c r="F1786" s="61" t="s">
        <v>7151</v>
      </c>
    </row>
    <row r="1787" spans="1:6" x14ac:dyDescent="0.25">
      <c r="A1787" s="15" t="s">
        <v>4301</v>
      </c>
      <c r="B1787" s="15">
        <v>3424402</v>
      </c>
      <c r="C1787" s="54">
        <v>60.365119</v>
      </c>
      <c r="D1787" s="26">
        <v>6.25E-2</v>
      </c>
      <c r="F1787" s="61" t="s">
        <v>7258</v>
      </c>
    </row>
    <row r="1788" spans="1:6" x14ac:dyDescent="0.25">
      <c r="A1788" s="15" t="s">
        <v>4301</v>
      </c>
      <c r="B1788" s="15" t="s">
        <v>4271</v>
      </c>
      <c r="C1788" s="52">
        <v>58.185963999999998</v>
      </c>
      <c r="D1788" s="25">
        <v>5.5555555555555552E-2</v>
      </c>
      <c r="F1788" s="61" t="s">
        <v>5893</v>
      </c>
    </row>
    <row r="1789" spans="1:6" x14ac:dyDescent="0.25">
      <c r="A1789" s="15" t="s">
        <v>4301</v>
      </c>
      <c r="B1789" s="15" t="s">
        <v>4272</v>
      </c>
      <c r="C1789" s="54">
        <v>61.953969000000001</v>
      </c>
      <c r="D1789" s="26">
        <v>6.1111111111111116E-2</v>
      </c>
      <c r="F1789" s="61" t="s">
        <v>5894</v>
      </c>
    </row>
    <row r="1790" spans="1:6" x14ac:dyDescent="0.25">
      <c r="A1790" s="15" t="s">
        <v>4301</v>
      </c>
      <c r="B1790" s="15" t="s">
        <v>4273</v>
      </c>
      <c r="C1790" s="52">
        <v>59.933264999999999</v>
      </c>
      <c r="D1790" s="25">
        <v>5.8333333333333327E-2</v>
      </c>
      <c r="F1790" s="61" t="s">
        <v>5895</v>
      </c>
    </row>
    <row r="1791" spans="1:6" x14ac:dyDescent="0.25">
      <c r="A1791" s="15" t="s">
        <v>4301</v>
      </c>
      <c r="B1791" s="15" t="s">
        <v>4274</v>
      </c>
      <c r="C1791" s="54">
        <v>70.090222999999995</v>
      </c>
      <c r="D1791" s="26">
        <v>6.5277777777777782E-2</v>
      </c>
      <c r="F1791" s="61" t="s">
        <v>5896</v>
      </c>
    </row>
    <row r="1792" spans="1:6" x14ac:dyDescent="0.25">
      <c r="A1792" s="15" t="s">
        <v>4301</v>
      </c>
      <c r="B1792" s="15" t="s">
        <v>4275</v>
      </c>
      <c r="C1792" s="52">
        <v>70.183429000000004</v>
      </c>
      <c r="D1792" s="25">
        <v>6.5277777777777782E-2</v>
      </c>
      <c r="F1792" s="61" t="s">
        <v>5897</v>
      </c>
    </row>
    <row r="1793" spans="1:6" x14ac:dyDescent="0.25">
      <c r="A1793" s="15" t="s">
        <v>4301</v>
      </c>
      <c r="B1793" s="15" t="s">
        <v>4276</v>
      </c>
      <c r="C1793" s="54">
        <v>52.558813000000001</v>
      </c>
      <c r="D1793" s="26">
        <v>5.4166666666666669E-2</v>
      </c>
      <c r="F1793" s="61" t="s">
        <v>5898</v>
      </c>
    </row>
    <row r="1794" spans="1:6" x14ac:dyDescent="0.25">
      <c r="A1794" s="15" t="s">
        <v>4301</v>
      </c>
      <c r="B1794" s="15" t="s">
        <v>4277</v>
      </c>
      <c r="C1794" s="52">
        <v>57.276896000000001</v>
      </c>
      <c r="D1794" s="25">
        <v>5.486111111111111E-2</v>
      </c>
      <c r="F1794" s="61" t="s">
        <v>5899</v>
      </c>
    </row>
    <row r="1795" spans="1:6" x14ac:dyDescent="0.25">
      <c r="A1795" s="15" t="s">
        <v>4301</v>
      </c>
      <c r="B1795" s="15" t="s">
        <v>4278</v>
      </c>
      <c r="C1795" s="54">
        <v>66.306685000000002</v>
      </c>
      <c r="D1795" s="26">
        <v>6.25E-2</v>
      </c>
      <c r="F1795" s="61" t="s">
        <v>5900</v>
      </c>
    </row>
    <row r="1796" spans="1:6" x14ac:dyDescent="0.25">
      <c r="A1796" s="15" t="s">
        <v>4301</v>
      </c>
      <c r="B1796" s="15" t="s">
        <v>4279</v>
      </c>
      <c r="C1796" s="52">
        <v>77.030957000000001</v>
      </c>
      <c r="D1796" s="25">
        <v>7.3611111111111113E-2</v>
      </c>
      <c r="F1796" s="61" t="s">
        <v>5901</v>
      </c>
    </row>
    <row r="1797" spans="1:6" x14ac:dyDescent="0.25">
      <c r="A1797" s="15" t="s">
        <v>4301</v>
      </c>
      <c r="B1797" s="15" t="s">
        <v>4280</v>
      </c>
      <c r="C1797" s="54">
        <v>14.127530999999999</v>
      </c>
      <c r="D1797" s="26">
        <v>2.7777777777777776E-2</v>
      </c>
      <c r="F1797" s="61" t="s">
        <v>5902</v>
      </c>
    </row>
    <row r="1798" spans="1:6" x14ac:dyDescent="0.25">
      <c r="A1798" s="15" t="s">
        <v>4301</v>
      </c>
      <c r="B1798" s="15" t="s">
        <v>4281</v>
      </c>
      <c r="C1798" s="52">
        <v>92.300569999999993</v>
      </c>
      <c r="D1798" s="25">
        <v>8.1944444444444445E-2</v>
      </c>
      <c r="F1798" s="61" t="s">
        <v>5903</v>
      </c>
    </row>
    <row r="1799" spans="1:6" x14ac:dyDescent="0.25">
      <c r="A1799" s="15" t="s">
        <v>4301</v>
      </c>
      <c r="B1799" s="15" t="s">
        <v>4282</v>
      </c>
      <c r="C1799" s="54">
        <v>59.499546000000002</v>
      </c>
      <c r="D1799" s="26">
        <v>6.3194444444444442E-2</v>
      </c>
      <c r="F1799" s="61" t="s">
        <v>5904</v>
      </c>
    </row>
    <row r="1800" spans="1:6" x14ac:dyDescent="0.25">
      <c r="A1800" s="15" t="s">
        <v>4301</v>
      </c>
      <c r="B1800" s="15" t="s">
        <v>4283</v>
      </c>
      <c r="C1800" s="52">
        <v>67.290317999999999</v>
      </c>
      <c r="D1800" s="25">
        <v>6.805555555555555E-2</v>
      </c>
      <c r="F1800" s="61" t="s">
        <v>5905</v>
      </c>
    </row>
    <row r="1801" spans="1:6" x14ac:dyDescent="0.25">
      <c r="A1801" s="15" t="s">
        <v>4301</v>
      </c>
      <c r="B1801" s="15" t="s">
        <v>4284</v>
      </c>
      <c r="C1801" s="54">
        <v>65.352878000000004</v>
      </c>
      <c r="D1801" s="26">
        <v>6.458333333333334E-2</v>
      </c>
      <c r="F1801" s="61" t="s">
        <v>5906</v>
      </c>
    </row>
    <row r="1802" spans="1:6" x14ac:dyDescent="0.25">
      <c r="A1802" s="15" t="s">
        <v>4301</v>
      </c>
      <c r="B1802" s="15" t="s">
        <v>4285</v>
      </c>
      <c r="C1802" s="52">
        <v>67.731492000000003</v>
      </c>
      <c r="D1802" s="25">
        <v>7.0833333333333331E-2</v>
      </c>
      <c r="F1802" s="61" t="s">
        <v>5907</v>
      </c>
    </row>
    <row r="1803" spans="1:6" x14ac:dyDescent="0.25">
      <c r="A1803" s="15" t="s">
        <v>4301</v>
      </c>
      <c r="B1803" s="15" t="s">
        <v>4286</v>
      </c>
      <c r="C1803" s="54">
        <v>66.662109999999998</v>
      </c>
      <c r="D1803" s="26">
        <v>6.9444444444444434E-2</v>
      </c>
      <c r="F1803" s="61" t="s">
        <v>5908</v>
      </c>
    </row>
    <row r="1804" spans="1:6" x14ac:dyDescent="0.25">
      <c r="A1804" s="15" t="s">
        <v>4301</v>
      </c>
      <c r="B1804" s="15" t="s">
        <v>4287</v>
      </c>
      <c r="C1804" s="52">
        <v>67.717821999999998</v>
      </c>
      <c r="D1804" s="25">
        <v>6.7361111111111108E-2</v>
      </c>
      <c r="F1804" s="61" t="s">
        <v>5909</v>
      </c>
    </row>
    <row r="1805" spans="1:6" x14ac:dyDescent="0.25">
      <c r="A1805" s="15" t="s">
        <v>4301</v>
      </c>
      <c r="B1805" s="15" t="s">
        <v>4288</v>
      </c>
      <c r="C1805" s="54">
        <v>74.335442</v>
      </c>
      <c r="D1805" s="26">
        <v>7.6388888888888895E-2</v>
      </c>
      <c r="F1805" s="61" t="s">
        <v>5910</v>
      </c>
    </row>
    <row r="1806" spans="1:6" x14ac:dyDescent="0.25">
      <c r="A1806" s="15" t="s">
        <v>4301</v>
      </c>
      <c r="B1806" s="15" t="s">
        <v>4289</v>
      </c>
      <c r="C1806" s="52">
        <v>10.907577</v>
      </c>
      <c r="D1806" s="25">
        <v>1.9444444444444445E-2</v>
      </c>
      <c r="F1806" s="61" t="s">
        <v>5911</v>
      </c>
    </row>
    <row r="1807" spans="1:6" x14ac:dyDescent="0.25">
      <c r="A1807" s="15" t="s">
        <v>4301</v>
      </c>
      <c r="B1807" s="15" t="s">
        <v>4290</v>
      </c>
      <c r="C1807" s="54">
        <v>7.4285110000000003</v>
      </c>
      <c r="D1807" s="26">
        <v>1.5277777777777777E-2</v>
      </c>
      <c r="F1807" s="61" t="s">
        <v>5912</v>
      </c>
    </row>
    <row r="1808" spans="1:6" x14ac:dyDescent="0.25">
      <c r="A1808" s="15" t="s">
        <v>4301</v>
      </c>
      <c r="B1808" s="15" t="s">
        <v>4291</v>
      </c>
      <c r="C1808" s="52">
        <v>7.9709690000000002</v>
      </c>
      <c r="D1808" s="25">
        <v>1.5972222222222224E-2</v>
      </c>
      <c r="F1808" s="61" t="s">
        <v>5913</v>
      </c>
    </row>
    <row r="1809" spans="1:6" x14ac:dyDescent="0.25">
      <c r="A1809" s="15" t="s">
        <v>4301</v>
      </c>
      <c r="B1809" s="15" t="s">
        <v>4292</v>
      </c>
      <c r="C1809" s="54">
        <v>9.2342200000000005</v>
      </c>
      <c r="D1809" s="26">
        <v>1.9444444444444445E-2</v>
      </c>
      <c r="F1809" s="61" t="s">
        <v>5914</v>
      </c>
    </row>
    <row r="1810" spans="1:6" x14ac:dyDescent="0.25">
      <c r="A1810" s="15" t="s">
        <v>4301</v>
      </c>
      <c r="B1810" s="15" t="s">
        <v>4293</v>
      </c>
      <c r="C1810" s="52">
        <v>7.5801259999999999</v>
      </c>
      <c r="D1810" s="25">
        <v>1.8055555555555557E-2</v>
      </c>
      <c r="F1810" s="61" t="s">
        <v>5915</v>
      </c>
    </row>
    <row r="1811" spans="1:6" x14ac:dyDescent="0.25">
      <c r="A1811" s="15" t="s">
        <v>4301</v>
      </c>
      <c r="B1811" s="15" t="s">
        <v>4294</v>
      </c>
      <c r="C1811" s="54">
        <v>8.5594090000000005</v>
      </c>
      <c r="D1811" s="26">
        <v>2.0833333333333332E-2</v>
      </c>
      <c r="F1811" s="61" t="s">
        <v>5916</v>
      </c>
    </row>
    <row r="1812" spans="1:6" x14ac:dyDescent="0.25">
      <c r="A1812" s="15" t="s">
        <v>4301</v>
      </c>
      <c r="B1812" s="15" t="s">
        <v>4295</v>
      </c>
      <c r="C1812" s="52">
        <v>15.224875000000001</v>
      </c>
      <c r="D1812" s="25">
        <v>2.4999999999999998E-2</v>
      </c>
      <c r="F1812" s="61" t="s">
        <v>5917</v>
      </c>
    </row>
    <row r="1813" spans="1:6" x14ac:dyDescent="0.25">
      <c r="A1813" s="15" t="s">
        <v>4301</v>
      </c>
      <c r="B1813" s="15" t="s">
        <v>4296</v>
      </c>
      <c r="C1813" s="54">
        <v>4.5931870000000004</v>
      </c>
      <c r="D1813" s="26">
        <v>1.5277777777777777E-2</v>
      </c>
      <c r="F1813" s="61" t="s">
        <v>5918</v>
      </c>
    </row>
    <row r="1814" spans="1:6" x14ac:dyDescent="0.25">
      <c r="A1814" s="15" t="s">
        <v>4301</v>
      </c>
      <c r="B1814" s="15" t="s">
        <v>4297</v>
      </c>
      <c r="C1814" s="52">
        <v>9.3591160000000002</v>
      </c>
      <c r="D1814" s="25">
        <v>2.1527777777777781E-2</v>
      </c>
      <c r="F1814" s="61" t="s">
        <v>5919</v>
      </c>
    </row>
    <row r="1815" spans="1:6" x14ac:dyDescent="0.25">
      <c r="A1815" s="15" t="s">
        <v>4301</v>
      </c>
      <c r="B1815" s="15" t="s">
        <v>4298</v>
      </c>
      <c r="C1815" s="54">
        <v>18.441099999999999</v>
      </c>
      <c r="D1815" s="26">
        <v>3.125E-2</v>
      </c>
      <c r="F1815" s="61" t="s">
        <v>5920</v>
      </c>
    </row>
    <row r="1816" spans="1:6" x14ac:dyDescent="0.25">
      <c r="A1816" s="15" t="s">
        <v>4301</v>
      </c>
      <c r="B1816" s="15" t="s">
        <v>4299</v>
      </c>
      <c r="C1816" s="52">
        <v>23.084619</v>
      </c>
      <c r="D1816" s="25">
        <v>3.7499999999999999E-2</v>
      </c>
      <c r="F1816" s="61" t="s">
        <v>5921</v>
      </c>
    </row>
    <row r="1817" spans="1:6" x14ac:dyDescent="0.25">
      <c r="A1817" s="15" t="s">
        <v>4301</v>
      </c>
      <c r="B1817" s="15" t="s">
        <v>4300</v>
      </c>
      <c r="C1817" s="54">
        <v>29.795444</v>
      </c>
      <c r="D1817" s="26">
        <v>5.0694444444444452E-2</v>
      </c>
      <c r="F1817" s="61" t="s">
        <v>5922</v>
      </c>
    </row>
    <row r="1818" spans="1:6" x14ac:dyDescent="0.25">
      <c r="A1818" s="15" t="s">
        <v>4301</v>
      </c>
      <c r="B1818" s="15" t="s">
        <v>4301</v>
      </c>
      <c r="C1818" s="52">
        <v>0</v>
      </c>
      <c r="D1818" s="25">
        <v>0</v>
      </c>
      <c r="F1818" s="61" t="s">
        <v>5923</v>
      </c>
    </row>
    <row r="1819" spans="1:6" x14ac:dyDescent="0.25">
      <c r="A1819" s="15" t="s">
        <v>4301</v>
      </c>
      <c r="B1819" s="15" t="s">
        <v>4302</v>
      </c>
      <c r="C1819" s="54">
        <v>9.8015340000000002</v>
      </c>
      <c r="D1819" s="26">
        <v>2.013888888888889E-2</v>
      </c>
      <c r="F1819" s="61" t="s">
        <v>5924</v>
      </c>
    </row>
    <row r="1820" spans="1:6" x14ac:dyDescent="0.25">
      <c r="A1820" s="15" t="s">
        <v>4301</v>
      </c>
      <c r="B1820" s="15" t="s">
        <v>4303</v>
      </c>
      <c r="C1820" s="52">
        <v>23.814731999999999</v>
      </c>
      <c r="D1820" s="25">
        <v>3.4722222222222224E-2</v>
      </c>
      <c r="F1820" s="61" t="s">
        <v>5925</v>
      </c>
    </row>
    <row r="1821" spans="1:6" x14ac:dyDescent="0.25">
      <c r="A1821" s="15" t="s">
        <v>4301</v>
      </c>
      <c r="B1821" s="15" t="s">
        <v>4304</v>
      </c>
      <c r="C1821" s="54">
        <v>10.73235</v>
      </c>
      <c r="D1821" s="26">
        <v>2.1527777777777781E-2</v>
      </c>
      <c r="F1821" s="61" t="s">
        <v>5926</v>
      </c>
    </row>
    <row r="1822" spans="1:6" x14ac:dyDescent="0.25">
      <c r="A1822" s="15" t="s">
        <v>4301</v>
      </c>
      <c r="B1822" s="15" t="s">
        <v>4305</v>
      </c>
      <c r="C1822" s="52">
        <v>11.328246</v>
      </c>
      <c r="D1822" s="25">
        <v>2.0833333333333332E-2</v>
      </c>
      <c r="F1822" s="61" t="s">
        <v>5927</v>
      </c>
    </row>
    <row r="1823" spans="1:6" x14ac:dyDescent="0.25">
      <c r="A1823" s="15" t="s">
        <v>4301</v>
      </c>
      <c r="B1823" s="15" t="s">
        <v>4306</v>
      </c>
      <c r="C1823" s="54">
        <v>146.49545800000001</v>
      </c>
      <c r="D1823" s="26">
        <v>0.13125000000000001</v>
      </c>
      <c r="F1823" s="61" t="s">
        <v>5928</v>
      </c>
    </row>
    <row r="1824" spans="1:6" x14ac:dyDescent="0.25">
      <c r="A1824" s="15" t="s">
        <v>4301</v>
      </c>
      <c r="B1824" s="15" t="s">
        <v>4307</v>
      </c>
      <c r="C1824" s="52">
        <v>145.39873499999999</v>
      </c>
      <c r="D1824" s="25">
        <v>0.12986111111111112</v>
      </c>
      <c r="F1824" s="61" t="s">
        <v>5929</v>
      </c>
    </row>
    <row r="1825" spans="1:6" x14ac:dyDescent="0.25">
      <c r="A1825" s="15" t="s">
        <v>4301</v>
      </c>
      <c r="B1825" s="15" t="s">
        <v>4308</v>
      </c>
      <c r="C1825" s="54">
        <v>143.62223</v>
      </c>
      <c r="D1825" s="26">
        <v>0.1277777777777778</v>
      </c>
      <c r="F1825" s="61" t="s">
        <v>5930</v>
      </c>
    </row>
    <row r="1826" spans="1:6" x14ac:dyDescent="0.25">
      <c r="A1826" s="15" t="s">
        <v>4301</v>
      </c>
      <c r="B1826" s="15" t="s">
        <v>4309</v>
      </c>
      <c r="C1826" s="52">
        <v>95.341569000000007</v>
      </c>
      <c r="D1826" s="25">
        <v>9.5833333333333326E-2</v>
      </c>
      <c r="F1826" s="61" t="s">
        <v>5931</v>
      </c>
    </row>
    <row r="1827" spans="1:6" x14ac:dyDescent="0.25">
      <c r="A1827" s="15" t="s">
        <v>4301</v>
      </c>
      <c r="B1827" s="15" t="s">
        <v>4310</v>
      </c>
      <c r="C1827" s="54">
        <v>100.19697499999999</v>
      </c>
      <c r="D1827" s="26">
        <v>0.10416666666666667</v>
      </c>
      <c r="F1827" s="61" t="s">
        <v>5932</v>
      </c>
    </row>
    <row r="1828" spans="1:6" x14ac:dyDescent="0.25">
      <c r="A1828" s="15" t="s">
        <v>4301</v>
      </c>
      <c r="B1828" s="15" t="s">
        <v>4311</v>
      </c>
      <c r="C1828" s="52">
        <v>86.380131000000006</v>
      </c>
      <c r="D1828" s="25">
        <v>9.0277777777777776E-2</v>
      </c>
      <c r="F1828" s="61" t="s">
        <v>5933</v>
      </c>
    </row>
    <row r="1829" spans="1:6" x14ac:dyDescent="0.25">
      <c r="A1829" s="15" t="s">
        <v>4301</v>
      </c>
      <c r="B1829" s="15" t="s">
        <v>4312</v>
      </c>
      <c r="C1829" s="54">
        <v>82.909143</v>
      </c>
      <c r="D1829" s="26">
        <v>8.2638888888888887E-2</v>
      </c>
      <c r="F1829" s="61" t="s">
        <v>5934</v>
      </c>
    </row>
    <row r="1830" spans="1:6" x14ac:dyDescent="0.25">
      <c r="A1830" s="15" t="s">
        <v>4301</v>
      </c>
      <c r="B1830" s="15" t="s">
        <v>4313</v>
      </c>
      <c r="C1830" s="52">
        <v>105.231337</v>
      </c>
      <c r="D1830" s="25">
        <v>0.10416666666666667</v>
      </c>
      <c r="F1830" s="61" t="s">
        <v>5935</v>
      </c>
    </row>
    <row r="1831" spans="1:6" x14ac:dyDescent="0.25">
      <c r="A1831" s="15" t="s">
        <v>4301</v>
      </c>
      <c r="B1831" s="15" t="s">
        <v>4314</v>
      </c>
      <c r="C1831" s="54">
        <v>54.697578</v>
      </c>
      <c r="D1831" s="26">
        <v>5.8333333333333327E-2</v>
      </c>
      <c r="F1831" s="61" t="s">
        <v>5936</v>
      </c>
    </row>
    <row r="1832" spans="1:6" x14ac:dyDescent="0.25">
      <c r="A1832" s="15" t="s">
        <v>4301</v>
      </c>
      <c r="B1832" s="15" t="s">
        <v>4315</v>
      </c>
      <c r="C1832" s="52">
        <v>55.484236000000003</v>
      </c>
      <c r="D1832" s="25">
        <v>6.1111111111111116E-2</v>
      </c>
      <c r="F1832" s="61" t="s">
        <v>5937</v>
      </c>
    </row>
    <row r="1833" spans="1:6" x14ac:dyDescent="0.25">
      <c r="A1833" s="15" t="s">
        <v>4301</v>
      </c>
      <c r="B1833" s="15" t="s">
        <v>4316</v>
      </c>
      <c r="C1833" s="54">
        <v>52.778779</v>
      </c>
      <c r="D1833" s="26">
        <v>5.5555555555555552E-2</v>
      </c>
      <c r="F1833" s="61" t="s">
        <v>5938</v>
      </c>
    </row>
    <row r="1834" spans="1:6" x14ac:dyDescent="0.25">
      <c r="A1834" s="15" t="s">
        <v>4301</v>
      </c>
      <c r="B1834" s="15" t="s">
        <v>4317</v>
      </c>
      <c r="C1834" s="52">
        <v>192.95176900000001</v>
      </c>
      <c r="D1834" s="25">
        <v>0.16527777777777777</v>
      </c>
      <c r="F1834" s="61" t="s">
        <v>5939</v>
      </c>
    </row>
    <row r="1835" spans="1:6" x14ac:dyDescent="0.25">
      <c r="A1835" s="15" t="s">
        <v>4301</v>
      </c>
      <c r="B1835" s="15" t="s">
        <v>4318</v>
      </c>
      <c r="C1835" s="54">
        <v>202.06295700000001</v>
      </c>
      <c r="D1835" s="26">
        <v>0.17361111111111113</v>
      </c>
      <c r="F1835" s="61" t="s">
        <v>5940</v>
      </c>
    </row>
    <row r="1836" spans="1:6" x14ac:dyDescent="0.25">
      <c r="A1836" s="15" t="s">
        <v>4301</v>
      </c>
      <c r="B1836" s="15" t="s">
        <v>4319</v>
      </c>
      <c r="C1836" s="52">
        <v>195.70072200000001</v>
      </c>
      <c r="D1836" s="25">
        <v>0.16944444444444443</v>
      </c>
      <c r="F1836" s="61" t="s">
        <v>5941</v>
      </c>
    </row>
    <row r="1837" spans="1:6" x14ac:dyDescent="0.25">
      <c r="A1837" s="15" t="s">
        <v>4301</v>
      </c>
      <c r="B1837" s="15" t="s">
        <v>4320</v>
      </c>
      <c r="C1837" s="54">
        <v>198.26699099999999</v>
      </c>
      <c r="D1837" s="26">
        <v>0.17152777777777775</v>
      </c>
      <c r="F1837" s="61" t="s">
        <v>5942</v>
      </c>
    </row>
    <row r="1838" spans="1:6" x14ac:dyDescent="0.25">
      <c r="A1838" s="15" t="s">
        <v>4301</v>
      </c>
      <c r="B1838" s="15" t="s">
        <v>4321</v>
      </c>
      <c r="C1838" s="52">
        <v>194.79911000000001</v>
      </c>
      <c r="D1838" s="25">
        <v>0.16874999999999998</v>
      </c>
      <c r="F1838" s="61" t="s">
        <v>5943</v>
      </c>
    </row>
    <row r="1839" spans="1:6" x14ac:dyDescent="0.25">
      <c r="A1839" s="15" t="s">
        <v>4302</v>
      </c>
      <c r="B1839" s="15">
        <v>3423909</v>
      </c>
      <c r="C1839" s="54">
        <v>57.157592999999999</v>
      </c>
      <c r="D1839" s="26">
        <v>5.2777777777777778E-2</v>
      </c>
      <c r="F1839" s="61" t="s">
        <v>7047</v>
      </c>
    </row>
    <row r="1840" spans="1:6" x14ac:dyDescent="0.25">
      <c r="A1840" s="15" t="s">
        <v>4302</v>
      </c>
      <c r="B1840" s="15">
        <v>3403208</v>
      </c>
      <c r="C1840" s="52">
        <v>165.29757499999999</v>
      </c>
      <c r="D1840" s="25">
        <v>0.13680555555555554</v>
      </c>
      <c r="F1840" s="61" t="s">
        <v>7152</v>
      </c>
    </row>
    <row r="1841" spans="1:6" x14ac:dyDescent="0.25">
      <c r="A1841" s="15" t="s">
        <v>4302</v>
      </c>
      <c r="B1841" s="15">
        <v>3424402</v>
      </c>
      <c r="C1841" s="54">
        <v>57.567076999999998</v>
      </c>
      <c r="D1841" s="26">
        <v>5.7638888888888885E-2</v>
      </c>
      <c r="F1841" s="61" t="s">
        <v>7259</v>
      </c>
    </row>
    <row r="1842" spans="1:6" x14ac:dyDescent="0.25">
      <c r="A1842" s="15" t="s">
        <v>4302</v>
      </c>
      <c r="B1842" s="15" t="s">
        <v>4271</v>
      </c>
      <c r="C1842" s="52">
        <v>55.382952000000003</v>
      </c>
      <c r="D1842" s="25">
        <v>5.0694444444444452E-2</v>
      </c>
      <c r="F1842" s="61" t="s">
        <v>5944</v>
      </c>
    </row>
    <row r="1843" spans="1:6" x14ac:dyDescent="0.25">
      <c r="A1843" s="15" t="s">
        <v>4302</v>
      </c>
      <c r="B1843" s="15" t="s">
        <v>4272</v>
      </c>
      <c r="C1843" s="54">
        <v>59.150956000000001</v>
      </c>
      <c r="D1843" s="26">
        <v>5.6944444444444443E-2</v>
      </c>
      <c r="F1843" s="61" t="s">
        <v>5945</v>
      </c>
    </row>
    <row r="1844" spans="1:6" x14ac:dyDescent="0.25">
      <c r="A1844" s="15" t="s">
        <v>4302</v>
      </c>
      <c r="B1844" s="15" t="s">
        <v>4273</v>
      </c>
      <c r="C1844" s="52">
        <v>57.130251999999999</v>
      </c>
      <c r="D1844" s="25">
        <v>5.347222222222222E-2</v>
      </c>
      <c r="F1844" s="61" t="s">
        <v>5946</v>
      </c>
    </row>
    <row r="1845" spans="1:6" x14ac:dyDescent="0.25">
      <c r="A1845" s="15" t="s">
        <v>4302</v>
      </c>
      <c r="B1845" s="15" t="s">
        <v>4274</v>
      </c>
      <c r="C1845" s="54">
        <v>67.287210999999999</v>
      </c>
      <c r="D1845" s="26">
        <v>6.0416666666666667E-2</v>
      </c>
      <c r="F1845" s="61" t="s">
        <v>5947</v>
      </c>
    </row>
    <row r="1846" spans="1:6" x14ac:dyDescent="0.25">
      <c r="A1846" s="15" t="s">
        <v>4302</v>
      </c>
      <c r="B1846" s="15" t="s">
        <v>4275</v>
      </c>
      <c r="C1846" s="52">
        <v>67.380416999999994</v>
      </c>
      <c r="D1846" s="25">
        <v>6.1111111111111116E-2</v>
      </c>
      <c r="F1846" s="61" t="s">
        <v>5948</v>
      </c>
    </row>
    <row r="1847" spans="1:6" x14ac:dyDescent="0.25">
      <c r="A1847" s="15" t="s">
        <v>4302</v>
      </c>
      <c r="B1847" s="15" t="s">
        <v>4276</v>
      </c>
      <c r="C1847" s="54">
        <v>49.755800999999998</v>
      </c>
      <c r="D1847" s="26">
        <v>4.9999999999999996E-2</v>
      </c>
      <c r="F1847" s="61" t="s">
        <v>5949</v>
      </c>
    </row>
    <row r="1848" spans="1:6" x14ac:dyDescent="0.25">
      <c r="A1848" s="15" t="s">
        <v>4302</v>
      </c>
      <c r="B1848" s="15" t="s">
        <v>4277</v>
      </c>
      <c r="C1848" s="52">
        <v>54.473883999999998</v>
      </c>
      <c r="D1848" s="25">
        <v>5.0694444444444452E-2</v>
      </c>
      <c r="F1848" s="61" t="s">
        <v>5950</v>
      </c>
    </row>
    <row r="1849" spans="1:6" x14ac:dyDescent="0.25">
      <c r="A1849" s="15" t="s">
        <v>4302</v>
      </c>
      <c r="B1849" s="15" t="s">
        <v>4278</v>
      </c>
      <c r="C1849" s="54">
        <v>63.503672000000002</v>
      </c>
      <c r="D1849" s="26">
        <v>5.8333333333333327E-2</v>
      </c>
      <c r="F1849" s="61" t="s">
        <v>5951</v>
      </c>
    </row>
    <row r="1850" spans="1:6" x14ac:dyDescent="0.25">
      <c r="A1850" s="15" t="s">
        <v>4302</v>
      </c>
      <c r="B1850" s="15" t="s">
        <v>4279</v>
      </c>
      <c r="C1850" s="52">
        <v>75.516050000000007</v>
      </c>
      <c r="D1850" s="25">
        <v>6.8749999999999992E-2</v>
      </c>
      <c r="F1850" s="61" t="s">
        <v>5952</v>
      </c>
    </row>
    <row r="1851" spans="1:6" x14ac:dyDescent="0.25">
      <c r="A1851" s="15" t="s">
        <v>4302</v>
      </c>
      <c r="B1851" s="15" t="s">
        <v>4280</v>
      </c>
      <c r="C1851" s="54">
        <v>11.320790000000001</v>
      </c>
      <c r="D1851" s="26">
        <v>2.2916666666666669E-2</v>
      </c>
      <c r="F1851" s="61" t="s">
        <v>5953</v>
      </c>
    </row>
    <row r="1852" spans="1:6" x14ac:dyDescent="0.25">
      <c r="A1852" s="15" t="s">
        <v>4302</v>
      </c>
      <c r="B1852" s="15" t="s">
        <v>4281</v>
      </c>
      <c r="C1852" s="52">
        <v>92.737395000000006</v>
      </c>
      <c r="D1852" s="25">
        <v>7.7777777777777779E-2</v>
      </c>
      <c r="F1852" s="61" t="s">
        <v>5954</v>
      </c>
    </row>
    <row r="1853" spans="1:6" x14ac:dyDescent="0.25">
      <c r="A1853" s="15" t="s">
        <v>4302</v>
      </c>
      <c r="B1853" s="15" t="s">
        <v>4282</v>
      </c>
      <c r="C1853" s="54">
        <v>56.608299000000002</v>
      </c>
      <c r="D1853" s="26">
        <v>5.7638888888888885E-2</v>
      </c>
      <c r="F1853" s="61" t="s">
        <v>5955</v>
      </c>
    </row>
    <row r="1854" spans="1:6" x14ac:dyDescent="0.25">
      <c r="A1854" s="15" t="s">
        <v>4302</v>
      </c>
      <c r="B1854" s="15" t="s">
        <v>4283</v>
      </c>
      <c r="C1854" s="52">
        <v>64.492276000000004</v>
      </c>
      <c r="D1854" s="25">
        <v>6.3194444444444442E-2</v>
      </c>
      <c r="F1854" s="61" t="s">
        <v>5956</v>
      </c>
    </row>
    <row r="1855" spans="1:6" x14ac:dyDescent="0.25">
      <c r="A1855" s="15" t="s">
        <v>4302</v>
      </c>
      <c r="B1855" s="15" t="s">
        <v>4284</v>
      </c>
      <c r="C1855" s="54">
        <v>62.554836000000002</v>
      </c>
      <c r="D1855" s="26">
        <v>5.9722222222222225E-2</v>
      </c>
      <c r="F1855" s="61" t="s">
        <v>5957</v>
      </c>
    </row>
    <row r="1856" spans="1:6" x14ac:dyDescent="0.25">
      <c r="A1856" s="15" t="s">
        <v>4302</v>
      </c>
      <c r="B1856" s="15" t="s">
        <v>4285</v>
      </c>
      <c r="C1856" s="52">
        <v>64.933451000000005</v>
      </c>
      <c r="D1856" s="25">
        <v>6.5972222222222224E-2</v>
      </c>
      <c r="F1856" s="61" t="s">
        <v>5958</v>
      </c>
    </row>
    <row r="1857" spans="1:6" x14ac:dyDescent="0.25">
      <c r="A1857" s="15" t="s">
        <v>4302</v>
      </c>
      <c r="B1857" s="15" t="s">
        <v>4286</v>
      </c>
      <c r="C1857" s="54">
        <v>63.864069000000001</v>
      </c>
      <c r="D1857" s="26">
        <v>6.458333333333334E-2</v>
      </c>
      <c r="F1857" s="61" t="s">
        <v>5959</v>
      </c>
    </row>
    <row r="1858" spans="1:6" x14ac:dyDescent="0.25">
      <c r="A1858" s="15" t="s">
        <v>4302</v>
      </c>
      <c r="B1858" s="15" t="s">
        <v>4287</v>
      </c>
      <c r="C1858" s="52">
        <v>64.919781</v>
      </c>
      <c r="D1858" s="25">
        <v>6.25E-2</v>
      </c>
      <c r="F1858" s="61" t="s">
        <v>5960</v>
      </c>
    </row>
    <row r="1859" spans="1:6" x14ac:dyDescent="0.25">
      <c r="A1859" s="15" t="s">
        <v>4302</v>
      </c>
      <c r="B1859" s="15" t="s">
        <v>4288</v>
      </c>
      <c r="C1859" s="54">
        <v>69.747846999999993</v>
      </c>
      <c r="D1859" s="26">
        <v>6.7361111111111108E-2</v>
      </c>
      <c r="F1859" s="61" t="s">
        <v>5961</v>
      </c>
    </row>
    <row r="1860" spans="1:6" x14ac:dyDescent="0.25">
      <c r="A1860" s="15" t="s">
        <v>4302</v>
      </c>
      <c r="B1860" s="15" t="s">
        <v>4289</v>
      </c>
      <c r="C1860" s="52">
        <v>8.1207200000000004</v>
      </c>
      <c r="D1860" s="25">
        <v>1.3888888888888888E-2</v>
      </c>
      <c r="F1860" s="61" t="s">
        <v>5962</v>
      </c>
    </row>
    <row r="1861" spans="1:6" x14ac:dyDescent="0.25">
      <c r="A1861" s="15" t="s">
        <v>4302</v>
      </c>
      <c r="B1861" s="15" t="s">
        <v>4290</v>
      </c>
      <c r="C1861" s="54">
        <v>7.455851</v>
      </c>
      <c r="D1861" s="26">
        <v>1.5277777777777777E-2</v>
      </c>
      <c r="F1861" s="61" t="s">
        <v>5963</v>
      </c>
    </row>
    <row r="1862" spans="1:6" x14ac:dyDescent="0.25">
      <c r="A1862" s="15" t="s">
        <v>4302</v>
      </c>
      <c r="B1862" s="15" t="s">
        <v>4291</v>
      </c>
      <c r="C1862" s="52">
        <v>7.0569300000000004</v>
      </c>
      <c r="D1862" s="25">
        <v>1.5277777777777777E-2</v>
      </c>
      <c r="F1862" s="61" t="s">
        <v>5964</v>
      </c>
    </row>
    <row r="1863" spans="1:6" x14ac:dyDescent="0.25">
      <c r="A1863" s="15" t="s">
        <v>4302</v>
      </c>
      <c r="B1863" s="15" t="s">
        <v>4292</v>
      </c>
      <c r="C1863" s="54">
        <v>7.2371280000000002</v>
      </c>
      <c r="D1863" s="26">
        <v>1.5277777777777777E-2</v>
      </c>
      <c r="F1863" s="61" t="s">
        <v>5965</v>
      </c>
    </row>
    <row r="1864" spans="1:6" x14ac:dyDescent="0.25">
      <c r="A1864" s="15" t="s">
        <v>4302</v>
      </c>
      <c r="B1864" s="15" t="s">
        <v>4293</v>
      </c>
      <c r="C1864" s="52">
        <v>12.211838</v>
      </c>
      <c r="D1864" s="25">
        <v>2.2222222222222223E-2</v>
      </c>
      <c r="F1864" s="61" t="s">
        <v>5966</v>
      </c>
    </row>
    <row r="1865" spans="1:6" x14ac:dyDescent="0.25">
      <c r="A1865" s="15" t="s">
        <v>4302</v>
      </c>
      <c r="B1865" s="15" t="s">
        <v>4294</v>
      </c>
      <c r="C1865" s="54">
        <v>13.191122</v>
      </c>
      <c r="D1865" s="26">
        <v>2.4999999999999998E-2</v>
      </c>
      <c r="F1865" s="61" t="s">
        <v>5967</v>
      </c>
    </row>
    <row r="1866" spans="1:6" x14ac:dyDescent="0.25">
      <c r="A1866" s="15" t="s">
        <v>4302</v>
      </c>
      <c r="B1866" s="15" t="s">
        <v>4295</v>
      </c>
      <c r="C1866" s="52">
        <v>14.587346</v>
      </c>
      <c r="D1866" s="25">
        <v>2.8472222222222222E-2</v>
      </c>
      <c r="F1866" s="61" t="s">
        <v>5968</v>
      </c>
    </row>
    <row r="1867" spans="1:6" x14ac:dyDescent="0.25">
      <c r="A1867" s="15" t="s">
        <v>4302</v>
      </c>
      <c r="B1867" s="15" t="s">
        <v>4296</v>
      </c>
      <c r="C1867" s="54">
        <v>16.175574999999998</v>
      </c>
      <c r="D1867" s="26">
        <v>2.4305555555555556E-2</v>
      </c>
      <c r="F1867" s="61" t="s">
        <v>5969</v>
      </c>
    </row>
    <row r="1868" spans="1:6" x14ac:dyDescent="0.25">
      <c r="A1868" s="15" t="s">
        <v>4302</v>
      </c>
      <c r="B1868" s="15" t="s">
        <v>4297</v>
      </c>
      <c r="C1868" s="52">
        <v>13.990829</v>
      </c>
      <c r="D1868" s="25">
        <v>2.4999999999999998E-2</v>
      </c>
      <c r="F1868" s="61" t="s">
        <v>5970</v>
      </c>
    </row>
    <row r="1869" spans="1:6" x14ac:dyDescent="0.25">
      <c r="A1869" s="15" t="s">
        <v>4302</v>
      </c>
      <c r="B1869" s="15" t="s">
        <v>4298</v>
      </c>
      <c r="C1869" s="54">
        <v>18.441721000000001</v>
      </c>
      <c r="D1869" s="26">
        <v>3.1944444444444449E-2</v>
      </c>
      <c r="F1869" s="61" t="s">
        <v>5971</v>
      </c>
    </row>
    <row r="1870" spans="1:6" x14ac:dyDescent="0.25">
      <c r="A1870" s="15" t="s">
        <v>4302</v>
      </c>
      <c r="B1870" s="15" t="s">
        <v>4299</v>
      </c>
      <c r="C1870" s="52">
        <v>22.937975000000002</v>
      </c>
      <c r="D1870" s="25">
        <v>3.7499999999999999E-2</v>
      </c>
      <c r="F1870" s="61" t="s">
        <v>5972</v>
      </c>
    </row>
    <row r="1871" spans="1:6" x14ac:dyDescent="0.25">
      <c r="A1871" s="15" t="s">
        <v>4302</v>
      </c>
      <c r="B1871" s="15" t="s">
        <v>4300</v>
      </c>
      <c r="C1871" s="54">
        <v>26.997402999999998</v>
      </c>
      <c r="D1871" s="26">
        <v>4.5833333333333337E-2</v>
      </c>
      <c r="F1871" s="61" t="s">
        <v>5973</v>
      </c>
    </row>
    <row r="1872" spans="1:6" x14ac:dyDescent="0.25">
      <c r="A1872" s="15" t="s">
        <v>4302</v>
      </c>
      <c r="B1872" s="15" t="s">
        <v>4301</v>
      </c>
      <c r="C1872" s="52">
        <v>10.178084999999999</v>
      </c>
      <c r="D1872" s="25">
        <v>2.0833333333333332E-2</v>
      </c>
      <c r="F1872" s="61" t="s">
        <v>5974</v>
      </c>
    </row>
    <row r="1873" spans="1:6" x14ac:dyDescent="0.25">
      <c r="A1873" s="15" t="s">
        <v>4302</v>
      </c>
      <c r="B1873" s="15" t="s">
        <v>4302</v>
      </c>
      <c r="C1873" s="54">
        <v>0</v>
      </c>
      <c r="D1873" s="26">
        <v>0</v>
      </c>
      <c r="F1873" s="61" t="s">
        <v>5975</v>
      </c>
    </row>
    <row r="1874" spans="1:6" x14ac:dyDescent="0.25">
      <c r="A1874" s="15" t="s">
        <v>4302</v>
      </c>
      <c r="B1874" s="15" t="s">
        <v>4303</v>
      </c>
      <c r="C1874" s="52">
        <v>21.016690000000001</v>
      </c>
      <c r="D1874" s="25">
        <v>3.0555555555555555E-2</v>
      </c>
      <c r="F1874" s="61" t="s">
        <v>5976</v>
      </c>
    </row>
    <row r="1875" spans="1:6" x14ac:dyDescent="0.25">
      <c r="A1875" s="15" t="s">
        <v>4302</v>
      </c>
      <c r="B1875" s="15" t="s">
        <v>4304</v>
      </c>
      <c r="C1875" s="54">
        <v>14.885605</v>
      </c>
      <c r="D1875" s="26">
        <v>2.5694444444444447E-2</v>
      </c>
      <c r="F1875" s="61" t="s">
        <v>5977</v>
      </c>
    </row>
    <row r="1876" spans="1:6" x14ac:dyDescent="0.25">
      <c r="A1876" s="15" t="s">
        <v>4302</v>
      </c>
      <c r="B1876" s="15" t="s">
        <v>4305</v>
      </c>
      <c r="C1876" s="52">
        <v>15.481502000000001</v>
      </c>
      <c r="D1876" s="25">
        <v>2.4999999999999998E-2</v>
      </c>
      <c r="F1876" s="61" t="s">
        <v>5978</v>
      </c>
    </row>
    <row r="1877" spans="1:6" x14ac:dyDescent="0.25">
      <c r="A1877" s="15" t="s">
        <v>4302</v>
      </c>
      <c r="B1877" s="15" t="s">
        <v>4306</v>
      </c>
      <c r="C1877" s="54">
        <v>142.233462</v>
      </c>
      <c r="D1877" s="26">
        <v>0.12152777777777778</v>
      </c>
      <c r="F1877" s="61" t="s">
        <v>5979</v>
      </c>
    </row>
    <row r="1878" spans="1:6" x14ac:dyDescent="0.25">
      <c r="A1878" s="15" t="s">
        <v>4302</v>
      </c>
      <c r="B1878" s="15" t="s">
        <v>4307</v>
      </c>
      <c r="C1878" s="52">
        <v>141.13673900000001</v>
      </c>
      <c r="D1878" s="25">
        <v>0.12013888888888889</v>
      </c>
      <c r="F1878" s="61" t="s">
        <v>5980</v>
      </c>
    </row>
    <row r="1879" spans="1:6" x14ac:dyDescent="0.25">
      <c r="A1879" s="15" t="s">
        <v>4302</v>
      </c>
      <c r="B1879" s="15" t="s">
        <v>4308</v>
      </c>
      <c r="C1879" s="54">
        <v>139.36023499999999</v>
      </c>
      <c r="D1879" s="26">
        <v>0.11805555555555557</v>
      </c>
      <c r="F1879" s="61" t="s">
        <v>5981</v>
      </c>
    </row>
    <row r="1880" spans="1:6" x14ac:dyDescent="0.25">
      <c r="A1880" s="15" t="s">
        <v>4302</v>
      </c>
      <c r="B1880" s="15" t="s">
        <v>4309</v>
      </c>
      <c r="C1880" s="52">
        <v>90.753973999999999</v>
      </c>
      <c r="D1880" s="25">
        <v>8.6805555555555566E-2</v>
      </c>
      <c r="F1880" s="61" t="s">
        <v>5982</v>
      </c>
    </row>
    <row r="1881" spans="1:6" x14ac:dyDescent="0.25">
      <c r="A1881" s="15" t="s">
        <v>4302</v>
      </c>
      <c r="B1881" s="15" t="s">
        <v>4310</v>
      </c>
      <c r="C1881" s="54">
        <v>92.315483</v>
      </c>
      <c r="D1881" s="26">
        <v>9.0277777777777776E-2</v>
      </c>
      <c r="F1881" s="61" t="s">
        <v>5983</v>
      </c>
    </row>
    <row r="1882" spans="1:6" x14ac:dyDescent="0.25">
      <c r="A1882" s="15" t="s">
        <v>4302</v>
      </c>
      <c r="B1882" s="15" t="s">
        <v>4311</v>
      </c>
      <c r="C1882" s="52">
        <v>81.609230999999994</v>
      </c>
      <c r="D1882" s="25">
        <v>8.1250000000000003E-2</v>
      </c>
      <c r="F1882" s="61" t="s">
        <v>5984</v>
      </c>
    </row>
    <row r="1883" spans="1:6" x14ac:dyDescent="0.25">
      <c r="A1883" s="15" t="s">
        <v>4302</v>
      </c>
      <c r="B1883" s="15" t="s">
        <v>4312</v>
      </c>
      <c r="C1883" s="54">
        <v>78.321548000000007</v>
      </c>
      <c r="D1883" s="26">
        <v>7.3611111111111113E-2</v>
      </c>
      <c r="F1883" s="61" t="s">
        <v>5985</v>
      </c>
    </row>
    <row r="1884" spans="1:6" x14ac:dyDescent="0.25">
      <c r="A1884" s="15" t="s">
        <v>4302</v>
      </c>
      <c r="B1884" s="15" t="s">
        <v>4313</v>
      </c>
      <c r="C1884" s="52">
        <v>96.995662999999993</v>
      </c>
      <c r="D1884" s="25">
        <v>9.3055555555555558E-2</v>
      </c>
      <c r="F1884" s="61" t="s">
        <v>5986</v>
      </c>
    </row>
    <row r="1885" spans="1:6" x14ac:dyDescent="0.25">
      <c r="A1885" s="15" t="s">
        <v>4302</v>
      </c>
      <c r="B1885" s="15" t="s">
        <v>4314</v>
      </c>
      <c r="C1885" s="54">
        <v>58.845861999999997</v>
      </c>
      <c r="D1885" s="26">
        <v>6.1805555555555558E-2</v>
      </c>
      <c r="F1885" s="61" t="s">
        <v>5987</v>
      </c>
    </row>
    <row r="1886" spans="1:6" x14ac:dyDescent="0.25">
      <c r="A1886" s="15" t="s">
        <v>4302</v>
      </c>
      <c r="B1886" s="15" t="s">
        <v>4315</v>
      </c>
      <c r="C1886" s="52">
        <v>59.623821</v>
      </c>
      <c r="D1886" s="25">
        <v>6.458333333333334E-2</v>
      </c>
      <c r="F1886" s="61" t="s">
        <v>5988</v>
      </c>
    </row>
    <row r="1887" spans="1:6" x14ac:dyDescent="0.25">
      <c r="A1887" s="15" t="s">
        <v>4302</v>
      </c>
      <c r="B1887" s="15" t="s">
        <v>4316</v>
      </c>
      <c r="C1887" s="54">
        <v>56.918363999999997</v>
      </c>
      <c r="D1887" s="26">
        <v>5.8333333333333327E-2</v>
      </c>
      <c r="F1887" s="61" t="s">
        <v>5989</v>
      </c>
    </row>
    <row r="1888" spans="1:6" x14ac:dyDescent="0.25">
      <c r="A1888" s="15" t="s">
        <v>4302</v>
      </c>
      <c r="B1888" s="15" t="s">
        <v>4317</v>
      </c>
      <c r="C1888" s="52">
        <v>188.689773</v>
      </c>
      <c r="D1888" s="25">
        <v>0.15555555555555556</v>
      </c>
      <c r="F1888" s="61" t="s">
        <v>5990</v>
      </c>
    </row>
    <row r="1889" spans="1:6" x14ac:dyDescent="0.25">
      <c r="A1889" s="15" t="s">
        <v>4302</v>
      </c>
      <c r="B1889" s="15" t="s">
        <v>4318</v>
      </c>
      <c r="C1889" s="54">
        <v>197.800962</v>
      </c>
      <c r="D1889" s="26">
        <v>0.16388888888888889</v>
      </c>
      <c r="F1889" s="61" t="s">
        <v>5991</v>
      </c>
    </row>
    <row r="1890" spans="1:6" x14ac:dyDescent="0.25">
      <c r="A1890" s="15" t="s">
        <v>4302</v>
      </c>
      <c r="B1890" s="15" t="s">
        <v>4319</v>
      </c>
      <c r="C1890" s="52">
        <v>191.438726</v>
      </c>
      <c r="D1890" s="25">
        <v>0.15972222222222224</v>
      </c>
      <c r="F1890" s="61" t="s">
        <v>5992</v>
      </c>
    </row>
    <row r="1891" spans="1:6" x14ac:dyDescent="0.25">
      <c r="A1891" s="15" t="s">
        <v>4302</v>
      </c>
      <c r="B1891" s="15" t="s">
        <v>4320</v>
      </c>
      <c r="C1891" s="54">
        <v>199.92978500000001</v>
      </c>
      <c r="D1891" s="26">
        <v>0.16805555555555554</v>
      </c>
      <c r="F1891" s="61" t="s">
        <v>5993</v>
      </c>
    </row>
    <row r="1892" spans="1:6" x14ac:dyDescent="0.25">
      <c r="A1892" s="15" t="s">
        <v>4302</v>
      </c>
      <c r="B1892" s="15" t="s">
        <v>4321</v>
      </c>
      <c r="C1892" s="52">
        <v>198.828712</v>
      </c>
      <c r="D1892" s="25">
        <v>0.16597222222222222</v>
      </c>
      <c r="F1892" s="61" t="s">
        <v>5994</v>
      </c>
    </row>
    <row r="1893" spans="1:6" x14ac:dyDescent="0.25">
      <c r="A1893" s="15" t="s">
        <v>4303</v>
      </c>
      <c r="B1893" s="15">
        <v>3423909</v>
      </c>
      <c r="C1893" s="54">
        <v>70.138689999999997</v>
      </c>
      <c r="D1893" s="26">
        <v>6.5277777777777782E-2</v>
      </c>
      <c r="F1893" s="61" t="s">
        <v>7048</v>
      </c>
    </row>
    <row r="1894" spans="1:6" x14ac:dyDescent="0.25">
      <c r="A1894" s="15" t="s">
        <v>4303</v>
      </c>
      <c r="B1894" s="15">
        <v>3403208</v>
      </c>
      <c r="C1894" s="52">
        <v>175.81430900000001</v>
      </c>
      <c r="D1894" s="25">
        <v>0.14722222222222223</v>
      </c>
      <c r="F1894" s="61" t="s">
        <v>7153</v>
      </c>
    </row>
    <row r="1895" spans="1:6" x14ac:dyDescent="0.25">
      <c r="A1895" s="15" t="s">
        <v>4303</v>
      </c>
      <c r="B1895" s="15">
        <v>3424402</v>
      </c>
      <c r="C1895" s="54">
        <v>45.679594999999999</v>
      </c>
      <c r="D1895" s="26">
        <v>4.4444444444444446E-2</v>
      </c>
      <c r="F1895" s="61" t="s">
        <v>7260</v>
      </c>
    </row>
    <row r="1896" spans="1:6" x14ac:dyDescent="0.25">
      <c r="A1896" s="15" t="s">
        <v>4303</v>
      </c>
      <c r="B1896" s="15" t="s">
        <v>4271</v>
      </c>
      <c r="C1896" s="52">
        <v>65.899686000000003</v>
      </c>
      <c r="D1896" s="25">
        <v>6.1805555555555558E-2</v>
      </c>
      <c r="F1896" s="61" t="s">
        <v>5995</v>
      </c>
    </row>
    <row r="1897" spans="1:6" x14ac:dyDescent="0.25">
      <c r="A1897" s="15" t="s">
        <v>4303</v>
      </c>
      <c r="B1897" s="15" t="s">
        <v>4272</v>
      </c>
      <c r="C1897" s="54">
        <v>69.667689999999993</v>
      </c>
      <c r="D1897" s="26">
        <v>6.7361111111111108E-2</v>
      </c>
      <c r="F1897" s="61" t="s">
        <v>5996</v>
      </c>
    </row>
    <row r="1898" spans="1:6" x14ac:dyDescent="0.25">
      <c r="A1898" s="15" t="s">
        <v>4303</v>
      </c>
      <c r="B1898" s="15" t="s">
        <v>4273</v>
      </c>
      <c r="C1898" s="52">
        <v>67.646985999999998</v>
      </c>
      <c r="D1898" s="25">
        <v>6.458333333333334E-2</v>
      </c>
      <c r="F1898" s="61" t="s">
        <v>5997</v>
      </c>
    </row>
    <row r="1899" spans="1:6" x14ac:dyDescent="0.25">
      <c r="A1899" s="15" t="s">
        <v>4303</v>
      </c>
      <c r="B1899" s="15" t="s">
        <v>4274</v>
      </c>
      <c r="C1899" s="54">
        <v>77.803944000000001</v>
      </c>
      <c r="D1899" s="26">
        <v>7.1527777777777787E-2</v>
      </c>
      <c r="F1899" s="61" t="s">
        <v>5998</v>
      </c>
    </row>
    <row r="1900" spans="1:6" x14ac:dyDescent="0.25">
      <c r="A1900" s="15" t="s">
        <v>4303</v>
      </c>
      <c r="B1900" s="15" t="s">
        <v>4275</v>
      </c>
      <c r="C1900" s="52">
        <v>77.897149999999996</v>
      </c>
      <c r="D1900" s="25">
        <v>7.1527777777777787E-2</v>
      </c>
      <c r="F1900" s="61" t="s">
        <v>5999</v>
      </c>
    </row>
    <row r="1901" spans="1:6" x14ac:dyDescent="0.25">
      <c r="A1901" s="15" t="s">
        <v>4303</v>
      </c>
      <c r="B1901" s="15" t="s">
        <v>4276</v>
      </c>
      <c r="C1901" s="54">
        <v>60.272534</v>
      </c>
      <c r="D1901" s="26">
        <v>6.0416666666666667E-2</v>
      </c>
      <c r="F1901" s="61" t="s">
        <v>6000</v>
      </c>
    </row>
    <row r="1902" spans="1:6" x14ac:dyDescent="0.25">
      <c r="A1902" s="15" t="s">
        <v>4303</v>
      </c>
      <c r="B1902" s="15" t="s">
        <v>4277</v>
      </c>
      <c r="C1902" s="52">
        <v>64.990617</v>
      </c>
      <c r="D1902" s="25">
        <v>6.1111111111111116E-2</v>
      </c>
      <c r="F1902" s="61" t="s">
        <v>6001</v>
      </c>
    </row>
    <row r="1903" spans="1:6" x14ac:dyDescent="0.25">
      <c r="A1903" s="15" t="s">
        <v>4303</v>
      </c>
      <c r="B1903" s="15" t="s">
        <v>4278</v>
      </c>
      <c r="C1903" s="54">
        <v>68.583393999999998</v>
      </c>
      <c r="D1903" s="26">
        <v>6.6666666666666666E-2</v>
      </c>
      <c r="F1903" s="61" t="s">
        <v>6002</v>
      </c>
    </row>
    <row r="1904" spans="1:6" x14ac:dyDescent="0.25">
      <c r="A1904" s="15" t="s">
        <v>4303</v>
      </c>
      <c r="B1904" s="15" t="s">
        <v>4279</v>
      </c>
      <c r="C1904" s="52">
        <v>86.032784000000007</v>
      </c>
      <c r="D1904" s="25">
        <v>7.9861111111111105E-2</v>
      </c>
      <c r="F1904" s="61" t="s">
        <v>6003</v>
      </c>
    </row>
    <row r="1905" spans="1:6" x14ac:dyDescent="0.25">
      <c r="A1905" s="15" t="s">
        <v>4303</v>
      </c>
      <c r="B1905" s="15" t="s">
        <v>4280</v>
      </c>
      <c r="C1905" s="54">
        <v>5.666919</v>
      </c>
      <c r="D1905" s="26">
        <v>1.5972222222222224E-2</v>
      </c>
      <c r="F1905" s="61" t="s">
        <v>6004</v>
      </c>
    </row>
    <row r="1906" spans="1:6" x14ac:dyDescent="0.25">
      <c r="A1906" s="15" t="s">
        <v>4303</v>
      </c>
      <c r="B1906" s="15" t="s">
        <v>4281</v>
      </c>
      <c r="C1906" s="52">
        <v>103.25412900000001</v>
      </c>
      <c r="D1906" s="25">
        <v>8.819444444444445E-2</v>
      </c>
      <c r="F1906" s="61" t="s">
        <v>6005</v>
      </c>
    </row>
    <row r="1907" spans="1:6" x14ac:dyDescent="0.25">
      <c r="A1907" s="15" t="s">
        <v>4303</v>
      </c>
      <c r="B1907" s="15" t="s">
        <v>4282</v>
      </c>
      <c r="C1907" s="54">
        <v>44.720816999999997</v>
      </c>
      <c r="D1907" s="26">
        <v>4.4444444444444446E-2</v>
      </c>
      <c r="F1907" s="61" t="s">
        <v>6006</v>
      </c>
    </row>
    <row r="1908" spans="1:6" x14ac:dyDescent="0.25">
      <c r="A1908" s="15" t="s">
        <v>4303</v>
      </c>
      <c r="B1908" s="15" t="s">
        <v>4283</v>
      </c>
      <c r="C1908" s="52">
        <v>52.604795000000003</v>
      </c>
      <c r="D1908" s="25">
        <v>4.9999999999999996E-2</v>
      </c>
      <c r="F1908" s="61" t="s">
        <v>6007</v>
      </c>
    </row>
    <row r="1909" spans="1:6" x14ac:dyDescent="0.25">
      <c r="A1909" s="15" t="s">
        <v>4303</v>
      </c>
      <c r="B1909" s="15" t="s">
        <v>4284</v>
      </c>
      <c r="C1909" s="54">
        <v>50.667354000000003</v>
      </c>
      <c r="D1909" s="26">
        <v>4.7222222222222221E-2</v>
      </c>
      <c r="F1909" s="61" t="s">
        <v>6008</v>
      </c>
    </row>
    <row r="1910" spans="1:6" x14ac:dyDescent="0.25">
      <c r="A1910" s="15" t="s">
        <v>4303</v>
      </c>
      <c r="B1910" s="15" t="s">
        <v>4285</v>
      </c>
      <c r="C1910" s="52">
        <v>53.045968999999999</v>
      </c>
      <c r="D1910" s="25">
        <v>5.2777777777777778E-2</v>
      </c>
      <c r="F1910" s="61" t="s">
        <v>6009</v>
      </c>
    </row>
    <row r="1911" spans="1:6" x14ac:dyDescent="0.25">
      <c r="A1911" s="15" t="s">
        <v>4303</v>
      </c>
      <c r="B1911" s="15" t="s">
        <v>4286</v>
      </c>
      <c r="C1911" s="54">
        <v>51.976587000000002</v>
      </c>
      <c r="D1911" s="26">
        <v>5.1388888888888894E-2</v>
      </c>
      <c r="F1911" s="61" t="s">
        <v>6010</v>
      </c>
    </row>
    <row r="1912" spans="1:6" x14ac:dyDescent="0.25">
      <c r="A1912" s="15" t="s">
        <v>4303</v>
      </c>
      <c r="B1912" s="15" t="s">
        <v>4287</v>
      </c>
      <c r="C1912" s="52">
        <v>53.032299000000002</v>
      </c>
      <c r="D1912" s="25">
        <v>4.9999999999999996E-2</v>
      </c>
      <c r="F1912" s="61" t="s">
        <v>6011</v>
      </c>
    </row>
    <row r="1913" spans="1:6" x14ac:dyDescent="0.25">
      <c r="A1913" s="15" t="s">
        <v>4303</v>
      </c>
      <c r="B1913" s="15" t="s">
        <v>4288</v>
      </c>
      <c r="C1913" s="54">
        <v>57.860365000000002</v>
      </c>
      <c r="D1913" s="26">
        <v>5.4166666666666669E-2</v>
      </c>
      <c r="F1913" s="61" t="s">
        <v>6012</v>
      </c>
    </row>
    <row r="1914" spans="1:6" x14ac:dyDescent="0.25">
      <c r="A1914" s="15" t="s">
        <v>4303</v>
      </c>
      <c r="B1914" s="15" t="s">
        <v>4289</v>
      </c>
      <c r="C1914" s="52">
        <v>12.890999000000001</v>
      </c>
      <c r="D1914" s="25">
        <v>1.8749999999999999E-2</v>
      </c>
      <c r="F1914" s="61" t="s">
        <v>6013</v>
      </c>
    </row>
    <row r="1915" spans="1:6" x14ac:dyDescent="0.25">
      <c r="A1915" s="15" t="s">
        <v>4303</v>
      </c>
      <c r="B1915" s="15" t="s">
        <v>4290</v>
      </c>
      <c r="C1915" s="54">
        <v>20.443784000000001</v>
      </c>
      <c r="D1915" s="26">
        <v>2.7777777777777776E-2</v>
      </c>
      <c r="F1915" s="61" t="s">
        <v>6014</v>
      </c>
    </row>
    <row r="1916" spans="1:6" x14ac:dyDescent="0.25">
      <c r="A1916" s="15" t="s">
        <v>4303</v>
      </c>
      <c r="B1916" s="15" t="s">
        <v>4291</v>
      </c>
      <c r="C1916" s="52">
        <v>20.048590999999998</v>
      </c>
      <c r="D1916" s="25">
        <v>2.8472222222222222E-2</v>
      </c>
      <c r="F1916" s="61" t="s">
        <v>6015</v>
      </c>
    </row>
    <row r="1917" spans="1:6" x14ac:dyDescent="0.25">
      <c r="A1917" s="15" t="s">
        <v>4303</v>
      </c>
      <c r="B1917" s="15" t="s">
        <v>4292</v>
      </c>
      <c r="C1917" s="54">
        <v>16.760908000000001</v>
      </c>
      <c r="D1917" s="26">
        <v>2.4999999999999998E-2</v>
      </c>
      <c r="F1917" s="61" t="s">
        <v>6016</v>
      </c>
    </row>
    <row r="1918" spans="1:6" x14ac:dyDescent="0.25">
      <c r="A1918" s="15" t="s">
        <v>4303</v>
      </c>
      <c r="B1918" s="15" t="s">
        <v>4293</v>
      </c>
      <c r="C1918" s="52">
        <v>25.199770999999998</v>
      </c>
      <c r="D1918" s="25">
        <v>3.4722222222222224E-2</v>
      </c>
      <c r="F1918" s="61" t="s">
        <v>6017</v>
      </c>
    </row>
    <row r="1919" spans="1:6" x14ac:dyDescent="0.25">
      <c r="A1919" s="15" t="s">
        <v>4303</v>
      </c>
      <c r="B1919" s="15" t="s">
        <v>4294</v>
      </c>
      <c r="C1919" s="54">
        <v>20.139932999999999</v>
      </c>
      <c r="D1919" s="26">
        <v>3.7499999999999999E-2</v>
      </c>
      <c r="F1919" s="61" t="s">
        <v>6018</v>
      </c>
    </row>
    <row r="1920" spans="1:6" x14ac:dyDescent="0.25">
      <c r="A1920" s="15" t="s">
        <v>4303</v>
      </c>
      <c r="B1920" s="15" t="s">
        <v>4295</v>
      </c>
      <c r="C1920" s="52">
        <v>27.575278999999998</v>
      </c>
      <c r="D1920" s="25">
        <v>4.0972222222222222E-2</v>
      </c>
      <c r="F1920" s="61" t="s">
        <v>6019</v>
      </c>
    </row>
    <row r="1921" spans="1:6" x14ac:dyDescent="0.25">
      <c r="A1921" s="15" t="s">
        <v>4303</v>
      </c>
      <c r="B1921" s="15" t="s">
        <v>4296</v>
      </c>
      <c r="C1921" s="54">
        <v>29.156673000000001</v>
      </c>
      <c r="D1921" s="26">
        <v>3.6805555555555557E-2</v>
      </c>
      <c r="F1921" s="61" t="s">
        <v>6020</v>
      </c>
    </row>
    <row r="1922" spans="1:6" x14ac:dyDescent="0.25">
      <c r="A1922" s="15" t="s">
        <v>4303</v>
      </c>
      <c r="B1922" s="15" t="s">
        <v>4297</v>
      </c>
      <c r="C1922" s="52">
        <v>26.978760999999999</v>
      </c>
      <c r="D1922" s="25">
        <v>3.7499999999999999E-2</v>
      </c>
      <c r="F1922" s="61" t="s">
        <v>6021</v>
      </c>
    </row>
    <row r="1923" spans="1:6" x14ac:dyDescent="0.25">
      <c r="A1923" s="15" t="s">
        <v>4303</v>
      </c>
      <c r="B1923" s="15" t="s">
        <v>4298</v>
      </c>
      <c r="C1923" s="54">
        <v>21.754259999999999</v>
      </c>
      <c r="D1923" s="26">
        <v>3.4722222222222224E-2</v>
      </c>
      <c r="F1923" s="61" t="s">
        <v>6022</v>
      </c>
    </row>
    <row r="1924" spans="1:6" x14ac:dyDescent="0.25">
      <c r="A1924" s="15" t="s">
        <v>4303</v>
      </c>
      <c r="B1924" s="15" t="s">
        <v>4299</v>
      </c>
      <c r="C1924" s="52">
        <v>19.338984</v>
      </c>
      <c r="D1924" s="25">
        <v>2.9861111111111113E-2</v>
      </c>
      <c r="F1924" s="61" t="s">
        <v>6023</v>
      </c>
    </row>
    <row r="1925" spans="1:6" x14ac:dyDescent="0.25">
      <c r="A1925" s="15" t="s">
        <v>4303</v>
      </c>
      <c r="B1925" s="15" t="s">
        <v>4300</v>
      </c>
      <c r="C1925" s="54">
        <v>20.817229000000001</v>
      </c>
      <c r="D1925" s="26">
        <v>3.6805555555555557E-2</v>
      </c>
      <c r="F1925" s="61" t="s">
        <v>6024</v>
      </c>
    </row>
    <row r="1926" spans="1:6" x14ac:dyDescent="0.25">
      <c r="A1926" s="15" t="s">
        <v>4303</v>
      </c>
      <c r="B1926" s="15" t="s">
        <v>4301</v>
      </c>
      <c r="C1926" s="52">
        <v>23.159182999999999</v>
      </c>
      <c r="D1926" s="25">
        <v>3.3333333333333333E-2</v>
      </c>
      <c r="F1926" s="61" t="s">
        <v>6025</v>
      </c>
    </row>
    <row r="1927" spans="1:6" x14ac:dyDescent="0.25">
      <c r="A1927" s="15" t="s">
        <v>4303</v>
      </c>
      <c r="B1927" s="15" t="s">
        <v>4302</v>
      </c>
      <c r="C1927" s="54">
        <v>18.190065000000001</v>
      </c>
      <c r="D1927" s="26">
        <v>2.6388888888888889E-2</v>
      </c>
      <c r="F1927" s="61" t="s">
        <v>6026</v>
      </c>
    </row>
    <row r="1928" spans="1:6" x14ac:dyDescent="0.25">
      <c r="A1928" s="15" t="s">
        <v>4303</v>
      </c>
      <c r="B1928" s="15" t="s">
        <v>4303</v>
      </c>
      <c r="C1928" s="52">
        <v>0</v>
      </c>
      <c r="D1928" s="25">
        <v>0</v>
      </c>
      <c r="F1928" s="61" t="s">
        <v>6027</v>
      </c>
    </row>
    <row r="1929" spans="1:6" x14ac:dyDescent="0.25">
      <c r="A1929" s="15" t="s">
        <v>4303</v>
      </c>
      <c r="B1929" s="15" t="s">
        <v>4304</v>
      </c>
      <c r="C1929" s="54">
        <v>27.866703000000001</v>
      </c>
      <c r="D1929" s="26">
        <v>3.8194444444444441E-2</v>
      </c>
      <c r="F1929" s="61" t="s">
        <v>6028</v>
      </c>
    </row>
    <row r="1930" spans="1:6" x14ac:dyDescent="0.25">
      <c r="A1930" s="15" t="s">
        <v>4303</v>
      </c>
      <c r="B1930" s="15" t="s">
        <v>4305</v>
      </c>
      <c r="C1930" s="52">
        <v>28.462599999999998</v>
      </c>
      <c r="D1930" s="25">
        <v>3.7499999999999999E-2</v>
      </c>
      <c r="F1930" s="61" t="s">
        <v>6029</v>
      </c>
    </row>
    <row r="1931" spans="1:6" x14ac:dyDescent="0.25">
      <c r="A1931" s="15" t="s">
        <v>4303</v>
      </c>
      <c r="B1931" s="15" t="s">
        <v>4306</v>
      </c>
      <c r="C1931" s="54">
        <v>152.75019599999999</v>
      </c>
      <c r="D1931" s="26">
        <v>0.13194444444444445</v>
      </c>
      <c r="F1931" s="61" t="s">
        <v>6030</v>
      </c>
    </row>
    <row r="1932" spans="1:6" x14ac:dyDescent="0.25">
      <c r="A1932" s="15" t="s">
        <v>4303</v>
      </c>
      <c r="B1932" s="15" t="s">
        <v>4307</v>
      </c>
      <c r="C1932" s="52">
        <v>151.65347299999999</v>
      </c>
      <c r="D1932" s="25">
        <v>0.13055555555555556</v>
      </c>
      <c r="F1932" s="61" t="s">
        <v>6031</v>
      </c>
    </row>
    <row r="1933" spans="1:6" x14ac:dyDescent="0.25">
      <c r="A1933" s="15" t="s">
        <v>4303</v>
      </c>
      <c r="B1933" s="15" t="s">
        <v>4308</v>
      </c>
      <c r="C1933" s="54">
        <v>149.87696800000001</v>
      </c>
      <c r="D1933" s="26">
        <v>0.12847222222222224</v>
      </c>
      <c r="F1933" s="61" t="s">
        <v>6032</v>
      </c>
    </row>
    <row r="1934" spans="1:6" x14ac:dyDescent="0.25">
      <c r="A1934" s="15" t="s">
        <v>4303</v>
      </c>
      <c r="B1934" s="15" t="s">
        <v>4309</v>
      </c>
      <c r="C1934" s="52">
        <v>78.866491999999994</v>
      </c>
      <c r="D1934" s="25">
        <v>7.3611111111111113E-2</v>
      </c>
      <c r="F1934" s="61" t="s">
        <v>6033</v>
      </c>
    </row>
    <row r="1935" spans="1:6" x14ac:dyDescent="0.25">
      <c r="A1935" s="15" t="s">
        <v>4303</v>
      </c>
      <c r="B1935" s="15" t="s">
        <v>4310</v>
      </c>
      <c r="C1935" s="54">
        <v>80.428002000000006</v>
      </c>
      <c r="D1935" s="26">
        <v>7.7083333333333337E-2</v>
      </c>
      <c r="F1935" s="61" t="s">
        <v>6034</v>
      </c>
    </row>
    <row r="1936" spans="1:6" x14ac:dyDescent="0.25">
      <c r="A1936" s="15" t="s">
        <v>4303</v>
      </c>
      <c r="B1936" s="15" t="s">
        <v>4311</v>
      </c>
      <c r="C1936" s="52">
        <v>69.905054000000007</v>
      </c>
      <c r="D1936" s="25">
        <v>6.8749999999999992E-2</v>
      </c>
      <c r="F1936" s="61" t="s">
        <v>6035</v>
      </c>
    </row>
    <row r="1937" spans="1:6" x14ac:dyDescent="0.25">
      <c r="A1937" s="15" t="s">
        <v>4303</v>
      </c>
      <c r="B1937" s="15" t="s">
        <v>4312</v>
      </c>
      <c r="C1937" s="54">
        <v>66.434066000000001</v>
      </c>
      <c r="D1937" s="26">
        <v>6.1111111111111116E-2</v>
      </c>
      <c r="F1937" s="61" t="s">
        <v>6036</v>
      </c>
    </row>
    <row r="1938" spans="1:6" x14ac:dyDescent="0.25">
      <c r="A1938" s="15" t="s">
        <v>4303</v>
      </c>
      <c r="B1938" s="15" t="s">
        <v>4313</v>
      </c>
      <c r="C1938" s="52">
        <v>89.086831000000004</v>
      </c>
      <c r="D1938" s="25">
        <v>8.1250000000000003E-2</v>
      </c>
      <c r="F1938" s="61" t="s">
        <v>6037</v>
      </c>
    </row>
    <row r="1939" spans="1:6" x14ac:dyDescent="0.25">
      <c r="A1939" s="15" t="s">
        <v>4303</v>
      </c>
      <c r="B1939" s="15" t="s">
        <v>4314</v>
      </c>
      <c r="C1939" s="54">
        <v>71.818261000000007</v>
      </c>
      <c r="D1939" s="26">
        <v>7.4305555555555555E-2</v>
      </c>
      <c r="F1939" s="61" t="s">
        <v>6038</v>
      </c>
    </row>
    <row r="1940" spans="1:6" x14ac:dyDescent="0.25">
      <c r="A1940" s="15" t="s">
        <v>4303</v>
      </c>
      <c r="B1940" s="15" t="s">
        <v>4315</v>
      </c>
      <c r="C1940" s="52">
        <v>72.596220000000002</v>
      </c>
      <c r="D1940" s="25">
        <v>7.7083333333333337E-2</v>
      </c>
      <c r="F1940" s="61" t="s">
        <v>6039</v>
      </c>
    </row>
    <row r="1941" spans="1:6" x14ac:dyDescent="0.25">
      <c r="A1941" s="15" t="s">
        <v>4303</v>
      </c>
      <c r="B1941" s="15" t="s">
        <v>4316</v>
      </c>
      <c r="C1941" s="54">
        <v>69.890763000000007</v>
      </c>
      <c r="D1941" s="26">
        <v>7.0833333333333331E-2</v>
      </c>
      <c r="F1941" s="61" t="s">
        <v>6040</v>
      </c>
    </row>
    <row r="1942" spans="1:6" x14ac:dyDescent="0.25">
      <c r="A1942" s="15" t="s">
        <v>4303</v>
      </c>
      <c r="B1942" s="15" t="s">
        <v>4317</v>
      </c>
      <c r="C1942" s="52">
        <v>199.20650699999999</v>
      </c>
      <c r="D1942" s="25">
        <v>0.16666666666666666</v>
      </c>
      <c r="F1942" s="61" t="s">
        <v>6041</v>
      </c>
    </row>
    <row r="1943" spans="1:6" x14ac:dyDescent="0.25">
      <c r="A1943" s="15" t="s">
        <v>4303</v>
      </c>
      <c r="B1943" s="15" t="s">
        <v>4318</v>
      </c>
      <c r="C1943" s="54">
        <v>208.31769499999999</v>
      </c>
      <c r="D1943" s="26">
        <v>0.17500000000000002</v>
      </c>
      <c r="F1943" s="61" t="s">
        <v>6042</v>
      </c>
    </row>
    <row r="1944" spans="1:6" x14ac:dyDescent="0.25">
      <c r="A1944" s="15" t="s">
        <v>4303</v>
      </c>
      <c r="B1944" s="15" t="s">
        <v>4319</v>
      </c>
      <c r="C1944" s="52">
        <v>201.95545999999999</v>
      </c>
      <c r="D1944" s="25">
        <v>0.17083333333333331</v>
      </c>
      <c r="F1944" s="61" t="s">
        <v>6043</v>
      </c>
    </row>
    <row r="1945" spans="1:6" x14ac:dyDescent="0.25">
      <c r="A1945" s="15" t="s">
        <v>4303</v>
      </c>
      <c r="B1945" s="15" t="s">
        <v>4320</v>
      </c>
      <c r="C1945" s="54">
        <v>212.91088300000001</v>
      </c>
      <c r="D1945" s="26">
        <v>0.18055555555555555</v>
      </c>
      <c r="F1945" s="61" t="s">
        <v>6044</v>
      </c>
    </row>
    <row r="1946" spans="1:6" x14ac:dyDescent="0.25">
      <c r="A1946" s="15" t="s">
        <v>4303</v>
      </c>
      <c r="B1946" s="15" t="s">
        <v>4321</v>
      </c>
      <c r="C1946" s="52">
        <v>211.80981</v>
      </c>
      <c r="D1946" s="25">
        <v>0.17777777777777778</v>
      </c>
      <c r="F1946" s="61" t="s">
        <v>6045</v>
      </c>
    </row>
    <row r="1947" spans="1:6" x14ac:dyDescent="0.25">
      <c r="A1947" s="15" t="s">
        <v>4304</v>
      </c>
      <c r="B1947" s="15">
        <v>3423909</v>
      </c>
      <c r="C1947" s="54">
        <v>49.904308999999998</v>
      </c>
      <c r="D1947" s="26">
        <v>4.5138888888888888E-2</v>
      </c>
      <c r="F1947" s="61" t="s">
        <v>7049</v>
      </c>
    </row>
    <row r="1948" spans="1:6" x14ac:dyDescent="0.25">
      <c r="A1948" s="15" t="s">
        <v>4304</v>
      </c>
      <c r="B1948" s="15">
        <v>3403208</v>
      </c>
      <c r="C1948" s="52">
        <v>166.51111599999999</v>
      </c>
      <c r="D1948" s="25">
        <v>0.15</v>
      </c>
      <c r="F1948" s="61" t="s">
        <v>7154</v>
      </c>
    </row>
    <row r="1949" spans="1:6" x14ac:dyDescent="0.25">
      <c r="A1949" s="15" t="s">
        <v>4304</v>
      </c>
      <c r="B1949" s="15">
        <v>3424402</v>
      </c>
      <c r="C1949" s="54">
        <v>64.717834999999994</v>
      </c>
      <c r="D1949" s="26">
        <v>6.458333333333334E-2</v>
      </c>
      <c r="F1949" s="61" t="s">
        <v>7261</v>
      </c>
    </row>
    <row r="1950" spans="1:6" x14ac:dyDescent="0.25">
      <c r="A1950" s="15" t="s">
        <v>4304</v>
      </c>
      <c r="B1950" s="15" t="s">
        <v>4271</v>
      </c>
      <c r="C1950" s="52">
        <v>46.376776</v>
      </c>
      <c r="D1950" s="25">
        <v>5.2083333333333336E-2</v>
      </c>
      <c r="F1950" s="61" t="s">
        <v>6046</v>
      </c>
    </row>
    <row r="1951" spans="1:6" x14ac:dyDescent="0.25">
      <c r="A1951" s="15" t="s">
        <v>4304</v>
      </c>
      <c r="B1951" s="15" t="s">
        <v>4272</v>
      </c>
      <c r="C1951" s="54">
        <v>50.523195999999999</v>
      </c>
      <c r="D1951" s="26">
        <v>5.7638888888888885E-2</v>
      </c>
      <c r="F1951" s="61" t="s">
        <v>6047</v>
      </c>
    </row>
    <row r="1952" spans="1:6" x14ac:dyDescent="0.25">
      <c r="A1952" s="15" t="s">
        <v>4304</v>
      </c>
      <c r="B1952" s="15" t="s">
        <v>4273</v>
      </c>
      <c r="C1952" s="52">
        <v>48.124076000000002</v>
      </c>
      <c r="D1952" s="25">
        <v>5.486111111111111E-2</v>
      </c>
      <c r="F1952" s="61" t="s">
        <v>6048</v>
      </c>
    </row>
    <row r="1953" spans="1:6" x14ac:dyDescent="0.25">
      <c r="A1953" s="15" t="s">
        <v>4304</v>
      </c>
      <c r="B1953" s="15" t="s">
        <v>4274</v>
      </c>
      <c r="C1953" s="54">
        <v>58.281033999999998</v>
      </c>
      <c r="D1953" s="26">
        <v>6.1805555555555558E-2</v>
      </c>
      <c r="F1953" s="61" t="s">
        <v>6049</v>
      </c>
    </row>
    <row r="1954" spans="1:6" x14ac:dyDescent="0.25">
      <c r="A1954" s="15" t="s">
        <v>4304</v>
      </c>
      <c r="B1954" s="15" t="s">
        <v>4275</v>
      </c>
      <c r="C1954" s="52">
        <v>58.37424</v>
      </c>
      <c r="D1954" s="25">
        <v>6.25E-2</v>
      </c>
      <c r="F1954" s="61" t="s">
        <v>6050</v>
      </c>
    </row>
    <row r="1955" spans="1:6" x14ac:dyDescent="0.25">
      <c r="A1955" s="15" t="s">
        <v>4304</v>
      </c>
      <c r="B1955" s="15" t="s">
        <v>4276</v>
      </c>
      <c r="C1955" s="54">
        <v>44.113115000000001</v>
      </c>
      <c r="D1955" s="26">
        <v>5.0694444444444452E-2</v>
      </c>
      <c r="F1955" s="61" t="s">
        <v>6051</v>
      </c>
    </row>
    <row r="1956" spans="1:6" x14ac:dyDescent="0.25">
      <c r="A1956" s="15" t="s">
        <v>4304</v>
      </c>
      <c r="B1956" s="15" t="s">
        <v>4277</v>
      </c>
      <c r="C1956" s="52">
        <v>48.868479999999998</v>
      </c>
      <c r="D1956" s="25">
        <v>5.2083333333333336E-2</v>
      </c>
      <c r="F1956" s="61" t="s">
        <v>6052</v>
      </c>
    </row>
    <row r="1957" spans="1:6" x14ac:dyDescent="0.25">
      <c r="A1957" s="15" t="s">
        <v>4304</v>
      </c>
      <c r="B1957" s="15" t="s">
        <v>4278</v>
      </c>
      <c r="C1957" s="54">
        <v>54.497495999999998</v>
      </c>
      <c r="D1957" s="26">
        <v>5.9027777777777783E-2</v>
      </c>
      <c r="F1957" s="61" t="s">
        <v>6053</v>
      </c>
    </row>
    <row r="1958" spans="1:6" x14ac:dyDescent="0.25">
      <c r="A1958" s="15" t="s">
        <v>4304</v>
      </c>
      <c r="B1958" s="15" t="s">
        <v>4279</v>
      </c>
      <c r="C1958" s="52">
        <v>78.438366000000002</v>
      </c>
      <c r="D1958" s="25">
        <v>7.4305555555555555E-2</v>
      </c>
      <c r="F1958" s="61" t="s">
        <v>6054</v>
      </c>
    </row>
    <row r="1959" spans="1:6" x14ac:dyDescent="0.25">
      <c r="A1959" s="15" t="s">
        <v>4304</v>
      </c>
      <c r="B1959" s="15" t="s">
        <v>4280</v>
      </c>
      <c r="C1959" s="54">
        <v>18.483975000000001</v>
      </c>
      <c r="D1959" s="26">
        <v>2.9861111111111113E-2</v>
      </c>
      <c r="F1959" s="61" t="s">
        <v>6055</v>
      </c>
    </row>
    <row r="1960" spans="1:6" x14ac:dyDescent="0.25">
      <c r="A1960" s="15" t="s">
        <v>4304</v>
      </c>
      <c r="B1960" s="15" t="s">
        <v>4281</v>
      </c>
      <c r="C1960" s="52">
        <v>89.186871999999994</v>
      </c>
      <c r="D1960" s="25">
        <v>7.7083333333333337E-2</v>
      </c>
      <c r="F1960" s="61" t="s">
        <v>6056</v>
      </c>
    </row>
    <row r="1961" spans="1:6" x14ac:dyDescent="0.25">
      <c r="A1961" s="15" t="s">
        <v>4304</v>
      </c>
      <c r="B1961" s="15" t="s">
        <v>4282</v>
      </c>
      <c r="C1961" s="54">
        <v>63.759056999999999</v>
      </c>
      <c r="D1961" s="26">
        <v>6.458333333333334E-2</v>
      </c>
      <c r="F1961" s="61" t="s">
        <v>6057</v>
      </c>
    </row>
    <row r="1962" spans="1:6" x14ac:dyDescent="0.25">
      <c r="A1962" s="15" t="s">
        <v>4304</v>
      </c>
      <c r="B1962" s="15" t="s">
        <v>4283</v>
      </c>
      <c r="C1962" s="52">
        <v>71.643034</v>
      </c>
      <c r="D1962" s="25">
        <v>7.013888888888889E-2</v>
      </c>
      <c r="F1962" s="61" t="s">
        <v>6058</v>
      </c>
    </row>
    <row r="1963" spans="1:6" x14ac:dyDescent="0.25">
      <c r="A1963" s="15" t="s">
        <v>4304</v>
      </c>
      <c r="B1963" s="15" t="s">
        <v>4284</v>
      </c>
      <c r="C1963" s="54">
        <v>69.705594000000005</v>
      </c>
      <c r="D1963" s="26">
        <v>6.7361111111111108E-2</v>
      </c>
      <c r="F1963" s="61" t="s">
        <v>6059</v>
      </c>
    </row>
    <row r="1964" spans="1:6" x14ac:dyDescent="0.25">
      <c r="A1964" s="15" t="s">
        <v>4304</v>
      </c>
      <c r="B1964" s="15" t="s">
        <v>4285</v>
      </c>
      <c r="C1964" s="52">
        <v>72.084208000000004</v>
      </c>
      <c r="D1964" s="25">
        <v>7.3611111111111113E-2</v>
      </c>
      <c r="F1964" s="61" t="s">
        <v>6060</v>
      </c>
    </row>
    <row r="1965" spans="1:6" x14ac:dyDescent="0.25">
      <c r="A1965" s="15" t="s">
        <v>4304</v>
      </c>
      <c r="B1965" s="15" t="s">
        <v>4286</v>
      </c>
      <c r="C1965" s="54">
        <v>71.014825999999999</v>
      </c>
      <c r="D1965" s="26">
        <v>7.1527777777777787E-2</v>
      </c>
      <c r="F1965" s="61" t="s">
        <v>6061</v>
      </c>
    </row>
    <row r="1966" spans="1:6" x14ac:dyDescent="0.25">
      <c r="A1966" s="15" t="s">
        <v>4304</v>
      </c>
      <c r="B1966" s="15" t="s">
        <v>4287</v>
      </c>
      <c r="C1966" s="52">
        <v>72.070537999999999</v>
      </c>
      <c r="D1966" s="25">
        <v>7.013888888888889E-2</v>
      </c>
      <c r="F1966" s="61" t="s">
        <v>6062</v>
      </c>
    </row>
    <row r="1967" spans="1:6" x14ac:dyDescent="0.25">
      <c r="A1967" s="15" t="s">
        <v>4304</v>
      </c>
      <c r="B1967" s="15" t="s">
        <v>4288</v>
      </c>
      <c r="C1967" s="54">
        <v>76.898604000000006</v>
      </c>
      <c r="D1967" s="26">
        <v>7.4999999999999997E-2</v>
      </c>
      <c r="F1967" s="61" t="s">
        <v>6063</v>
      </c>
    </row>
    <row r="1968" spans="1:6" x14ac:dyDescent="0.25">
      <c r="A1968" s="15" t="s">
        <v>4304</v>
      </c>
      <c r="B1968" s="15" t="s">
        <v>4289</v>
      </c>
      <c r="C1968" s="52">
        <v>15.283905000000001</v>
      </c>
      <c r="D1968" s="25">
        <v>2.0833333333333332E-2</v>
      </c>
      <c r="F1968" s="61" t="s">
        <v>6064</v>
      </c>
    </row>
    <row r="1969" spans="1:6" x14ac:dyDescent="0.25">
      <c r="A1969" s="15" t="s">
        <v>4304</v>
      </c>
      <c r="B1969" s="15" t="s">
        <v>4290</v>
      </c>
      <c r="C1969" s="54">
        <v>11.80049</v>
      </c>
      <c r="D1969" s="26">
        <v>1.8749999999999999E-2</v>
      </c>
      <c r="F1969" s="61" t="s">
        <v>6065</v>
      </c>
    </row>
    <row r="1970" spans="1:6" x14ac:dyDescent="0.25">
      <c r="A1970" s="15" t="s">
        <v>4304</v>
      </c>
      <c r="B1970" s="15" t="s">
        <v>4291</v>
      </c>
      <c r="C1970" s="52">
        <v>12.342948</v>
      </c>
      <c r="D1970" s="25">
        <v>1.9444444444444445E-2</v>
      </c>
      <c r="F1970" s="61" t="s">
        <v>6066</v>
      </c>
    </row>
    <row r="1971" spans="1:6" x14ac:dyDescent="0.25">
      <c r="A1971" s="15" t="s">
        <v>4304</v>
      </c>
      <c r="B1971" s="15" t="s">
        <v>4292</v>
      </c>
      <c r="C1971" s="54">
        <v>13.606199</v>
      </c>
      <c r="D1971" s="26">
        <v>2.2222222222222223E-2</v>
      </c>
      <c r="F1971" s="61" t="s">
        <v>6067</v>
      </c>
    </row>
    <row r="1972" spans="1:6" x14ac:dyDescent="0.25">
      <c r="A1972" s="15" t="s">
        <v>4304</v>
      </c>
      <c r="B1972" s="15" t="s">
        <v>4293</v>
      </c>
      <c r="C1972" s="52">
        <v>17.350591000000001</v>
      </c>
      <c r="D1972" s="25">
        <v>2.4999999999999998E-2</v>
      </c>
      <c r="F1972" s="61" t="s">
        <v>6068</v>
      </c>
    </row>
    <row r="1973" spans="1:6" x14ac:dyDescent="0.25">
      <c r="A1973" s="15" t="s">
        <v>4304</v>
      </c>
      <c r="B1973" s="15" t="s">
        <v>4294</v>
      </c>
      <c r="C1973" s="54">
        <v>18.329874</v>
      </c>
      <c r="D1973" s="26">
        <v>2.7083333333333334E-2</v>
      </c>
      <c r="F1973" s="61" t="s">
        <v>6069</v>
      </c>
    </row>
    <row r="1974" spans="1:6" x14ac:dyDescent="0.25">
      <c r="A1974" s="15" t="s">
        <v>4304</v>
      </c>
      <c r="B1974" s="15" t="s">
        <v>4295</v>
      </c>
      <c r="C1974" s="52">
        <v>21.150285</v>
      </c>
      <c r="D1974" s="25">
        <v>2.9166666666666664E-2</v>
      </c>
      <c r="F1974" s="61" t="s">
        <v>6070</v>
      </c>
    </row>
    <row r="1975" spans="1:6" x14ac:dyDescent="0.25">
      <c r="A1975" s="15" t="s">
        <v>4304</v>
      </c>
      <c r="B1975" s="15" t="s">
        <v>4296</v>
      </c>
      <c r="C1975" s="54">
        <v>12.812706</v>
      </c>
      <c r="D1975" s="26">
        <v>2.013888888888889E-2</v>
      </c>
      <c r="F1975" s="61" t="s">
        <v>6071</v>
      </c>
    </row>
    <row r="1976" spans="1:6" x14ac:dyDescent="0.25">
      <c r="A1976" s="15" t="s">
        <v>4304</v>
      </c>
      <c r="B1976" s="15" t="s">
        <v>4297</v>
      </c>
      <c r="C1976" s="52">
        <v>19.129581000000002</v>
      </c>
      <c r="D1976" s="25">
        <v>2.7777777777777776E-2</v>
      </c>
      <c r="F1976" s="61" t="s">
        <v>6072</v>
      </c>
    </row>
    <row r="1977" spans="1:6" x14ac:dyDescent="0.25">
      <c r="A1977" s="15" t="s">
        <v>4304</v>
      </c>
      <c r="B1977" s="15" t="s">
        <v>4298</v>
      </c>
      <c r="C1977" s="54">
        <v>22.813078999999998</v>
      </c>
      <c r="D1977" s="26">
        <v>3.4722222222222224E-2</v>
      </c>
      <c r="F1977" s="61" t="s">
        <v>6073</v>
      </c>
    </row>
    <row r="1978" spans="1:6" x14ac:dyDescent="0.25">
      <c r="A1978" s="15" t="s">
        <v>4304</v>
      </c>
      <c r="B1978" s="15" t="s">
        <v>4299</v>
      </c>
      <c r="C1978" s="52">
        <v>28.233312999999999</v>
      </c>
      <c r="D1978" s="25">
        <v>4.1666666666666664E-2</v>
      </c>
      <c r="F1978" s="61" t="s">
        <v>6074</v>
      </c>
    </row>
    <row r="1979" spans="1:6" x14ac:dyDescent="0.25">
      <c r="A1979" s="15" t="s">
        <v>4304</v>
      </c>
      <c r="B1979" s="15" t="s">
        <v>4300</v>
      </c>
      <c r="C1979" s="54">
        <v>34.160587999999997</v>
      </c>
      <c r="D1979" s="26">
        <v>5.2777777777777778E-2</v>
      </c>
      <c r="F1979" s="61" t="s">
        <v>6075</v>
      </c>
    </row>
    <row r="1980" spans="1:6" x14ac:dyDescent="0.25">
      <c r="A1980" s="15" t="s">
        <v>4304</v>
      </c>
      <c r="B1980" s="15" t="s">
        <v>4301</v>
      </c>
      <c r="C1980" s="52">
        <v>9.7114349999999998</v>
      </c>
      <c r="D1980" s="25">
        <v>1.8749999999999999E-2</v>
      </c>
      <c r="F1980" s="61" t="s">
        <v>6076</v>
      </c>
    </row>
    <row r="1981" spans="1:6" x14ac:dyDescent="0.25">
      <c r="A1981" s="15" t="s">
        <v>4304</v>
      </c>
      <c r="B1981" s="15" t="s">
        <v>4302</v>
      </c>
      <c r="C1981" s="54">
        <v>14.167920000000001</v>
      </c>
      <c r="D1981" s="26">
        <v>2.2222222222222223E-2</v>
      </c>
      <c r="F1981" s="61" t="s">
        <v>6077</v>
      </c>
    </row>
    <row r="1982" spans="1:6" x14ac:dyDescent="0.25">
      <c r="A1982" s="15" t="s">
        <v>4304</v>
      </c>
      <c r="B1982" s="15" t="s">
        <v>4303</v>
      </c>
      <c r="C1982" s="52">
        <v>28.179874999999999</v>
      </c>
      <c r="D1982" s="25">
        <v>3.6805555555555557E-2</v>
      </c>
      <c r="F1982" s="61" t="s">
        <v>6078</v>
      </c>
    </row>
    <row r="1983" spans="1:6" x14ac:dyDescent="0.25">
      <c r="A1983" s="15" t="s">
        <v>4304</v>
      </c>
      <c r="B1983" s="15" t="s">
        <v>4304</v>
      </c>
      <c r="C1983" s="54">
        <v>0</v>
      </c>
      <c r="D1983" s="26">
        <v>0</v>
      </c>
      <c r="F1983" s="61" t="s">
        <v>6079</v>
      </c>
    </row>
    <row r="1984" spans="1:6" x14ac:dyDescent="0.25">
      <c r="A1984" s="15" t="s">
        <v>4304</v>
      </c>
      <c r="B1984" s="15" t="s">
        <v>4305</v>
      </c>
      <c r="C1984" s="52">
        <v>3.1851569999999998</v>
      </c>
      <c r="D1984" s="25">
        <v>6.9444444444444441E-3</v>
      </c>
      <c r="F1984" s="61" t="s">
        <v>6080</v>
      </c>
    </row>
    <row r="1985" spans="1:6" x14ac:dyDescent="0.25">
      <c r="A1985" s="15" t="s">
        <v>4304</v>
      </c>
      <c r="B1985" s="15" t="s">
        <v>4306</v>
      </c>
      <c r="C1985" s="54">
        <v>150.45608799999999</v>
      </c>
      <c r="D1985" s="26">
        <v>0.12916666666666668</v>
      </c>
      <c r="F1985" s="61" t="s">
        <v>6081</v>
      </c>
    </row>
    <row r="1986" spans="1:6" x14ac:dyDescent="0.25">
      <c r="A1986" s="15" t="s">
        <v>4304</v>
      </c>
      <c r="B1986" s="15" t="s">
        <v>4307</v>
      </c>
      <c r="C1986" s="52">
        <v>149.359365</v>
      </c>
      <c r="D1986" s="25">
        <v>0.1277777777777778</v>
      </c>
      <c r="F1986" s="61" t="s">
        <v>6082</v>
      </c>
    </row>
    <row r="1987" spans="1:6" x14ac:dyDescent="0.25">
      <c r="A1987" s="15" t="s">
        <v>4304</v>
      </c>
      <c r="B1987" s="15" t="s">
        <v>4308</v>
      </c>
      <c r="C1987" s="54">
        <v>147.58286000000001</v>
      </c>
      <c r="D1987" s="26">
        <v>0.125</v>
      </c>
      <c r="F1987" s="61" t="s">
        <v>6083</v>
      </c>
    </row>
    <row r="1988" spans="1:6" x14ac:dyDescent="0.25">
      <c r="A1988" s="15" t="s">
        <v>4304</v>
      </c>
      <c r="B1988" s="15" t="s">
        <v>4309</v>
      </c>
      <c r="C1988" s="52">
        <v>97.904730999999998</v>
      </c>
      <c r="D1988" s="25">
        <v>9.4444444444444442E-2</v>
      </c>
      <c r="F1988" s="61" t="s">
        <v>6084</v>
      </c>
    </row>
    <row r="1989" spans="1:6" x14ac:dyDescent="0.25">
      <c r="A1989" s="15" t="s">
        <v>4304</v>
      </c>
      <c r="B1989" s="15" t="s">
        <v>4310</v>
      </c>
      <c r="C1989" s="54">
        <v>104.618042</v>
      </c>
      <c r="D1989" s="26">
        <v>0.1013888888888889</v>
      </c>
      <c r="F1989" s="61" t="s">
        <v>6085</v>
      </c>
    </row>
    <row r="1990" spans="1:6" x14ac:dyDescent="0.25">
      <c r="A1990" s="15" t="s">
        <v>4304</v>
      </c>
      <c r="B1990" s="15" t="s">
        <v>4311</v>
      </c>
      <c r="C1990" s="52">
        <v>88.759989000000004</v>
      </c>
      <c r="D1990" s="25">
        <v>8.819444444444445E-2</v>
      </c>
      <c r="F1990" s="61" t="s">
        <v>6086</v>
      </c>
    </row>
    <row r="1991" spans="1:6" x14ac:dyDescent="0.25">
      <c r="A1991" s="15" t="s">
        <v>4304</v>
      </c>
      <c r="B1991" s="15" t="s">
        <v>4312</v>
      </c>
      <c r="C1991" s="54">
        <v>85.472305000000006</v>
      </c>
      <c r="D1991" s="26">
        <v>8.1250000000000003E-2</v>
      </c>
      <c r="F1991" s="61" t="s">
        <v>6087</v>
      </c>
    </row>
    <row r="1992" spans="1:6" x14ac:dyDescent="0.25">
      <c r="A1992" s="15" t="s">
        <v>4304</v>
      </c>
      <c r="B1992" s="15" t="s">
        <v>4313</v>
      </c>
      <c r="C1992" s="52">
        <v>113.276871</v>
      </c>
      <c r="D1992" s="25">
        <v>0.10555555555555556</v>
      </c>
      <c r="F1992" s="61" t="s">
        <v>6088</v>
      </c>
    </row>
    <row r="1993" spans="1:6" x14ac:dyDescent="0.25">
      <c r="A1993" s="15" t="s">
        <v>4304</v>
      </c>
      <c r="B1993" s="15" t="s">
        <v>4314</v>
      </c>
      <c r="C1993" s="54">
        <v>51.592578000000003</v>
      </c>
      <c r="D1993" s="26">
        <v>5.347222222222222E-2</v>
      </c>
      <c r="F1993" s="61" t="s">
        <v>6089</v>
      </c>
    </row>
    <row r="1994" spans="1:6" x14ac:dyDescent="0.25">
      <c r="A1994" s="15" t="s">
        <v>4304</v>
      </c>
      <c r="B1994" s="15" t="s">
        <v>4315</v>
      </c>
      <c r="C1994" s="52">
        <v>52.370536999999999</v>
      </c>
      <c r="D1994" s="25">
        <v>5.6944444444444443E-2</v>
      </c>
      <c r="F1994" s="61" t="s">
        <v>6090</v>
      </c>
    </row>
    <row r="1995" spans="1:6" x14ac:dyDescent="0.25">
      <c r="A1995" s="15" t="s">
        <v>4304</v>
      </c>
      <c r="B1995" s="15" t="s">
        <v>4316</v>
      </c>
      <c r="C1995" s="54">
        <v>49.665080000000003</v>
      </c>
      <c r="D1995" s="26">
        <v>5.0694444444444452E-2</v>
      </c>
      <c r="F1995" s="61" t="s">
        <v>6091</v>
      </c>
    </row>
    <row r="1996" spans="1:6" x14ac:dyDescent="0.25">
      <c r="A1996" s="15" t="s">
        <v>4304</v>
      </c>
      <c r="B1996" s="15" t="s">
        <v>4317</v>
      </c>
      <c r="C1996" s="52">
        <v>189.90331399999999</v>
      </c>
      <c r="D1996" s="25">
        <v>0.16944444444444443</v>
      </c>
      <c r="F1996" s="61" t="s">
        <v>6092</v>
      </c>
    </row>
    <row r="1997" spans="1:6" x14ac:dyDescent="0.25">
      <c r="A1997" s="15" t="s">
        <v>4304</v>
      </c>
      <c r="B1997" s="15" t="s">
        <v>4318</v>
      </c>
      <c r="C1997" s="54">
        <v>199.01450299999999</v>
      </c>
      <c r="D1997" s="26">
        <v>0.17777777777777778</v>
      </c>
      <c r="F1997" s="61" t="s">
        <v>6093</v>
      </c>
    </row>
    <row r="1998" spans="1:6" x14ac:dyDescent="0.25">
      <c r="A1998" s="15" t="s">
        <v>4304</v>
      </c>
      <c r="B1998" s="15" t="s">
        <v>4319</v>
      </c>
      <c r="C1998" s="52">
        <v>192.65226699999999</v>
      </c>
      <c r="D1998" s="25">
        <v>0.17361111111111113</v>
      </c>
      <c r="F1998" s="61" t="s">
        <v>6094</v>
      </c>
    </row>
    <row r="1999" spans="1:6" x14ac:dyDescent="0.25">
      <c r="A1999" s="15" t="s">
        <v>4304</v>
      </c>
      <c r="B1999" s="15" t="s">
        <v>4320</v>
      </c>
      <c r="C1999" s="54">
        <v>201.219133</v>
      </c>
      <c r="D1999" s="26">
        <v>0.17847222222222223</v>
      </c>
      <c r="F1999" s="61" t="s">
        <v>6095</v>
      </c>
    </row>
    <row r="2000" spans="1:6" x14ac:dyDescent="0.25">
      <c r="A2000" s="15" t="s">
        <v>4304</v>
      </c>
      <c r="B2000" s="15" t="s">
        <v>4321</v>
      </c>
      <c r="C2000" s="52">
        <v>189.94184000000001</v>
      </c>
      <c r="D2000" s="25">
        <v>0.17013888888888887</v>
      </c>
      <c r="F2000" s="61" t="s">
        <v>6096</v>
      </c>
    </row>
    <row r="2001" spans="1:6" x14ac:dyDescent="0.25">
      <c r="A2001" s="15" t="s">
        <v>4305</v>
      </c>
      <c r="B2001" s="15">
        <v>3423909</v>
      </c>
      <c r="C2001" s="54">
        <v>50.723899000000003</v>
      </c>
      <c r="D2001" s="26">
        <v>4.7222222222222221E-2</v>
      </c>
      <c r="F2001" s="61" t="s">
        <v>7050</v>
      </c>
    </row>
    <row r="2002" spans="1:6" x14ac:dyDescent="0.25">
      <c r="A2002" s="15" t="s">
        <v>4305</v>
      </c>
      <c r="B2002" s="15">
        <v>3403208</v>
      </c>
      <c r="C2002" s="52">
        <v>163.39058199999999</v>
      </c>
      <c r="D2002" s="25">
        <v>0.14444444444444446</v>
      </c>
      <c r="F2002" s="61" t="s">
        <v>7155</v>
      </c>
    </row>
    <row r="2003" spans="1:6" x14ac:dyDescent="0.25">
      <c r="A2003" s="15" t="s">
        <v>4305</v>
      </c>
      <c r="B2003" s="15">
        <v>3424402</v>
      </c>
      <c r="C2003" s="54">
        <v>66.571389999999994</v>
      </c>
      <c r="D2003" s="26">
        <v>6.805555555555555E-2</v>
      </c>
      <c r="F2003" s="61" t="s">
        <v>7262</v>
      </c>
    </row>
    <row r="2004" spans="1:6" x14ac:dyDescent="0.25">
      <c r="A2004" s="15" t="s">
        <v>4305</v>
      </c>
      <c r="B2004" s="15" t="s">
        <v>4271</v>
      </c>
      <c r="C2004" s="52">
        <v>50.075186000000002</v>
      </c>
      <c r="D2004" s="25">
        <v>5.8333333333333327E-2</v>
      </c>
      <c r="F2004" s="61" t="s">
        <v>6097</v>
      </c>
    </row>
    <row r="2005" spans="1:6" x14ac:dyDescent="0.25">
      <c r="A2005" s="15" t="s">
        <v>4305</v>
      </c>
      <c r="B2005" s="15" t="s">
        <v>4272</v>
      </c>
      <c r="C2005" s="54">
        <v>54.221606000000001</v>
      </c>
      <c r="D2005" s="26">
        <v>6.3888888888888884E-2</v>
      </c>
      <c r="F2005" s="61" t="s">
        <v>6098</v>
      </c>
    </row>
    <row r="2006" spans="1:6" x14ac:dyDescent="0.25">
      <c r="A2006" s="15" t="s">
        <v>4305</v>
      </c>
      <c r="B2006" s="15" t="s">
        <v>4273</v>
      </c>
      <c r="C2006" s="52">
        <v>51.822485999999998</v>
      </c>
      <c r="D2006" s="25">
        <v>6.1111111111111116E-2</v>
      </c>
      <c r="F2006" s="61" t="s">
        <v>6099</v>
      </c>
    </row>
    <row r="2007" spans="1:6" x14ac:dyDescent="0.25">
      <c r="A2007" s="15" t="s">
        <v>4305</v>
      </c>
      <c r="B2007" s="15" t="s">
        <v>4274</v>
      </c>
      <c r="C2007" s="54">
        <v>61.979444999999998</v>
      </c>
      <c r="D2007" s="26">
        <v>6.805555555555555E-2</v>
      </c>
      <c r="F2007" s="61" t="s">
        <v>6100</v>
      </c>
    </row>
    <row r="2008" spans="1:6" x14ac:dyDescent="0.25">
      <c r="A2008" s="15" t="s">
        <v>4305</v>
      </c>
      <c r="B2008" s="15" t="s">
        <v>4275</v>
      </c>
      <c r="C2008" s="52">
        <v>62.072651</v>
      </c>
      <c r="D2008" s="25">
        <v>6.8749999999999992E-2</v>
      </c>
      <c r="F2008" s="61" t="s">
        <v>6101</v>
      </c>
    </row>
    <row r="2009" spans="1:6" x14ac:dyDescent="0.25">
      <c r="A2009" s="15" t="s">
        <v>4305</v>
      </c>
      <c r="B2009" s="15" t="s">
        <v>4276</v>
      </c>
      <c r="C2009" s="54">
        <v>47.811525000000003</v>
      </c>
      <c r="D2009" s="26">
        <v>5.6944444444444443E-2</v>
      </c>
      <c r="F2009" s="61" t="s">
        <v>6102</v>
      </c>
    </row>
    <row r="2010" spans="1:6" x14ac:dyDescent="0.25">
      <c r="A2010" s="15" t="s">
        <v>4305</v>
      </c>
      <c r="B2010" s="15" t="s">
        <v>4277</v>
      </c>
      <c r="C2010" s="52">
        <v>52.566890999999998</v>
      </c>
      <c r="D2010" s="25">
        <v>5.8333333333333327E-2</v>
      </c>
      <c r="F2010" s="61" t="s">
        <v>6103</v>
      </c>
    </row>
    <row r="2011" spans="1:6" x14ac:dyDescent="0.25">
      <c r="A2011" s="15" t="s">
        <v>4305</v>
      </c>
      <c r="B2011" s="15" t="s">
        <v>4278</v>
      </c>
      <c r="C2011" s="54">
        <v>58.195906000000001</v>
      </c>
      <c r="D2011" s="26">
        <v>6.5277777777777782E-2</v>
      </c>
      <c r="F2011" s="61" t="s">
        <v>6104</v>
      </c>
    </row>
    <row r="2012" spans="1:6" x14ac:dyDescent="0.25">
      <c r="A2012" s="15" t="s">
        <v>4305</v>
      </c>
      <c r="B2012" s="15" t="s">
        <v>4279</v>
      </c>
      <c r="C2012" s="52">
        <v>73.609057000000007</v>
      </c>
      <c r="D2012" s="25">
        <v>7.6388888888888895E-2</v>
      </c>
      <c r="F2012" s="61" t="s">
        <v>6105</v>
      </c>
    </row>
    <row r="2013" spans="1:6" x14ac:dyDescent="0.25">
      <c r="A2013" s="15" t="s">
        <v>4305</v>
      </c>
      <c r="B2013" s="15" t="s">
        <v>4280</v>
      </c>
      <c r="C2013" s="54">
        <v>20.291547999999999</v>
      </c>
      <c r="D2013" s="26">
        <v>3.3333333333333333E-2</v>
      </c>
      <c r="F2013" s="61" t="s">
        <v>6106</v>
      </c>
    </row>
    <row r="2014" spans="1:6" x14ac:dyDescent="0.25">
      <c r="A2014" s="15" t="s">
        <v>4305</v>
      </c>
      <c r="B2014" s="15" t="s">
        <v>4281</v>
      </c>
      <c r="C2014" s="52">
        <v>90.040015999999994</v>
      </c>
      <c r="D2014" s="25">
        <v>7.9861111111111105E-2</v>
      </c>
      <c r="F2014" s="61" t="s">
        <v>6107</v>
      </c>
    </row>
    <row r="2015" spans="1:6" x14ac:dyDescent="0.25">
      <c r="A2015" s="15" t="s">
        <v>4305</v>
      </c>
      <c r="B2015" s="15" t="s">
        <v>4282</v>
      </c>
      <c r="C2015" s="54">
        <v>65.612611000000001</v>
      </c>
      <c r="D2015" s="26">
        <v>6.805555555555555E-2</v>
      </c>
      <c r="F2015" s="61" t="s">
        <v>6108</v>
      </c>
    </row>
    <row r="2016" spans="1:6" x14ac:dyDescent="0.25">
      <c r="A2016" s="15" t="s">
        <v>4305</v>
      </c>
      <c r="B2016" s="15" t="s">
        <v>4283</v>
      </c>
      <c r="C2016" s="52">
        <v>73.496589</v>
      </c>
      <c r="D2016" s="25">
        <v>7.3611111111111113E-2</v>
      </c>
      <c r="F2016" s="61" t="s">
        <v>6109</v>
      </c>
    </row>
    <row r="2017" spans="1:6" x14ac:dyDescent="0.25">
      <c r="A2017" s="15" t="s">
        <v>4305</v>
      </c>
      <c r="B2017" s="15" t="s">
        <v>4284</v>
      </c>
      <c r="C2017" s="54">
        <v>71.559147999999993</v>
      </c>
      <c r="D2017" s="26">
        <v>7.013888888888889E-2</v>
      </c>
      <c r="F2017" s="61" t="s">
        <v>6110</v>
      </c>
    </row>
    <row r="2018" spans="1:6" x14ac:dyDescent="0.25">
      <c r="A2018" s="15" t="s">
        <v>4305</v>
      </c>
      <c r="B2018" s="15" t="s">
        <v>4285</v>
      </c>
      <c r="C2018" s="52">
        <v>73.937763000000004</v>
      </c>
      <c r="D2018" s="25">
        <v>7.6388888888888895E-2</v>
      </c>
      <c r="F2018" s="61" t="s">
        <v>6111</v>
      </c>
    </row>
    <row r="2019" spans="1:6" x14ac:dyDescent="0.25">
      <c r="A2019" s="15" t="s">
        <v>4305</v>
      </c>
      <c r="B2019" s="15" t="s">
        <v>4286</v>
      </c>
      <c r="C2019" s="54">
        <v>72.868380999999999</v>
      </c>
      <c r="D2019" s="26">
        <v>7.4999999999999997E-2</v>
      </c>
      <c r="F2019" s="61" t="s">
        <v>6112</v>
      </c>
    </row>
    <row r="2020" spans="1:6" x14ac:dyDescent="0.25">
      <c r="A2020" s="15" t="s">
        <v>4305</v>
      </c>
      <c r="B2020" s="15" t="s">
        <v>4287</v>
      </c>
      <c r="C2020" s="52">
        <v>73.924092999999999</v>
      </c>
      <c r="D2020" s="25">
        <v>7.2916666666666671E-2</v>
      </c>
      <c r="F2020" s="61" t="s">
        <v>6113</v>
      </c>
    </row>
    <row r="2021" spans="1:6" x14ac:dyDescent="0.25">
      <c r="A2021" s="15" t="s">
        <v>4305</v>
      </c>
      <c r="B2021" s="15" t="s">
        <v>4288</v>
      </c>
      <c r="C2021" s="54">
        <v>78.752159000000006</v>
      </c>
      <c r="D2021" s="26">
        <v>7.7777777777777779E-2</v>
      </c>
      <c r="F2021" s="61" t="s">
        <v>6114</v>
      </c>
    </row>
    <row r="2022" spans="1:6" x14ac:dyDescent="0.25">
      <c r="A2022" s="15" t="s">
        <v>4305</v>
      </c>
      <c r="B2022" s="15" t="s">
        <v>4289</v>
      </c>
      <c r="C2022" s="52">
        <v>17.091477999999999</v>
      </c>
      <c r="D2022" s="25">
        <v>2.4305555555555556E-2</v>
      </c>
      <c r="F2022" s="61" t="s">
        <v>6115</v>
      </c>
    </row>
    <row r="2023" spans="1:6" x14ac:dyDescent="0.25">
      <c r="A2023" s="15" t="s">
        <v>4305</v>
      </c>
      <c r="B2023" s="15" t="s">
        <v>4290</v>
      </c>
      <c r="C2023" s="54">
        <v>13.608063</v>
      </c>
      <c r="D2023" s="26">
        <v>2.2222222222222223E-2</v>
      </c>
      <c r="F2023" s="61" t="s">
        <v>6116</v>
      </c>
    </row>
    <row r="2024" spans="1:6" x14ac:dyDescent="0.25">
      <c r="A2024" s="15" t="s">
        <v>4305</v>
      </c>
      <c r="B2024" s="15" t="s">
        <v>4291</v>
      </c>
      <c r="C2024" s="52">
        <v>14.150520999999999</v>
      </c>
      <c r="D2024" s="25">
        <v>2.2916666666666669E-2</v>
      </c>
      <c r="F2024" s="61" t="s">
        <v>6117</v>
      </c>
    </row>
    <row r="2025" spans="1:6" x14ac:dyDescent="0.25">
      <c r="A2025" s="15" t="s">
        <v>4305</v>
      </c>
      <c r="B2025" s="15" t="s">
        <v>4292</v>
      </c>
      <c r="C2025" s="54">
        <v>15.413772</v>
      </c>
      <c r="D2025" s="26">
        <v>2.5694444444444447E-2</v>
      </c>
      <c r="F2025" s="61" t="s">
        <v>6118</v>
      </c>
    </row>
    <row r="2026" spans="1:6" x14ac:dyDescent="0.25">
      <c r="A2026" s="15" t="s">
        <v>4305</v>
      </c>
      <c r="B2026" s="15" t="s">
        <v>4293</v>
      </c>
      <c r="C2026" s="52">
        <v>19.157543</v>
      </c>
      <c r="D2026" s="25">
        <v>2.7777777777777776E-2</v>
      </c>
      <c r="F2026" s="61" t="s">
        <v>6119</v>
      </c>
    </row>
    <row r="2027" spans="1:6" x14ac:dyDescent="0.25">
      <c r="A2027" s="15" t="s">
        <v>4305</v>
      </c>
      <c r="B2027" s="15" t="s">
        <v>4294</v>
      </c>
      <c r="C2027" s="54">
        <v>20.136825999999999</v>
      </c>
      <c r="D2027" s="26">
        <v>2.9861111111111113E-2</v>
      </c>
      <c r="F2027" s="61" t="s">
        <v>6120</v>
      </c>
    </row>
    <row r="2028" spans="1:6" x14ac:dyDescent="0.25">
      <c r="A2028" s="15" t="s">
        <v>4305</v>
      </c>
      <c r="B2028" s="15" t="s">
        <v>4295</v>
      </c>
      <c r="C2028" s="52">
        <v>22.957236999999999</v>
      </c>
      <c r="D2028" s="25">
        <v>3.2638888888888891E-2</v>
      </c>
      <c r="F2028" s="61" t="s">
        <v>6121</v>
      </c>
    </row>
    <row r="2029" spans="1:6" x14ac:dyDescent="0.25">
      <c r="A2029" s="15" t="s">
        <v>4305</v>
      </c>
      <c r="B2029" s="15" t="s">
        <v>4296</v>
      </c>
      <c r="C2029" s="54">
        <v>14.619657999999999</v>
      </c>
      <c r="D2029" s="26">
        <v>2.2916666666666669E-2</v>
      </c>
      <c r="F2029" s="61" t="s">
        <v>6122</v>
      </c>
    </row>
    <row r="2030" spans="1:6" x14ac:dyDescent="0.25">
      <c r="A2030" s="15" t="s">
        <v>4305</v>
      </c>
      <c r="B2030" s="15" t="s">
        <v>4297</v>
      </c>
      <c r="C2030" s="52">
        <v>20.936533000000001</v>
      </c>
      <c r="D2030" s="25">
        <v>3.0555555555555555E-2</v>
      </c>
      <c r="F2030" s="61" t="s">
        <v>6123</v>
      </c>
    </row>
    <row r="2031" spans="1:6" x14ac:dyDescent="0.25">
      <c r="A2031" s="15" t="s">
        <v>4305</v>
      </c>
      <c r="B2031" s="15" t="s">
        <v>4298</v>
      </c>
      <c r="C2031" s="54">
        <v>24.620652</v>
      </c>
      <c r="D2031" s="26">
        <v>3.8194444444444441E-2</v>
      </c>
      <c r="F2031" s="61" t="s">
        <v>6124</v>
      </c>
    </row>
    <row r="2032" spans="1:6" x14ac:dyDescent="0.25">
      <c r="A2032" s="15" t="s">
        <v>4305</v>
      </c>
      <c r="B2032" s="15" t="s">
        <v>4299</v>
      </c>
      <c r="C2032" s="52">
        <v>30.040886</v>
      </c>
      <c r="D2032" s="25">
        <v>4.5138888888888888E-2</v>
      </c>
      <c r="F2032" s="61" t="s">
        <v>6125</v>
      </c>
    </row>
    <row r="2033" spans="1:6" x14ac:dyDescent="0.25">
      <c r="A2033" s="15" t="s">
        <v>4305</v>
      </c>
      <c r="B2033" s="15" t="s">
        <v>4300</v>
      </c>
      <c r="C2033" s="54">
        <v>35.968161000000002</v>
      </c>
      <c r="D2033" s="26">
        <v>5.6250000000000001E-2</v>
      </c>
      <c r="F2033" s="61" t="s">
        <v>6126</v>
      </c>
    </row>
    <row r="2034" spans="1:6" x14ac:dyDescent="0.25">
      <c r="A2034" s="15" t="s">
        <v>4305</v>
      </c>
      <c r="B2034" s="15" t="s">
        <v>4301</v>
      </c>
      <c r="C2034" s="52">
        <v>11.518386</v>
      </c>
      <c r="D2034" s="25">
        <v>2.2222222222222223E-2</v>
      </c>
      <c r="F2034" s="61" t="s">
        <v>6127</v>
      </c>
    </row>
    <row r="2035" spans="1:6" x14ac:dyDescent="0.25">
      <c r="A2035" s="15" t="s">
        <v>4305</v>
      </c>
      <c r="B2035" s="15" t="s">
        <v>4302</v>
      </c>
      <c r="C2035" s="54">
        <v>15.975493</v>
      </c>
      <c r="D2035" s="26">
        <v>2.5694444444444447E-2</v>
      </c>
      <c r="F2035" s="61" t="s">
        <v>6128</v>
      </c>
    </row>
    <row r="2036" spans="1:6" x14ac:dyDescent="0.25">
      <c r="A2036" s="15" t="s">
        <v>4305</v>
      </c>
      <c r="B2036" s="15" t="s">
        <v>4303</v>
      </c>
      <c r="C2036" s="52">
        <v>29.987448000000001</v>
      </c>
      <c r="D2036" s="25">
        <v>4.027777777777778E-2</v>
      </c>
      <c r="F2036" s="61" t="s">
        <v>6129</v>
      </c>
    </row>
    <row r="2037" spans="1:6" x14ac:dyDescent="0.25">
      <c r="A2037" s="15" t="s">
        <v>4305</v>
      </c>
      <c r="B2037" s="15" t="s">
        <v>4304</v>
      </c>
      <c r="C2037" s="54">
        <v>3.7847810000000002</v>
      </c>
      <c r="D2037" s="26">
        <v>8.3333333333333332E-3</v>
      </c>
      <c r="F2037" s="61" t="s">
        <v>6130</v>
      </c>
    </row>
    <row r="2038" spans="1:6" x14ac:dyDescent="0.25">
      <c r="A2038" s="15" t="s">
        <v>4305</v>
      </c>
      <c r="B2038" s="15" t="s">
        <v>4305</v>
      </c>
      <c r="C2038" s="52">
        <v>0</v>
      </c>
      <c r="D2038" s="25">
        <v>0</v>
      </c>
      <c r="F2038" s="61" t="s">
        <v>6131</v>
      </c>
    </row>
    <row r="2039" spans="1:6" x14ac:dyDescent="0.25">
      <c r="A2039" s="15" t="s">
        <v>4305</v>
      </c>
      <c r="B2039" s="15" t="s">
        <v>4306</v>
      </c>
      <c r="C2039" s="54">
        <v>140.326469</v>
      </c>
      <c r="D2039" s="26">
        <v>0.12916666666666668</v>
      </c>
      <c r="F2039" s="61" t="s">
        <v>6132</v>
      </c>
    </row>
    <row r="2040" spans="1:6" x14ac:dyDescent="0.25">
      <c r="A2040" s="15" t="s">
        <v>4305</v>
      </c>
      <c r="B2040" s="15" t="s">
        <v>4307</v>
      </c>
      <c r="C2040" s="52">
        <v>139.22974600000001</v>
      </c>
      <c r="D2040" s="25">
        <v>0.1277777777777778</v>
      </c>
      <c r="F2040" s="61" t="s">
        <v>6133</v>
      </c>
    </row>
    <row r="2041" spans="1:6" x14ac:dyDescent="0.25">
      <c r="A2041" s="15" t="s">
        <v>4305</v>
      </c>
      <c r="B2041" s="15" t="s">
        <v>4308</v>
      </c>
      <c r="C2041" s="54">
        <v>137.45324199999999</v>
      </c>
      <c r="D2041" s="26">
        <v>0.12569444444444444</v>
      </c>
      <c r="F2041" s="61" t="s">
        <v>6134</v>
      </c>
    </row>
    <row r="2042" spans="1:6" x14ac:dyDescent="0.25">
      <c r="A2042" s="15" t="s">
        <v>4305</v>
      </c>
      <c r="B2042" s="15" t="s">
        <v>4309</v>
      </c>
      <c r="C2042" s="52">
        <v>99.758285999999998</v>
      </c>
      <c r="D2042" s="25">
        <v>9.7222222222222224E-2</v>
      </c>
      <c r="F2042" s="61" t="s">
        <v>6135</v>
      </c>
    </row>
    <row r="2043" spans="1:6" x14ac:dyDescent="0.25">
      <c r="A2043" s="15" t="s">
        <v>4305</v>
      </c>
      <c r="B2043" s="15" t="s">
        <v>4310</v>
      </c>
      <c r="C2043" s="54">
        <v>101.319796</v>
      </c>
      <c r="D2043" s="26">
        <v>0.10069444444444443</v>
      </c>
      <c r="F2043" s="61" t="s">
        <v>6136</v>
      </c>
    </row>
    <row r="2044" spans="1:6" x14ac:dyDescent="0.25">
      <c r="A2044" s="15" t="s">
        <v>4305</v>
      </c>
      <c r="B2044" s="15" t="s">
        <v>4311</v>
      </c>
      <c r="C2044" s="52">
        <v>90.796847999999997</v>
      </c>
      <c r="D2044" s="25">
        <v>9.2361111111111116E-2</v>
      </c>
      <c r="F2044" s="61" t="s">
        <v>6137</v>
      </c>
    </row>
    <row r="2045" spans="1:6" x14ac:dyDescent="0.25">
      <c r="A2045" s="15" t="s">
        <v>4305</v>
      </c>
      <c r="B2045" s="15" t="s">
        <v>4312</v>
      </c>
      <c r="C2045" s="54">
        <v>87.325860000000006</v>
      </c>
      <c r="D2045" s="26">
        <v>8.4027777777777771E-2</v>
      </c>
      <c r="F2045" s="61" t="s">
        <v>6138</v>
      </c>
    </row>
    <row r="2046" spans="1:6" x14ac:dyDescent="0.25">
      <c r="A2046" s="15" t="s">
        <v>4305</v>
      </c>
      <c r="B2046" s="15" t="s">
        <v>4313</v>
      </c>
      <c r="C2046" s="52">
        <v>109.97862499999999</v>
      </c>
      <c r="D2046" s="25">
        <v>0.10486111111111111</v>
      </c>
      <c r="F2046" s="61" t="s">
        <v>6139</v>
      </c>
    </row>
    <row r="2047" spans="1:6" x14ac:dyDescent="0.25">
      <c r="A2047" s="15" t="s">
        <v>4305</v>
      </c>
      <c r="B2047" s="15" t="s">
        <v>4314</v>
      </c>
      <c r="C2047" s="54">
        <v>52.412168999999999</v>
      </c>
      <c r="D2047" s="26">
        <v>5.6250000000000001E-2</v>
      </c>
      <c r="F2047" s="61" t="s">
        <v>6140</v>
      </c>
    </row>
    <row r="2048" spans="1:6" x14ac:dyDescent="0.25">
      <c r="A2048" s="15" t="s">
        <v>4305</v>
      </c>
      <c r="B2048" s="15" t="s">
        <v>4315</v>
      </c>
      <c r="C2048" s="52">
        <v>53.190128000000001</v>
      </c>
      <c r="D2048" s="25">
        <v>5.9027777777777783E-2</v>
      </c>
      <c r="F2048" s="61" t="s">
        <v>6141</v>
      </c>
    </row>
    <row r="2049" spans="1:6" x14ac:dyDescent="0.25">
      <c r="A2049" s="15" t="s">
        <v>4305</v>
      </c>
      <c r="B2049" s="15" t="s">
        <v>4316</v>
      </c>
      <c r="C2049" s="54">
        <v>50.484670999999999</v>
      </c>
      <c r="D2049" s="26">
        <v>5.2777777777777778E-2</v>
      </c>
      <c r="F2049" s="61" t="s">
        <v>6142</v>
      </c>
    </row>
    <row r="2050" spans="1:6" x14ac:dyDescent="0.25">
      <c r="A2050" s="15" t="s">
        <v>4305</v>
      </c>
      <c r="B2050" s="15" t="s">
        <v>4317</v>
      </c>
      <c r="C2050" s="52">
        <v>186.782781</v>
      </c>
      <c r="D2050" s="25">
        <v>0.16319444444444445</v>
      </c>
      <c r="F2050" s="61" t="s">
        <v>6143</v>
      </c>
    </row>
    <row r="2051" spans="1:6" x14ac:dyDescent="0.25">
      <c r="A2051" s="15" t="s">
        <v>4305</v>
      </c>
      <c r="B2051" s="15" t="s">
        <v>4318</v>
      </c>
      <c r="C2051" s="54">
        <v>195.893969</v>
      </c>
      <c r="D2051" s="26">
        <v>0.17152777777777775</v>
      </c>
      <c r="F2051" s="61" t="s">
        <v>6144</v>
      </c>
    </row>
    <row r="2052" spans="1:6" x14ac:dyDescent="0.25">
      <c r="A2052" s="15" t="s">
        <v>4305</v>
      </c>
      <c r="B2052" s="15" t="s">
        <v>4319</v>
      </c>
      <c r="C2052" s="52">
        <v>189.531734</v>
      </c>
      <c r="D2052" s="25">
        <v>0.1673611111111111</v>
      </c>
      <c r="F2052" s="61" t="s">
        <v>6145</v>
      </c>
    </row>
    <row r="2053" spans="1:6" x14ac:dyDescent="0.25">
      <c r="A2053" s="15" t="s">
        <v>4305</v>
      </c>
      <c r="B2053" s="15" t="s">
        <v>4320</v>
      </c>
      <c r="C2053" s="54">
        <v>198.09859900000001</v>
      </c>
      <c r="D2053" s="26">
        <v>0.17291666666666669</v>
      </c>
      <c r="F2053" s="61" t="s">
        <v>6146</v>
      </c>
    </row>
    <row r="2054" spans="1:6" x14ac:dyDescent="0.25">
      <c r="A2054" s="15" t="s">
        <v>4305</v>
      </c>
      <c r="B2054" s="15" t="s">
        <v>4321</v>
      </c>
      <c r="C2054" s="52">
        <v>195.91074599999999</v>
      </c>
      <c r="D2054" s="25">
        <v>0.16874999999999998</v>
      </c>
      <c r="F2054" s="61" t="s">
        <v>6147</v>
      </c>
    </row>
    <row r="2055" spans="1:6" x14ac:dyDescent="0.25">
      <c r="A2055" s="15" t="s">
        <v>4306</v>
      </c>
      <c r="B2055" s="15">
        <v>3423909</v>
      </c>
      <c r="C2055" s="54">
        <v>103.261585</v>
      </c>
      <c r="D2055" s="26">
        <v>9.375E-2</v>
      </c>
      <c r="F2055" s="61" t="s">
        <v>7051</v>
      </c>
    </row>
    <row r="2056" spans="1:6" x14ac:dyDescent="0.25">
      <c r="A2056" s="15" t="s">
        <v>4306</v>
      </c>
      <c r="B2056" s="15">
        <v>3403208</v>
      </c>
      <c r="C2056" s="52">
        <v>29.124362000000001</v>
      </c>
      <c r="D2056" s="25">
        <v>2.5694444444444447E-2</v>
      </c>
      <c r="F2056" s="61" t="s">
        <v>7156</v>
      </c>
    </row>
    <row r="2057" spans="1:6" x14ac:dyDescent="0.25">
      <c r="A2057" s="15" t="s">
        <v>4306</v>
      </c>
      <c r="B2057" s="15">
        <v>3424402</v>
      </c>
      <c r="C2057" s="54">
        <v>174.21675999999999</v>
      </c>
      <c r="D2057" s="26">
        <v>0.1451388888888889</v>
      </c>
      <c r="F2057" s="61" t="s">
        <v>7263</v>
      </c>
    </row>
    <row r="2058" spans="1:6" x14ac:dyDescent="0.25">
      <c r="A2058" s="15" t="s">
        <v>4306</v>
      </c>
      <c r="B2058" s="15" t="s">
        <v>4271</v>
      </c>
      <c r="C2058" s="52">
        <v>95.389414000000002</v>
      </c>
      <c r="D2058" s="25">
        <v>8.3333333333333329E-2</v>
      </c>
      <c r="F2058" s="61" t="s">
        <v>6148</v>
      </c>
    </row>
    <row r="2059" spans="1:6" x14ac:dyDescent="0.25">
      <c r="A2059" s="15" t="s">
        <v>4306</v>
      </c>
      <c r="B2059" s="15" t="s">
        <v>4272</v>
      </c>
      <c r="C2059" s="54">
        <v>88.746318000000002</v>
      </c>
      <c r="D2059" s="26">
        <v>7.9166666666666663E-2</v>
      </c>
      <c r="F2059" s="61" t="s">
        <v>6149</v>
      </c>
    </row>
    <row r="2060" spans="1:6" x14ac:dyDescent="0.25">
      <c r="A2060" s="15" t="s">
        <v>4306</v>
      </c>
      <c r="B2060" s="15" t="s">
        <v>4273</v>
      </c>
      <c r="C2060" s="52">
        <v>90.301614000000001</v>
      </c>
      <c r="D2060" s="25">
        <v>8.3333333333333329E-2</v>
      </c>
      <c r="F2060" s="61" t="s">
        <v>6150</v>
      </c>
    </row>
    <row r="2061" spans="1:6" x14ac:dyDescent="0.25">
      <c r="A2061" s="15" t="s">
        <v>4306</v>
      </c>
      <c r="B2061" s="15" t="s">
        <v>4274</v>
      </c>
      <c r="C2061" s="54">
        <v>87.281743000000006</v>
      </c>
      <c r="D2061" s="26">
        <v>7.6388888888888895E-2</v>
      </c>
      <c r="F2061" s="61" t="s">
        <v>6151</v>
      </c>
    </row>
    <row r="2062" spans="1:6" x14ac:dyDescent="0.25">
      <c r="A2062" s="15" t="s">
        <v>4306</v>
      </c>
      <c r="B2062" s="15" t="s">
        <v>4275</v>
      </c>
      <c r="C2062" s="52">
        <v>87.374949000000001</v>
      </c>
      <c r="D2062" s="25">
        <v>7.7083333333333337E-2</v>
      </c>
      <c r="F2062" s="61" t="s">
        <v>6152</v>
      </c>
    </row>
    <row r="2063" spans="1:6" x14ac:dyDescent="0.25">
      <c r="A2063" s="15" t="s">
        <v>4306</v>
      </c>
      <c r="B2063" s="15" t="s">
        <v>4276</v>
      </c>
      <c r="C2063" s="54">
        <v>96.080381000000003</v>
      </c>
      <c r="D2063" s="26">
        <v>8.3333333333333329E-2</v>
      </c>
      <c r="F2063" s="61" t="s">
        <v>6153</v>
      </c>
    </row>
    <row r="2064" spans="1:6" x14ac:dyDescent="0.25">
      <c r="A2064" s="15" t="s">
        <v>4306</v>
      </c>
      <c r="B2064" s="15" t="s">
        <v>4277</v>
      </c>
      <c r="C2064" s="52">
        <v>89.554723999999993</v>
      </c>
      <c r="D2064" s="25">
        <v>7.8472222222222221E-2</v>
      </c>
      <c r="F2064" s="61" t="s">
        <v>6154</v>
      </c>
    </row>
    <row r="2065" spans="1:6" x14ac:dyDescent="0.25">
      <c r="A2065" s="15" t="s">
        <v>4306</v>
      </c>
      <c r="B2065" s="15" t="s">
        <v>4278</v>
      </c>
      <c r="C2065" s="54">
        <v>97.118695000000002</v>
      </c>
      <c r="D2065" s="26">
        <v>8.4722222222222213E-2</v>
      </c>
      <c r="F2065" s="61" t="s">
        <v>6155</v>
      </c>
    </row>
    <row r="2066" spans="1:6" x14ac:dyDescent="0.25">
      <c r="A2066" s="15" t="s">
        <v>4306</v>
      </c>
      <c r="B2066" s="15" t="s">
        <v>4279</v>
      </c>
      <c r="C2066" s="52">
        <v>68.928877999999997</v>
      </c>
      <c r="D2066" s="25">
        <v>6.1111111111111116E-2</v>
      </c>
      <c r="F2066" s="61" t="s">
        <v>6156</v>
      </c>
    </row>
    <row r="2067" spans="1:6" x14ac:dyDescent="0.25">
      <c r="A2067" s="15" t="s">
        <v>4306</v>
      </c>
      <c r="B2067" s="15" t="s">
        <v>4280</v>
      </c>
      <c r="C2067" s="54">
        <v>142.97476</v>
      </c>
      <c r="D2067" s="26">
        <v>0.12430555555555556</v>
      </c>
      <c r="F2067" s="61" t="s">
        <v>6157</v>
      </c>
    </row>
    <row r="2068" spans="1:6" x14ac:dyDescent="0.25">
      <c r="A2068" s="15" t="s">
        <v>4306</v>
      </c>
      <c r="B2068" s="15" t="s">
        <v>4281</v>
      </c>
      <c r="C2068" s="52">
        <v>61.181601999999998</v>
      </c>
      <c r="D2068" s="25">
        <v>5.4166666666666669E-2</v>
      </c>
      <c r="F2068" s="61" t="s">
        <v>6158</v>
      </c>
    </row>
    <row r="2069" spans="1:6" x14ac:dyDescent="0.25">
      <c r="A2069" s="15" t="s">
        <v>4306</v>
      </c>
      <c r="B2069" s="15" t="s">
        <v>4282</v>
      </c>
      <c r="C2069" s="54">
        <v>173.257982</v>
      </c>
      <c r="D2069" s="26">
        <v>0.1451388888888889</v>
      </c>
      <c r="F2069" s="61" t="s">
        <v>6159</v>
      </c>
    </row>
    <row r="2070" spans="1:6" x14ac:dyDescent="0.25">
      <c r="A2070" s="15" t="s">
        <v>4306</v>
      </c>
      <c r="B2070" s="15" t="s">
        <v>4283</v>
      </c>
      <c r="C2070" s="52">
        <v>181.14195900000001</v>
      </c>
      <c r="D2070" s="25">
        <v>0.15</v>
      </c>
      <c r="F2070" s="61" t="s">
        <v>6160</v>
      </c>
    </row>
    <row r="2071" spans="1:6" x14ac:dyDescent="0.25">
      <c r="A2071" s="15" t="s">
        <v>4306</v>
      </c>
      <c r="B2071" s="15" t="s">
        <v>4284</v>
      </c>
      <c r="C2071" s="54">
        <v>179.204519</v>
      </c>
      <c r="D2071" s="26">
        <v>0.14722222222222223</v>
      </c>
      <c r="F2071" s="61" t="s">
        <v>6161</v>
      </c>
    </row>
    <row r="2072" spans="1:6" x14ac:dyDescent="0.25">
      <c r="A2072" s="15" t="s">
        <v>4306</v>
      </c>
      <c r="B2072" s="15" t="s">
        <v>4285</v>
      </c>
      <c r="C2072" s="52">
        <v>182.937105</v>
      </c>
      <c r="D2072" s="25">
        <v>0.15555555555555556</v>
      </c>
      <c r="F2072" s="61" t="s">
        <v>6162</v>
      </c>
    </row>
    <row r="2073" spans="1:6" x14ac:dyDescent="0.25">
      <c r="A2073" s="15" t="s">
        <v>4306</v>
      </c>
      <c r="B2073" s="15" t="s">
        <v>4286</v>
      </c>
      <c r="C2073" s="54">
        <v>180.51375100000001</v>
      </c>
      <c r="D2073" s="26">
        <v>0.15208333333333332</v>
      </c>
      <c r="F2073" s="61" t="s">
        <v>6163</v>
      </c>
    </row>
    <row r="2074" spans="1:6" x14ac:dyDescent="0.25">
      <c r="A2074" s="15" t="s">
        <v>4306</v>
      </c>
      <c r="B2074" s="15" t="s">
        <v>4287</v>
      </c>
      <c r="C2074" s="52">
        <v>181.56946300000001</v>
      </c>
      <c r="D2074" s="25">
        <v>0.15</v>
      </c>
      <c r="F2074" s="61" t="s">
        <v>6164</v>
      </c>
    </row>
    <row r="2075" spans="1:6" x14ac:dyDescent="0.25">
      <c r="A2075" s="15" t="s">
        <v>4306</v>
      </c>
      <c r="B2075" s="15" t="s">
        <v>4288</v>
      </c>
      <c r="C2075" s="54">
        <v>186.39752899999999</v>
      </c>
      <c r="D2075" s="26">
        <v>0.15486111111111112</v>
      </c>
      <c r="F2075" s="61" t="s">
        <v>6165</v>
      </c>
    </row>
    <row r="2076" spans="1:6" x14ac:dyDescent="0.25">
      <c r="A2076" s="15" t="s">
        <v>4306</v>
      </c>
      <c r="B2076" s="15" t="s">
        <v>4289</v>
      </c>
      <c r="C2076" s="52">
        <v>139.754806</v>
      </c>
      <c r="D2076" s="25">
        <v>0.11597222222222221</v>
      </c>
      <c r="F2076" s="61" t="s">
        <v>6166</v>
      </c>
    </row>
    <row r="2077" spans="1:6" x14ac:dyDescent="0.25">
      <c r="A2077" s="15" t="s">
        <v>4306</v>
      </c>
      <c r="B2077" s="15" t="s">
        <v>4290</v>
      </c>
      <c r="C2077" s="54">
        <v>141.32687899999999</v>
      </c>
      <c r="D2077" s="26">
        <v>0.11944444444444445</v>
      </c>
      <c r="F2077" s="61" t="s">
        <v>6167</v>
      </c>
    </row>
    <row r="2078" spans="1:6" x14ac:dyDescent="0.25">
      <c r="A2078" s="15" t="s">
        <v>4306</v>
      </c>
      <c r="B2078" s="15" t="s">
        <v>4291</v>
      </c>
      <c r="C2078" s="52">
        <v>140.92857900000001</v>
      </c>
      <c r="D2078" s="25">
        <v>0.11944444444444445</v>
      </c>
      <c r="F2078" s="61" t="s">
        <v>6168</v>
      </c>
    </row>
    <row r="2079" spans="1:6" x14ac:dyDescent="0.25">
      <c r="A2079" s="15" t="s">
        <v>4306</v>
      </c>
      <c r="B2079" s="15" t="s">
        <v>4292</v>
      </c>
      <c r="C2079" s="54">
        <v>140.05182199999999</v>
      </c>
      <c r="D2079" s="26">
        <v>0.11805555555555557</v>
      </c>
      <c r="F2079" s="61" t="s">
        <v>6169</v>
      </c>
    </row>
    <row r="2080" spans="1:6" x14ac:dyDescent="0.25">
      <c r="A2080" s="15" t="s">
        <v>4306</v>
      </c>
      <c r="B2080" s="15" t="s">
        <v>4293</v>
      </c>
      <c r="C2080" s="52">
        <v>149.202157</v>
      </c>
      <c r="D2080" s="25">
        <v>0.12569444444444444</v>
      </c>
      <c r="F2080" s="61" t="s">
        <v>6170</v>
      </c>
    </row>
    <row r="2081" spans="1:6" x14ac:dyDescent="0.25">
      <c r="A2081" s="15" t="s">
        <v>4306</v>
      </c>
      <c r="B2081" s="15" t="s">
        <v>4294</v>
      </c>
      <c r="C2081" s="54">
        <v>150.18144100000001</v>
      </c>
      <c r="D2081" s="26">
        <v>0.1277777777777778</v>
      </c>
      <c r="F2081" s="61" t="s">
        <v>6171</v>
      </c>
    </row>
    <row r="2082" spans="1:6" x14ac:dyDescent="0.25">
      <c r="A2082" s="15" t="s">
        <v>4306</v>
      </c>
      <c r="B2082" s="15" t="s">
        <v>4295</v>
      </c>
      <c r="C2082" s="52">
        <v>153.00185200000001</v>
      </c>
      <c r="D2082" s="25">
        <v>0.13055555555555556</v>
      </c>
      <c r="F2082" s="61" t="s">
        <v>6172</v>
      </c>
    </row>
    <row r="2083" spans="1:6" x14ac:dyDescent="0.25">
      <c r="A2083" s="15" t="s">
        <v>4306</v>
      </c>
      <c r="B2083" s="15" t="s">
        <v>4296</v>
      </c>
      <c r="C2083" s="54">
        <v>144.66427200000001</v>
      </c>
      <c r="D2083" s="26">
        <v>0.12083333333333333</v>
      </c>
      <c r="F2083" s="61" t="s">
        <v>6173</v>
      </c>
    </row>
    <row r="2084" spans="1:6" x14ac:dyDescent="0.25">
      <c r="A2084" s="15" t="s">
        <v>4306</v>
      </c>
      <c r="B2084" s="15" t="s">
        <v>4297</v>
      </c>
      <c r="C2084" s="52">
        <v>150.98114799999999</v>
      </c>
      <c r="D2084" s="25">
        <v>0.12847222222222224</v>
      </c>
      <c r="F2084" s="61" t="s">
        <v>6174</v>
      </c>
    </row>
    <row r="2085" spans="1:6" x14ac:dyDescent="0.25">
      <c r="A2085" s="15" t="s">
        <v>4306</v>
      </c>
      <c r="B2085" s="15" t="s">
        <v>4298</v>
      </c>
      <c r="C2085" s="54">
        <v>152.312749</v>
      </c>
      <c r="D2085" s="26">
        <v>0.13472222222222222</v>
      </c>
      <c r="F2085" s="61" t="s">
        <v>6175</v>
      </c>
    </row>
    <row r="2086" spans="1:6" x14ac:dyDescent="0.25">
      <c r="A2086" s="15" t="s">
        <v>4306</v>
      </c>
      <c r="B2086" s="15" t="s">
        <v>4299</v>
      </c>
      <c r="C2086" s="52">
        <v>154.57516699999999</v>
      </c>
      <c r="D2086" s="25">
        <v>0.1388888888888889</v>
      </c>
      <c r="F2086" s="61" t="s">
        <v>6176</v>
      </c>
    </row>
    <row r="2087" spans="1:6" x14ac:dyDescent="0.25">
      <c r="A2087" s="15" t="s">
        <v>4306</v>
      </c>
      <c r="B2087" s="15" t="s">
        <v>4300</v>
      </c>
      <c r="C2087" s="54">
        <v>158.63459599999999</v>
      </c>
      <c r="D2087" s="26">
        <v>0.14791666666666667</v>
      </c>
      <c r="F2087" s="61" t="s">
        <v>6177</v>
      </c>
    </row>
    <row r="2088" spans="1:6" x14ac:dyDescent="0.25">
      <c r="A2088" s="15" t="s">
        <v>4306</v>
      </c>
      <c r="B2088" s="15" t="s">
        <v>4301</v>
      </c>
      <c r="C2088" s="52">
        <v>148.90451999999999</v>
      </c>
      <c r="D2088" s="25">
        <v>0.12847222222222224</v>
      </c>
      <c r="F2088" s="61" t="s">
        <v>6178</v>
      </c>
    </row>
    <row r="2089" spans="1:6" x14ac:dyDescent="0.25">
      <c r="A2089" s="15" t="s">
        <v>4306</v>
      </c>
      <c r="B2089" s="15" t="s">
        <v>4302</v>
      </c>
      <c r="C2089" s="54">
        <v>139.500665</v>
      </c>
      <c r="D2089" s="26">
        <v>0.12013888888888889</v>
      </c>
      <c r="F2089" s="61" t="s">
        <v>6179</v>
      </c>
    </row>
    <row r="2090" spans="1:6" x14ac:dyDescent="0.25">
      <c r="A2090" s="15" t="s">
        <v>4306</v>
      </c>
      <c r="B2090" s="15" t="s">
        <v>4303</v>
      </c>
      <c r="C2090" s="52">
        <v>152.658233</v>
      </c>
      <c r="D2090" s="25">
        <v>0.13194444444444445</v>
      </c>
      <c r="F2090" s="61" t="s">
        <v>6180</v>
      </c>
    </row>
    <row r="2091" spans="1:6" x14ac:dyDescent="0.25">
      <c r="A2091" s="15" t="s">
        <v>4306</v>
      </c>
      <c r="B2091" s="15" t="s">
        <v>4304</v>
      </c>
      <c r="C2091" s="54">
        <v>135.37412900000001</v>
      </c>
      <c r="D2091" s="26">
        <v>0.11944444444444445</v>
      </c>
      <c r="F2091" s="61" t="s">
        <v>6181</v>
      </c>
    </row>
    <row r="2092" spans="1:6" x14ac:dyDescent="0.25">
      <c r="A2092" s="15" t="s">
        <v>4306</v>
      </c>
      <c r="B2092" s="15" t="s">
        <v>4305</v>
      </c>
      <c r="C2092" s="52">
        <v>137.128264</v>
      </c>
      <c r="D2092" s="25">
        <v>0.1277777777777778</v>
      </c>
      <c r="F2092" s="61" t="s">
        <v>6182</v>
      </c>
    </row>
    <row r="2093" spans="1:6" x14ac:dyDescent="0.25">
      <c r="A2093" s="15" t="s">
        <v>4306</v>
      </c>
      <c r="B2093" s="15" t="s">
        <v>4306</v>
      </c>
      <c r="C2093" s="54">
        <v>0</v>
      </c>
      <c r="D2093" s="26">
        <v>0</v>
      </c>
      <c r="F2093" s="61" t="s">
        <v>6183</v>
      </c>
    </row>
    <row r="2094" spans="1:6" x14ac:dyDescent="0.25">
      <c r="A2094" s="15" t="s">
        <v>4306</v>
      </c>
      <c r="B2094" s="15" t="s">
        <v>4307</v>
      </c>
      <c r="C2094" s="52">
        <v>3.3852389999999999</v>
      </c>
      <c r="D2094" s="25">
        <v>6.2499999999999995E-3</v>
      </c>
      <c r="F2094" s="61" t="s">
        <v>6184</v>
      </c>
    </row>
    <row r="2095" spans="1:6" x14ac:dyDescent="0.25">
      <c r="A2095" s="15" t="s">
        <v>4306</v>
      </c>
      <c r="B2095" s="15" t="s">
        <v>4308</v>
      </c>
      <c r="C2095" s="54">
        <v>3.1298539999999999</v>
      </c>
      <c r="D2095" s="26">
        <v>6.2499999999999995E-3</v>
      </c>
      <c r="F2095" s="61" t="s">
        <v>6185</v>
      </c>
    </row>
    <row r="2096" spans="1:6" x14ac:dyDescent="0.25">
      <c r="A2096" s="15" t="s">
        <v>4306</v>
      </c>
      <c r="B2096" s="15" t="s">
        <v>4309</v>
      </c>
      <c r="C2096" s="52">
        <v>207.40365600000001</v>
      </c>
      <c r="D2096" s="25">
        <v>0.17430555555555557</v>
      </c>
      <c r="F2096" s="61" t="s">
        <v>6186</v>
      </c>
    </row>
    <row r="2097" spans="1:6" x14ac:dyDescent="0.25">
      <c r="A2097" s="15" t="s">
        <v>4306</v>
      </c>
      <c r="B2097" s="15" t="s">
        <v>4310</v>
      </c>
      <c r="C2097" s="54">
        <v>208.96516600000001</v>
      </c>
      <c r="D2097" s="26">
        <v>0.17777777777777778</v>
      </c>
      <c r="F2097" s="61" t="s">
        <v>6187</v>
      </c>
    </row>
    <row r="2098" spans="1:6" x14ac:dyDescent="0.25">
      <c r="A2098" s="15" t="s">
        <v>4306</v>
      </c>
      <c r="B2098" s="15" t="s">
        <v>4311</v>
      </c>
      <c r="C2098" s="52">
        <v>198.258914</v>
      </c>
      <c r="D2098" s="25">
        <v>0.16874999999999998</v>
      </c>
      <c r="F2098" s="61" t="s">
        <v>6188</v>
      </c>
    </row>
    <row r="2099" spans="1:6" x14ac:dyDescent="0.25">
      <c r="A2099" s="15" t="s">
        <v>4306</v>
      </c>
      <c r="B2099" s="15" t="s">
        <v>4312</v>
      </c>
      <c r="C2099" s="54">
        <v>194.97122999999999</v>
      </c>
      <c r="D2099" s="26">
        <v>0.16111111111111112</v>
      </c>
      <c r="F2099" s="61" t="s">
        <v>6189</v>
      </c>
    </row>
    <row r="2100" spans="1:6" x14ac:dyDescent="0.25">
      <c r="A2100" s="15" t="s">
        <v>4306</v>
      </c>
      <c r="B2100" s="15" t="s">
        <v>4313</v>
      </c>
      <c r="C2100" s="52">
        <v>213.64534499999999</v>
      </c>
      <c r="D2100" s="25">
        <v>0.17986111111111111</v>
      </c>
      <c r="F2100" s="61" t="s">
        <v>6190</v>
      </c>
    </row>
    <row r="2101" spans="1:6" x14ac:dyDescent="0.25">
      <c r="A2101" s="15" t="s">
        <v>4306</v>
      </c>
      <c r="B2101" s="15" t="s">
        <v>4314</v>
      </c>
      <c r="C2101" s="54">
        <v>134.93792500000001</v>
      </c>
      <c r="D2101" s="26">
        <v>0.12152777777777778</v>
      </c>
      <c r="F2101" s="61" t="s">
        <v>6191</v>
      </c>
    </row>
    <row r="2102" spans="1:6" x14ac:dyDescent="0.25">
      <c r="A2102" s="15" t="s">
        <v>4306</v>
      </c>
      <c r="B2102" s="15" t="s">
        <v>4315</v>
      </c>
      <c r="C2102" s="52">
        <v>139.23098899999999</v>
      </c>
      <c r="D2102" s="25">
        <v>0.13055555555555556</v>
      </c>
      <c r="F2102" s="61" t="s">
        <v>6192</v>
      </c>
    </row>
    <row r="2103" spans="1:6" x14ac:dyDescent="0.25">
      <c r="A2103" s="15" t="s">
        <v>4306</v>
      </c>
      <c r="B2103" s="15" t="s">
        <v>4316</v>
      </c>
      <c r="C2103" s="54">
        <v>123.711584</v>
      </c>
      <c r="D2103" s="26">
        <v>0.11527777777777777</v>
      </c>
      <c r="F2103" s="61" t="s">
        <v>6193</v>
      </c>
    </row>
    <row r="2104" spans="1:6" x14ac:dyDescent="0.25">
      <c r="A2104" s="15" t="s">
        <v>4306</v>
      </c>
      <c r="B2104" s="15" t="s">
        <v>4317</v>
      </c>
      <c r="C2104" s="52">
        <v>63.385610999999997</v>
      </c>
      <c r="D2104" s="25">
        <v>6.0416666666666667E-2</v>
      </c>
      <c r="F2104" s="61" t="s">
        <v>6194</v>
      </c>
    </row>
    <row r="2105" spans="1:6" x14ac:dyDescent="0.25">
      <c r="A2105" s="15" t="s">
        <v>4306</v>
      </c>
      <c r="B2105" s="15" t="s">
        <v>4318</v>
      </c>
      <c r="C2105" s="54">
        <v>69.893248</v>
      </c>
      <c r="D2105" s="26">
        <v>6.805555555555555E-2</v>
      </c>
      <c r="F2105" s="61" t="s">
        <v>6195</v>
      </c>
    </row>
    <row r="2106" spans="1:6" x14ac:dyDescent="0.25">
      <c r="A2106" s="15" t="s">
        <v>4306</v>
      </c>
      <c r="B2106" s="15" t="s">
        <v>4319</v>
      </c>
      <c r="C2106" s="52">
        <v>65.415014999999997</v>
      </c>
      <c r="D2106" s="25">
        <v>6.3888888888888884E-2</v>
      </c>
      <c r="F2106" s="61" t="s">
        <v>6196</v>
      </c>
    </row>
    <row r="2107" spans="1:6" x14ac:dyDescent="0.25">
      <c r="A2107" s="15" t="s">
        <v>4306</v>
      </c>
      <c r="B2107" s="15" t="s">
        <v>4320</v>
      </c>
      <c r="C2107" s="54">
        <v>91.625138000000007</v>
      </c>
      <c r="D2107" s="26">
        <v>8.6111111111111124E-2</v>
      </c>
      <c r="F2107" s="61" t="s">
        <v>6197</v>
      </c>
    </row>
    <row r="2108" spans="1:6" x14ac:dyDescent="0.25">
      <c r="A2108" s="15" t="s">
        <v>4306</v>
      </c>
      <c r="B2108" s="15" t="s">
        <v>4321</v>
      </c>
      <c r="C2108" s="52">
        <v>91.444318999999993</v>
      </c>
      <c r="D2108" s="25">
        <v>8.4722222222222213E-2</v>
      </c>
      <c r="F2108" s="61" t="s">
        <v>6198</v>
      </c>
    </row>
    <row r="2109" spans="1:6" x14ac:dyDescent="0.25">
      <c r="A2109" s="15" t="s">
        <v>4307</v>
      </c>
      <c r="B2109" s="15">
        <v>3423909</v>
      </c>
      <c r="C2109" s="54">
        <v>102.436403</v>
      </c>
      <c r="D2109" s="26">
        <v>9.3055555555555558E-2</v>
      </c>
      <c r="F2109" s="61" t="s">
        <v>7052</v>
      </c>
    </row>
    <row r="2110" spans="1:6" x14ac:dyDescent="0.25">
      <c r="A2110" s="15" t="s">
        <v>4307</v>
      </c>
      <c r="B2110" s="15">
        <v>3403208</v>
      </c>
      <c r="C2110" s="52">
        <v>25.013981000000001</v>
      </c>
      <c r="D2110" s="25">
        <v>2.361111111111111E-2</v>
      </c>
      <c r="F2110" s="61" t="s">
        <v>7157</v>
      </c>
    </row>
    <row r="2111" spans="1:6" x14ac:dyDescent="0.25">
      <c r="A2111" s="15" t="s">
        <v>4307</v>
      </c>
      <c r="B2111" s="15">
        <v>3424402</v>
      </c>
      <c r="C2111" s="54">
        <v>173.39157700000001</v>
      </c>
      <c r="D2111" s="26">
        <v>0.14375000000000002</v>
      </c>
      <c r="F2111" s="61" t="s">
        <v>7264</v>
      </c>
    </row>
    <row r="2112" spans="1:6" x14ac:dyDescent="0.25">
      <c r="A2112" s="15" t="s">
        <v>4307</v>
      </c>
      <c r="B2112" s="15" t="s">
        <v>4271</v>
      </c>
      <c r="C2112" s="52">
        <v>94.564231000000007</v>
      </c>
      <c r="D2112" s="25">
        <v>8.2638888888888887E-2</v>
      </c>
      <c r="F2112" s="61" t="s">
        <v>6199</v>
      </c>
    </row>
    <row r="2113" spans="1:6" x14ac:dyDescent="0.25">
      <c r="A2113" s="15" t="s">
        <v>4307</v>
      </c>
      <c r="B2113" s="15" t="s">
        <v>4272</v>
      </c>
      <c r="C2113" s="54">
        <v>87.921135000000007</v>
      </c>
      <c r="D2113" s="26">
        <v>7.8472222222222221E-2</v>
      </c>
      <c r="F2113" s="61" t="s">
        <v>6200</v>
      </c>
    </row>
    <row r="2114" spans="1:6" x14ac:dyDescent="0.25">
      <c r="A2114" s="15" t="s">
        <v>4307</v>
      </c>
      <c r="B2114" s="15" t="s">
        <v>4273</v>
      </c>
      <c r="C2114" s="52">
        <v>89.476431000000005</v>
      </c>
      <c r="D2114" s="25">
        <v>8.1944444444444445E-2</v>
      </c>
      <c r="F2114" s="61" t="s">
        <v>6201</v>
      </c>
    </row>
    <row r="2115" spans="1:6" x14ac:dyDescent="0.25">
      <c r="A2115" s="15" t="s">
        <v>4307</v>
      </c>
      <c r="B2115" s="15" t="s">
        <v>4274</v>
      </c>
      <c r="C2115" s="54">
        <v>86.456559999999996</v>
      </c>
      <c r="D2115" s="26">
        <v>7.5694444444444439E-2</v>
      </c>
      <c r="F2115" s="61" t="s">
        <v>6202</v>
      </c>
    </row>
    <row r="2116" spans="1:6" x14ac:dyDescent="0.25">
      <c r="A2116" s="15" t="s">
        <v>4307</v>
      </c>
      <c r="B2116" s="15" t="s">
        <v>4275</v>
      </c>
      <c r="C2116" s="52">
        <v>86.549766000000005</v>
      </c>
      <c r="D2116" s="25">
        <v>7.5694444444444439E-2</v>
      </c>
      <c r="F2116" s="61" t="s">
        <v>6203</v>
      </c>
    </row>
    <row r="2117" spans="1:6" x14ac:dyDescent="0.25">
      <c r="A2117" s="15" t="s">
        <v>4307</v>
      </c>
      <c r="B2117" s="15" t="s">
        <v>4276</v>
      </c>
      <c r="C2117" s="54">
        <v>95.255197999999993</v>
      </c>
      <c r="D2117" s="26">
        <v>8.2638888888888887E-2</v>
      </c>
      <c r="F2117" s="61" t="s">
        <v>6204</v>
      </c>
    </row>
    <row r="2118" spans="1:6" x14ac:dyDescent="0.25">
      <c r="A2118" s="15" t="s">
        <v>4307</v>
      </c>
      <c r="B2118" s="15" t="s">
        <v>4277</v>
      </c>
      <c r="C2118" s="52">
        <v>88.729540999999998</v>
      </c>
      <c r="D2118" s="25">
        <v>7.7777777777777779E-2</v>
      </c>
      <c r="F2118" s="61" t="s">
        <v>6205</v>
      </c>
    </row>
    <row r="2119" spans="1:6" x14ac:dyDescent="0.25">
      <c r="A2119" s="15" t="s">
        <v>4307</v>
      </c>
      <c r="B2119" s="15" t="s">
        <v>4278</v>
      </c>
      <c r="C2119" s="54">
        <v>96.293512000000007</v>
      </c>
      <c r="D2119" s="26">
        <v>8.4027777777777771E-2</v>
      </c>
      <c r="F2119" s="61" t="s">
        <v>6206</v>
      </c>
    </row>
    <row r="2120" spans="1:6" x14ac:dyDescent="0.25">
      <c r="A2120" s="15" t="s">
        <v>4307</v>
      </c>
      <c r="B2120" s="15" t="s">
        <v>4279</v>
      </c>
      <c r="C2120" s="52">
        <v>68.103695000000002</v>
      </c>
      <c r="D2120" s="25">
        <v>6.0416666666666667E-2</v>
      </c>
      <c r="F2120" s="61" t="s">
        <v>6207</v>
      </c>
    </row>
    <row r="2121" spans="1:6" x14ac:dyDescent="0.25">
      <c r="A2121" s="15" t="s">
        <v>4307</v>
      </c>
      <c r="B2121" s="15" t="s">
        <v>4280</v>
      </c>
      <c r="C2121" s="54">
        <v>142.14957699999999</v>
      </c>
      <c r="D2121" s="26">
        <v>0.12361111111111112</v>
      </c>
      <c r="F2121" s="61" t="s">
        <v>6208</v>
      </c>
    </row>
    <row r="2122" spans="1:6" x14ac:dyDescent="0.25">
      <c r="A2122" s="15" t="s">
        <v>4307</v>
      </c>
      <c r="B2122" s="15" t="s">
        <v>4281</v>
      </c>
      <c r="C2122" s="52">
        <v>60.356419000000002</v>
      </c>
      <c r="D2122" s="25">
        <v>5.2777777777777778E-2</v>
      </c>
      <c r="F2122" s="61" t="s">
        <v>6209</v>
      </c>
    </row>
    <row r="2123" spans="1:6" x14ac:dyDescent="0.25">
      <c r="A2123" s="15" t="s">
        <v>4307</v>
      </c>
      <c r="B2123" s="15" t="s">
        <v>4282</v>
      </c>
      <c r="C2123" s="54">
        <v>172.43279899999999</v>
      </c>
      <c r="D2123" s="26">
        <v>0.14375000000000002</v>
      </c>
      <c r="F2123" s="61" t="s">
        <v>6210</v>
      </c>
    </row>
    <row r="2124" spans="1:6" x14ac:dyDescent="0.25">
      <c r="A2124" s="15" t="s">
        <v>4307</v>
      </c>
      <c r="B2124" s="15" t="s">
        <v>4283</v>
      </c>
      <c r="C2124" s="52">
        <v>180.316776</v>
      </c>
      <c r="D2124" s="25">
        <v>0.14930555555555555</v>
      </c>
      <c r="F2124" s="61" t="s">
        <v>6211</v>
      </c>
    </row>
    <row r="2125" spans="1:6" x14ac:dyDescent="0.25">
      <c r="A2125" s="15" t="s">
        <v>4307</v>
      </c>
      <c r="B2125" s="15" t="s">
        <v>4284</v>
      </c>
      <c r="C2125" s="54">
        <v>178.379336</v>
      </c>
      <c r="D2125" s="26">
        <v>0.14652777777777778</v>
      </c>
      <c r="F2125" s="61" t="s">
        <v>6212</v>
      </c>
    </row>
    <row r="2126" spans="1:6" x14ac:dyDescent="0.25">
      <c r="A2126" s="15" t="s">
        <v>4307</v>
      </c>
      <c r="B2126" s="15" t="s">
        <v>4285</v>
      </c>
      <c r="C2126" s="52">
        <v>182.11192199999999</v>
      </c>
      <c r="D2126" s="25">
        <v>0.15486111111111112</v>
      </c>
      <c r="F2126" s="61" t="s">
        <v>6213</v>
      </c>
    </row>
    <row r="2127" spans="1:6" x14ac:dyDescent="0.25">
      <c r="A2127" s="15" t="s">
        <v>4307</v>
      </c>
      <c r="B2127" s="15" t="s">
        <v>4286</v>
      </c>
      <c r="C2127" s="54">
        <v>179.688568</v>
      </c>
      <c r="D2127" s="26">
        <v>0.15069444444444444</v>
      </c>
      <c r="F2127" s="61" t="s">
        <v>6214</v>
      </c>
    </row>
    <row r="2128" spans="1:6" x14ac:dyDescent="0.25">
      <c r="A2128" s="15" t="s">
        <v>4307</v>
      </c>
      <c r="B2128" s="15" t="s">
        <v>4287</v>
      </c>
      <c r="C2128" s="52">
        <v>180.74428</v>
      </c>
      <c r="D2128" s="25">
        <v>0.14930555555555555</v>
      </c>
      <c r="F2128" s="61" t="s">
        <v>6215</v>
      </c>
    </row>
    <row r="2129" spans="1:6" x14ac:dyDescent="0.25">
      <c r="A2129" s="15" t="s">
        <v>4307</v>
      </c>
      <c r="B2129" s="15" t="s">
        <v>4288</v>
      </c>
      <c r="C2129" s="54">
        <v>185.57234600000001</v>
      </c>
      <c r="D2129" s="26">
        <v>0.15416666666666667</v>
      </c>
      <c r="F2129" s="61" t="s">
        <v>6216</v>
      </c>
    </row>
    <row r="2130" spans="1:6" x14ac:dyDescent="0.25">
      <c r="A2130" s="15" t="s">
        <v>4307</v>
      </c>
      <c r="B2130" s="15" t="s">
        <v>4289</v>
      </c>
      <c r="C2130" s="52">
        <v>138.92962299999999</v>
      </c>
      <c r="D2130" s="25">
        <v>0.11527777777777777</v>
      </c>
      <c r="F2130" s="61" t="s">
        <v>6217</v>
      </c>
    </row>
    <row r="2131" spans="1:6" x14ac:dyDescent="0.25">
      <c r="A2131" s="15" t="s">
        <v>4307</v>
      </c>
      <c r="B2131" s="15" t="s">
        <v>4290</v>
      </c>
      <c r="C2131" s="54">
        <v>140.50169600000001</v>
      </c>
      <c r="D2131" s="26">
        <v>0.11805555555555557</v>
      </c>
      <c r="F2131" s="61" t="s">
        <v>6218</v>
      </c>
    </row>
    <row r="2132" spans="1:6" x14ac:dyDescent="0.25">
      <c r="A2132" s="15" t="s">
        <v>4307</v>
      </c>
      <c r="B2132" s="15" t="s">
        <v>4291</v>
      </c>
      <c r="C2132" s="52">
        <v>140.103396</v>
      </c>
      <c r="D2132" s="25">
        <v>0.11875000000000001</v>
      </c>
      <c r="F2132" s="61" t="s">
        <v>6219</v>
      </c>
    </row>
    <row r="2133" spans="1:6" x14ac:dyDescent="0.25">
      <c r="A2133" s="15" t="s">
        <v>4307</v>
      </c>
      <c r="B2133" s="15" t="s">
        <v>4292</v>
      </c>
      <c r="C2133" s="54">
        <v>139.22663900000001</v>
      </c>
      <c r="D2133" s="26">
        <v>0.1173611111111111</v>
      </c>
      <c r="F2133" s="61" t="s">
        <v>6220</v>
      </c>
    </row>
    <row r="2134" spans="1:6" x14ac:dyDescent="0.25">
      <c r="A2134" s="15" t="s">
        <v>4307</v>
      </c>
      <c r="B2134" s="15" t="s">
        <v>4293</v>
      </c>
      <c r="C2134" s="52">
        <v>148.37697399999999</v>
      </c>
      <c r="D2134" s="25">
        <v>0.125</v>
      </c>
      <c r="F2134" s="61" t="s">
        <v>6221</v>
      </c>
    </row>
    <row r="2135" spans="1:6" x14ac:dyDescent="0.25">
      <c r="A2135" s="15" t="s">
        <v>4307</v>
      </c>
      <c r="B2135" s="15" t="s">
        <v>4294</v>
      </c>
      <c r="C2135" s="54">
        <v>149.356258</v>
      </c>
      <c r="D2135" s="26">
        <v>0.12708333333333333</v>
      </c>
      <c r="F2135" s="61" t="s">
        <v>6222</v>
      </c>
    </row>
    <row r="2136" spans="1:6" x14ac:dyDescent="0.25">
      <c r="A2136" s="15" t="s">
        <v>4307</v>
      </c>
      <c r="B2136" s="15" t="s">
        <v>4295</v>
      </c>
      <c r="C2136" s="52">
        <v>152.176669</v>
      </c>
      <c r="D2136" s="25">
        <v>0.12986111111111112</v>
      </c>
      <c r="F2136" s="61" t="s">
        <v>6223</v>
      </c>
    </row>
    <row r="2137" spans="1:6" x14ac:dyDescent="0.25">
      <c r="A2137" s="15" t="s">
        <v>4307</v>
      </c>
      <c r="B2137" s="15" t="s">
        <v>4296</v>
      </c>
      <c r="C2137" s="54">
        <v>143.839089</v>
      </c>
      <c r="D2137" s="26">
        <v>0.12013888888888889</v>
      </c>
      <c r="F2137" s="61" t="s">
        <v>6224</v>
      </c>
    </row>
    <row r="2138" spans="1:6" x14ac:dyDescent="0.25">
      <c r="A2138" s="15" t="s">
        <v>4307</v>
      </c>
      <c r="B2138" s="15" t="s">
        <v>4297</v>
      </c>
      <c r="C2138" s="52">
        <v>150.15596500000001</v>
      </c>
      <c r="D2138" s="25">
        <v>0.1277777777777778</v>
      </c>
      <c r="F2138" s="61" t="s">
        <v>6225</v>
      </c>
    </row>
    <row r="2139" spans="1:6" x14ac:dyDescent="0.25">
      <c r="A2139" s="15" t="s">
        <v>4307</v>
      </c>
      <c r="B2139" s="15" t="s">
        <v>4298</v>
      </c>
      <c r="C2139" s="54">
        <v>151.48756599999999</v>
      </c>
      <c r="D2139" s="26">
        <v>0.13402777777777777</v>
      </c>
      <c r="F2139" s="61" t="s">
        <v>6226</v>
      </c>
    </row>
    <row r="2140" spans="1:6" x14ac:dyDescent="0.25">
      <c r="A2140" s="15" t="s">
        <v>4307</v>
      </c>
      <c r="B2140" s="15" t="s">
        <v>4299</v>
      </c>
      <c r="C2140" s="52">
        <v>153.74998400000001</v>
      </c>
      <c r="D2140" s="25">
        <v>0.13819444444444443</v>
      </c>
      <c r="F2140" s="61" t="s">
        <v>6227</v>
      </c>
    </row>
    <row r="2141" spans="1:6" x14ac:dyDescent="0.25">
      <c r="A2141" s="15" t="s">
        <v>4307</v>
      </c>
      <c r="B2141" s="15" t="s">
        <v>4300</v>
      </c>
      <c r="C2141" s="54">
        <v>157.80941300000001</v>
      </c>
      <c r="D2141" s="26">
        <v>0.14722222222222223</v>
      </c>
      <c r="F2141" s="61" t="s">
        <v>6228</v>
      </c>
    </row>
    <row r="2142" spans="1:6" x14ac:dyDescent="0.25">
      <c r="A2142" s="15" t="s">
        <v>4307</v>
      </c>
      <c r="B2142" s="15" t="s">
        <v>4301</v>
      </c>
      <c r="C2142" s="52">
        <v>148.07933700000001</v>
      </c>
      <c r="D2142" s="25">
        <v>0.1277777777777778</v>
      </c>
      <c r="F2142" s="61" t="s">
        <v>6229</v>
      </c>
    </row>
    <row r="2143" spans="1:6" x14ac:dyDescent="0.25">
      <c r="A2143" s="15" t="s">
        <v>4307</v>
      </c>
      <c r="B2143" s="15" t="s">
        <v>4302</v>
      </c>
      <c r="C2143" s="54">
        <v>138.67548199999999</v>
      </c>
      <c r="D2143" s="26">
        <v>0.11875000000000001</v>
      </c>
      <c r="F2143" s="61" t="s">
        <v>6230</v>
      </c>
    </row>
    <row r="2144" spans="1:6" x14ac:dyDescent="0.25">
      <c r="A2144" s="15" t="s">
        <v>4307</v>
      </c>
      <c r="B2144" s="15" t="s">
        <v>4303</v>
      </c>
      <c r="C2144" s="52">
        <v>151.83304999999999</v>
      </c>
      <c r="D2144" s="25">
        <v>0.13125000000000001</v>
      </c>
      <c r="F2144" s="61" t="s">
        <v>6231</v>
      </c>
    </row>
    <row r="2145" spans="1:6" x14ac:dyDescent="0.25">
      <c r="A2145" s="15" t="s">
        <v>4307</v>
      </c>
      <c r="B2145" s="15" t="s">
        <v>4304</v>
      </c>
      <c r="C2145" s="54">
        <v>143.311544</v>
      </c>
      <c r="D2145" s="26">
        <v>0.12638888888888888</v>
      </c>
      <c r="F2145" s="61" t="s">
        <v>6232</v>
      </c>
    </row>
    <row r="2146" spans="1:6" x14ac:dyDescent="0.25">
      <c r="A2146" s="15" t="s">
        <v>4307</v>
      </c>
      <c r="B2146" s="15" t="s">
        <v>4305</v>
      </c>
      <c r="C2146" s="52">
        <v>136.30308099999999</v>
      </c>
      <c r="D2146" s="25">
        <v>0.12708333333333333</v>
      </c>
      <c r="F2146" s="61" t="s">
        <v>6233</v>
      </c>
    </row>
    <row r="2147" spans="1:6" x14ac:dyDescent="0.25">
      <c r="A2147" s="15" t="s">
        <v>4307</v>
      </c>
      <c r="B2147" s="15" t="s">
        <v>4306</v>
      </c>
      <c r="C2147" s="54">
        <v>2.5774539999999999</v>
      </c>
      <c r="D2147" s="26">
        <v>6.2499999999999995E-3</v>
      </c>
      <c r="F2147" s="61" t="s">
        <v>6234</v>
      </c>
    </row>
    <row r="2148" spans="1:6" x14ac:dyDescent="0.25">
      <c r="A2148" s="15" t="s">
        <v>4307</v>
      </c>
      <c r="B2148" s="15" t="s">
        <v>4307</v>
      </c>
      <c r="C2148" s="52">
        <v>0</v>
      </c>
      <c r="D2148" s="25">
        <v>0</v>
      </c>
      <c r="F2148" s="61" t="s">
        <v>6235</v>
      </c>
    </row>
    <row r="2149" spans="1:6" x14ac:dyDescent="0.25">
      <c r="A2149" s="15" t="s">
        <v>4307</v>
      </c>
      <c r="B2149" s="15" t="s">
        <v>4308</v>
      </c>
      <c r="C2149" s="54">
        <v>2.2114660000000002</v>
      </c>
      <c r="D2149" s="26">
        <v>4.8611111111111112E-3</v>
      </c>
      <c r="F2149" s="61" t="s">
        <v>6236</v>
      </c>
    </row>
    <row r="2150" spans="1:6" x14ac:dyDescent="0.25">
      <c r="A2150" s="15" t="s">
        <v>4307</v>
      </c>
      <c r="B2150" s="15" t="s">
        <v>4309</v>
      </c>
      <c r="C2150" s="52">
        <v>206.578473</v>
      </c>
      <c r="D2150" s="25">
        <v>0.17361111111111113</v>
      </c>
      <c r="F2150" s="61" t="s">
        <v>6237</v>
      </c>
    </row>
    <row r="2151" spans="1:6" x14ac:dyDescent="0.25">
      <c r="A2151" s="15" t="s">
        <v>4307</v>
      </c>
      <c r="B2151" s="15" t="s">
        <v>4310</v>
      </c>
      <c r="C2151" s="54">
        <v>208.139983</v>
      </c>
      <c r="D2151" s="26">
        <v>0.17708333333333334</v>
      </c>
      <c r="F2151" s="61" t="s">
        <v>6238</v>
      </c>
    </row>
    <row r="2152" spans="1:6" x14ac:dyDescent="0.25">
      <c r="A2152" s="15" t="s">
        <v>4307</v>
      </c>
      <c r="B2152" s="15" t="s">
        <v>4311</v>
      </c>
      <c r="C2152" s="52">
        <v>197.43373099999999</v>
      </c>
      <c r="D2152" s="25">
        <v>0.1673611111111111</v>
      </c>
      <c r="F2152" s="61" t="s">
        <v>6239</v>
      </c>
    </row>
    <row r="2153" spans="1:6" x14ac:dyDescent="0.25">
      <c r="A2153" s="15" t="s">
        <v>4307</v>
      </c>
      <c r="B2153" s="15" t="s">
        <v>4312</v>
      </c>
      <c r="C2153" s="54">
        <v>194.14604700000001</v>
      </c>
      <c r="D2153" s="26">
        <v>0.16041666666666668</v>
      </c>
      <c r="F2153" s="61" t="s">
        <v>6240</v>
      </c>
    </row>
    <row r="2154" spans="1:6" x14ac:dyDescent="0.25">
      <c r="A2154" s="15" t="s">
        <v>4307</v>
      </c>
      <c r="B2154" s="15" t="s">
        <v>4313</v>
      </c>
      <c r="C2154" s="52">
        <v>212.82016200000001</v>
      </c>
      <c r="D2154" s="25">
        <v>0.17916666666666667</v>
      </c>
      <c r="F2154" s="61" t="s">
        <v>6241</v>
      </c>
    </row>
    <row r="2155" spans="1:6" x14ac:dyDescent="0.25">
      <c r="A2155" s="15" t="s">
        <v>4307</v>
      </c>
      <c r="B2155" s="15" t="s">
        <v>4314</v>
      </c>
      <c r="C2155" s="54">
        <v>134.112742</v>
      </c>
      <c r="D2155" s="26">
        <v>0.12083333333333333</v>
      </c>
      <c r="F2155" s="61" t="s">
        <v>6242</v>
      </c>
    </row>
    <row r="2156" spans="1:6" x14ac:dyDescent="0.25">
      <c r="A2156" s="15" t="s">
        <v>4307</v>
      </c>
      <c r="B2156" s="15" t="s">
        <v>4315</v>
      </c>
      <c r="C2156" s="52">
        <v>138.40580600000001</v>
      </c>
      <c r="D2156" s="25">
        <v>0.12986111111111112</v>
      </c>
      <c r="F2156" s="61" t="s">
        <v>6243</v>
      </c>
    </row>
    <row r="2157" spans="1:6" x14ac:dyDescent="0.25">
      <c r="A2157" s="15" t="s">
        <v>4307</v>
      </c>
      <c r="B2157" s="15" t="s">
        <v>4316</v>
      </c>
      <c r="C2157" s="54">
        <v>122.88640100000001</v>
      </c>
      <c r="D2157" s="26">
        <v>0.11388888888888889</v>
      </c>
      <c r="F2157" s="61" t="s">
        <v>6244</v>
      </c>
    </row>
    <row r="2158" spans="1:6" x14ac:dyDescent="0.25">
      <c r="A2158" s="15" t="s">
        <v>4307</v>
      </c>
      <c r="B2158" s="15" t="s">
        <v>4317</v>
      </c>
      <c r="C2158" s="52">
        <v>62.095641999999998</v>
      </c>
      <c r="D2158" s="25">
        <v>5.7638888888888885E-2</v>
      </c>
      <c r="F2158" s="61" t="s">
        <v>6245</v>
      </c>
    </row>
    <row r="2159" spans="1:6" x14ac:dyDescent="0.25">
      <c r="A2159" s="15" t="s">
        <v>4307</v>
      </c>
      <c r="B2159" s="15" t="s">
        <v>4318</v>
      </c>
      <c r="C2159" s="54">
        <v>68.603278000000003</v>
      </c>
      <c r="D2159" s="26">
        <v>6.5277777777777782E-2</v>
      </c>
      <c r="F2159" s="61" t="s">
        <v>6246</v>
      </c>
    </row>
    <row r="2160" spans="1:6" x14ac:dyDescent="0.25">
      <c r="A2160" s="15" t="s">
        <v>4307</v>
      </c>
      <c r="B2160" s="15" t="s">
        <v>4319</v>
      </c>
      <c r="C2160" s="52">
        <v>64.125045</v>
      </c>
      <c r="D2160" s="25">
        <v>6.1111111111111116E-2</v>
      </c>
      <c r="F2160" s="61" t="s">
        <v>6247</v>
      </c>
    </row>
    <row r="2161" spans="1:6" x14ac:dyDescent="0.25">
      <c r="A2161" s="15" t="s">
        <v>4307</v>
      </c>
      <c r="B2161" s="15" t="s">
        <v>4320</v>
      </c>
      <c r="C2161" s="54">
        <v>94.085153000000005</v>
      </c>
      <c r="D2161" s="26">
        <v>8.8888888888888892E-2</v>
      </c>
      <c r="F2161" s="61" t="s">
        <v>6248</v>
      </c>
    </row>
    <row r="2162" spans="1:6" x14ac:dyDescent="0.25">
      <c r="A2162" s="15" t="s">
        <v>4307</v>
      </c>
      <c r="B2162" s="15" t="s">
        <v>4321</v>
      </c>
      <c r="C2162" s="52">
        <v>93.904332999999994</v>
      </c>
      <c r="D2162" s="25">
        <v>8.7500000000000008E-2</v>
      </c>
      <c r="F2162" s="61" t="s">
        <v>6249</v>
      </c>
    </row>
    <row r="2163" spans="1:6" x14ac:dyDescent="0.25">
      <c r="A2163" s="15" t="s">
        <v>4308</v>
      </c>
      <c r="B2163" s="15">
        <v>3423909</v>
      </c>
      <c r="C2163" s="54">
        <v>101.006624</v>
      </c>
      <c r="D2163" s="26">
        <v>9.0972222222222218E-2</v>
      </c>
      <c r="F2163" s="61" t="s">
        <v>7053</v>
      </c>
    </row>
    <row r="2164" spans="1:6" x14ac:dyDescent="0.25">
      <c r="A2164" s="15" t="s">
        <v>4308</v>
      </c>
      <c r="B2164" s="15">
        <v>3403208</v>
      </c>
      <c r="C2164" s="52">
        <v>26.349311</v>
      </c>
      <c r="D2164" s="25">
        <v>2.1527777777777781E-2</v>
      </c>
      <c r="F2164" s="61" t="s">
        <v>7158</v>
      </c>
    </row>
    <row r="2165" spans="1:6" x14ac:dyDescent="0.25">
      <c r="A2165" s="15" t="s">
        <v>4308</v>
      </c>
      <c r="B2165" s="15">
        <v>3424402</v>
      </c>
      <c r="C2165" s="54">
        <v>171.96179799999999</v>
      </c>
      <c r="D2165" s="26">
        <v>0.14166666666666666</v>
      </c>
      <c r="F2165" s="61" t="s">
        <v>7265</v>
      </c>
    </row>
    <row r="2166" spans="1:6" x14ac:dyDescent="0.25">
      <c r="A2166" s="15" t="s">
        <v>4308</v>
      </c>
      <c r="B2166" s="15" t="s">
        <v>4271</v>
      </c>
      <c r="C2166" s="52">
        <v>93.134452999999993</v>
      </c>
      <c r="D2166" s="25">
        <v>8.0555555555555561E-2</v>
      </c>
      <c r="F2166" s="61" t="s">
        <v>6250</v>
      </c>
    </row>
    <row r="2167" spans="1:6" x14ac:dyDescent="0.25">
      <c r="A2167" s="15" t="s">
        <v>4308</v>
      </c>
      <c r="B2167" s="15" t="s">
        <v>4272</v>
      </c>
      <c r="C2167" s="54">
        <v>86.690196</v>
      </c>
      <c r="D2167" s="26">
        <v>7.5694444444444439E-2</v>
      </c>
      <c r="F2167" s="61" t="s">
        <v>6251</v>
      </c>
    </row>
    <row r="2168" spans="1:6" x14ac:dyDescent="0.25">
      <c r="A2168" s="15" t="s">
        <v>4308</v>
      </c>
      <c r="B2168" s="15" t="s">
        <v>4273</v>
      </c>
      <c r="C2168" s="52">
        <v>88.046653000000006</v>
      </c>
      <c r="D2168" s="25">
        <v>7.9861111111111105E-2</v>
      </c>
      <c r="F2168" s="61" t="s">
        <v>6252</v>
      </c>
    </row>
    <row r="2169" spans="1:6" x14ac:dyDescent="0.25">
      <c r="A2169" s="15" t="s">
        <v>4308</v>
      </c>
      <c r="B2169" s="15" t="s">
        <v>4274</v>
      </c>
      <c r="C2169" s="54">
        <v>85.026781</v>
      </c>
      <c r="D2169" s="26">
        <v>7.3611111111111113E-2</v>
      </c>
      <c r="F2169" s="61" t="s">
        <v>6253</v>
      </c>
    </row>
    <row r="2170" spans="1:6" x14ac:dyDescent="0.25">
      <c r="A2170" s="15" t="s">
        <v>4308</v>
      </c>
      <c r="B2170" s="15" t="s">
        <v>4275</v>
      </c>
      <c r="C2170" s="52">
        <v>85.119986999999995</v>
      </c>
      <c r="D2170" s="25">
        <v>7.3611111111111113E-2</v>
      </c>
      <c r="F2170" s="61" t="s">
        <v>6254</v>
      </c>
    </row>
    <row r="2171" spans="1:6" x14ac:dyDescent="0.25">
      <c r="A2171" s="15" t="s">
        <v>4308</v>
      </c>
      <c r="B2171" s="15" t="s">
        <v>4276</v>
      </c>
      <c r="C2171" s="54">
        <v>93.825418999999997</v>
      </c>
      <c r="D2171" s="26">
        <v>8.0555555555555561E-2</v>
      </c>
      <c r="F2171" s="61" t="s">
        <v>6255</v>
      </c>
    </row>
    <row r="2172" spans="1:6" x14ac:dyDescent="0.25">
      <c r="A2172" s="15" t="s">
        <v>4308</v>
      </c>
      <c r="B2172" s="15" t="s">
        <v>4277</v>
      </c>
      <c r="C2172" s="52">
        <v>87.299762999999999</v>
      </c>
      <c r="D2172" s="25">
        <v>7.4999999999999997E-2</v>
      </c>
      <c r="F2172" s="61" t="s">
        <v>6256</v>
      </c>
    </row>
    <row r="2173" spans="1:6" x14ac:dyDescent="0.25">
      <c r="A2173" s="15" t="s">
        <v>4308</v>
      </c>
      <c r="B2173" s="15" t="s">
        <v>4278</v>
      </c>
      <c r="C2173" s="54">
        <v>94.863732999999996</v>
      </c>
      <c r="D2173" s="26">
        <v>8.1944444444444445E-2</v>
      </c>
      <c r="F2173" s="61" t="s">
        <v>6257</v>
      </c>
    </row>
    <row r="2174" spans="1:6" x14ac:dyDescent="0.25">
      <c r="A2174" s="15" t="s">
        <v>4308</v>
      </c>
      <c r="B2174" s="15" t="s">
        <v>4279</v>
      </c>
      <c r="C2174" s="52">
        <v>66.673916000000006</v>
      </c>
      <c r="D2174" s="25">
        <v>5.8333333333333327E-2</v>
      </c>
      <c r="F2174" s="61" t="s">
        <v>6258</v>
      </c>
    </row>
    <row r="2175" spans="1:6" x14ac:dyDescent="0.25">
      <c r="A2175" s="15" t="s">
        <v>4308</v>
      </c>
      <c r="B2175" s="15" t="s">
        <v>4280</v>
      </c>
      <c r="C2175" s="54">
        <v>140.719798</v>
      </c>
      <c r="D2175" s="26">
        <v>0.12152777777777778</v>
      </c>
      <c r="F2175" s="61" t="s">
        <v>6259</v>
      </c>
    </row>
    <row r="2176" spans="1:6" x14ac:dyDescent="0.25">
      <c r="A2176" s="15" t="s">
        <v>4308</v>
      </c>
      <c r="B2176" s="15" t="s">
        <v>4281</v>
      </c>
      <c r="C2176" s="52">
        <v>58.926640999999996</v>
      </c>
      <c r="D2176" s="25">
        <v>5.0694444444444452E-2</v>
      </c>
      <c r="F2176" s="61" t="s">
        <v>6260</v>
      </c>
    </row>
    <row r="2177" spans="1:6" x14ac:dyDescent="0.25">
      <c r="A2177" s="15" t="s">
        <v>4308</v>
      </c>
      <c r="B2177" s="15" t="s">
        <v>4282</v>
      </c>
      <c r="C2177" s="54">
        <v>171.00301999999999</v>
      </c>
      <c r="D2177" s="26">
        <v>0.14166666666666666</v>
      </c>
      <c r="F2177" s="61" t="s">
        <v>6261</v>
      </c>
    </row>
    <row r="2178" spans="1:6" x14ac:dyDescent="0.25">
      <c r="A2178" s="15" t="s">
        <v>4308</v>
      </c>
      <c r="B2178" s="15" t="s">
        <v>4283</v>
      </c>
      <c r="C2178" s="52">
        <v>178.88699700000001</v>
      </c>
      <c r="D2178" s="25">
        <v>0.14722222222222223</v>
      </c>
      <c r="F2178" s="61" t="s">
        <v>6262</v>
      </c>
    </row>
    <row r="2179" spans="1:6" x14ac:dyDescent="0.25">
      <c r="A2179" s="15" t="s">
        <v>4308</v>
      </c>
      <c r="B2179" s="15" t="s">
        <v>4284</v>
      </c>
      <c r="C2179" s="54">
        <v>176.949557</v>
      </c>
      <c r="D2179" s="26">
        <v>0.14444444444444446</v>
      </c>
      <c r="F2179" s="61" t="s">
        <v>6263</v>
      </c>
    </row>
    <row r="2180" spans="1:6" x14ac:dyDescent="0.25">
      <c r="A2180" s="15" t="s">
        <v>4308</v>
      </c>
      <c r="B2180" s="15" t="s">
        <v>4285</v>
      </c>
      <c r="C2180" s="52">
        <v>180.682143</v>
      </c>
      <c r="D2180" s="25">
        <v>0.15277777777777776</v>
      </c>
      <c r="F2180" s="61" t="s">
        <v>6264</v>
      </c>
    </row>
    <row r="2181" spans="1:6" x14ac:dyDescent="0.25">
      <c r="A2181" s="15" t="s">
        <v>4308</v>
      </c>
      <c r="B2181" s="15" t="s">
        <v>4286</v>
      </c>
      <c r="C2181" s="54">
        <v>178.25878900000001</v>
      </c>
      <c r="D2181" s="26">
        <v>0.14861111111111111</v>
      </c>
      <c r="F2181" s="61" t="s">
        <v>6265</v>
      </c>
    </row>
    <row r="2182" spans="1:6" x14ac:dyDescent="0.25">
      <c r="A2182" s="15" t="s">
        <v>4308</v>
      </c>
      <c r="B2182" s="15" t="s">
        <v>4287</v>
      </c>
      <c r="C2182" s="52">
        <v>179.314502</v>
      </c>
      <c r="D2182" s="25">
        <v>0.14722222222222223</v>
      </c>
      <c r="F2182" s="61" t="s">
        <v>6266</v>
      </c>
    </row>
    <row r="2183" spans="1:6" x14ac:dyDescent="0.25">
      <c r="A2183" s="15" t="s">
        <v>4308</v>
      </c>
      <c r="B2183" s="15" t="s">
        <v>4288</v>
      </c>
      <c r="C2183" s="54">
        <v>184.14256800000001</v>
      </c>
      <c r="D2183" s="26">
        <v>0.15208333333333332</v>
      </c>
      <c r="F2183" s="61" t="s">
        <v>6267</v>
      </c>
    </row>
    <row r="2184" spans="1:6" x14ac:dyDescent="0.25">
      <c r="A2184" s="15" t="s">
        <v>4308</v>
      </c>
      <c r="B2184" s="15" t="s">
        <v>4289</v>
      </c>
      <c r="C2184" s="52">
        <v>137.49984499999999</v>
      </c>
      <c r="D2184" s="25">
        <v>0.1125</v>
      </c>
      <c r="F2184" s="61" t="s">
        <v>6268</v>
      </c>
    </row>
    <row r="2185" spans="1:6" x14ac:dyDescent="0.25">
      <c r="A2185" s="15" t="s">
        <v>4308</v>
      </c>
      <c r="B2185" s="15" t="s">
        <v>4290</v>
      </c>
      <c r="C2185" s="54">
        <v>139.07191800000001</v>
      </c>
      <c r="D2185" s="26">
        <v>0.11597222222222221</v>
      </c>
      <c r="F2185" s="61" t="s">
        <v>6269</v>
      </c>
    </row>
    <row r="2186" spans="1:6" x14ac:dyDescent="0.25">
      <c r="A2186" s="15" t="s">
        <v>4308</v>
      </c>
      <c r="B2186" s="15" t="s">
        <v>4291</v>
      </c>
      <c r="C2186" s="52">
        <v>138.673618</v>
      </c>
      <c r="D2186" s="25">
        <v>0.11666666666666665</v>
      </c>
      <c r="F2186" s="61" t="s">
        <v>6270</v>
      </c>
    </row>
    <row r="2187" spans="1:6" x14ac:dyDescent="0.25">
      <c r="A2187" s="15" t="s">
        <v>4308</v>
      </c>
      <c r="B2187" s="15" t="s">
        <v>4292</v>
      </c>
      <c r="C2187" s="54">
        <v>137.79686100000001</v>
      </c>
      <c r="D2187" s="26">
        <v>0.11527777777777777</v>
      </c>
      <c r="F2187" s="61" t="s">
        <v>6271</v>
      </c>
    </row>
    <row r="2188" spans="1:6" x14ac:dyDescent="0.25">
      <c r="A2188" s="15" t="s">
        <v>4308</v>
      </c>
      <c r="B2188" s="15" t="s">
        <v>4293</v>
      </c>
      <c r="C2188" s="52">
        <v>146.94719599999999</v>
      </c>
      <c r="D2188" s="25">
        <v>0.12291666666666667</v>
      </c>
      <c r="F2188" s="61" t="s">
        <v>6272</v>
      </c>
    </row>
    <row r="2189" spans="1:6" x14ac:dyDescent="0.25">
      <c r="A2189" s="15" t="s">
        <v>4308</v>
      </c>
      <c r="B2189" s="15" t="s">
        <v>4294</v>
      </c>
      <c r="C2189" s="54">
        <v>147.926479</v>
      </c>
      <c r="D2189" s="26">
        <v>0.125</v>
      </c>
      <c r="F2189" s="61" t="s">
        <v>6273</v>
      </c>
    </row>
    <row r="2190" spans="1:6" x14ac:dyDescent="0.25">
      <c r="A2190" s="15" t="s">
        <v>4308</v>
      </c>
      <c r="B2190" s="15" t="s">
        <v>4295</v>
      </c>
      <c r="C2190" s="52">
        <v>150.74689000000001</v>
      </c>
      <c r="D2190" s="25">
        <v>0.1277777777777778</v>
      </c>
      <c r="F2190" s="61" t="s">
        <v>6274</v>
      </c>
    </row>
    <row r="2191" spans="1:6" x14ac:dyDescent="0.25">
      <c r="A2191" s="15" t="s">
        <v>4308</v>
      </c>
      <c r="B2191" s="15" t="s">
        <v>4296</v>
      </c>
      <c r="C2191" s="54">
        <v>142.409311</v>
      </c>
      <c r="D2191" s="26">
        <v>0.11805555555555557</v>
      </c>
      <c r="F2191" s="61" t="s">
        <v>6275</v>
      </c>
    </row>
    <row r="2192" spans="1:6" x14ac:dyDescent="0.25">
      <c r="A2192" s="15" t="s">
        <v>4308</v>
      </c>
      <c r="B2192" s="15" t="s">
        <v>4297</v>
      </c>
      <c r="C2192" s="52">
        <v>148.72618600000001</v>
      </c>
      <c r="D2192" s="25">
        <v>0.12569444444444444</v>
      </c>
      <c r="F2192" s="61" t="s">
        <v>6276</v>
      </c>
    </row>
    <row r="2193" spans="1:6" x14ac:dyDescent="0.25">
      <c r="A2193" s="15" t="s">
        <v>4308</v>
      </c>
      <c r="B2193" s="15" t="s">
        <v>4298</v>
      </c>
      <c r="C2193" s="54">
        <v>150.05778799999999</v>
      </c>
      <c r="D2193" s="26">
        <v>0.13194444444444445</v>
      </c>
      <c r="F2193" s="61" t="s">
        <v>6277</v>
      </c>
    </row>
    <row r="2194" spans="1:6" x14ac:dyDescent="0.25">
      <c r="A2194" s="15" t="s">
        <v>4308</v>
      </c>
      <c r="B2194" s="15" t="s">
        <v>4299</v>
      </c>
      <c r="C2194" s="52">
        <v>152.32020600000001</v>
      </c>
      <c r="D2194" s="25">
        <v>0.1361111111111111</v>
      </c>
      <c r="F2194" s="61" t="s">
        <v>6278</v>
      </c>
    </row>
    <row r="2195" spans="1:6" x14ac:dyDescent="0.25">
      <c r="A2195" s="15" t="s">
        <v>4308</v>
      </c>
      <c r="B2195" s="15" t="s">
        <v>4300</v>
      </c>
      <c r="C2195" s="54">
        <v>156.37963400000001</v>
      </c>
      <c r="D2195" s="26">
        <v>0.1451388888888889</v>
      </c>
      <c r="F2195" s="61" t="s">
        <v>6279</v>
      </c>
    </row>
    <row r="2196" spans="1:6" x14ac:dyDescent="0.25">
      <c r="A2196" s="15" t="s">
        <v>4308</v>
      </c>
      <c r="B2196" s="15" t="s">
        <v>4301</v>
      </c>
      <c r="C2196" s="52">
        <v>147.684144</v>
      </c>
      <c r="D2196" s="25">
        <v>0.13263888888888889</v>
      </c>
      <c r="F2196" s="61" t="s">
        <v>6280</v>
      </c>
    </row>
    <row r="2197" spans="1:6" x14ac:dyDescent="0.25">
      <c r="A2197" s="15" t="s">
        <v>4308</v>
      </c>
      <c r="B2197" s="15" t="s">
        <v>4302</v>
      </c>
      <c r="C2197" s="54">
        <v>137.24570299999999</v>
      </c>
      <c r="D2197" s="26">
        <v>0.11666666666666665</v>
      </c>
      <c r="F2197" s="61" t="s">
        <v>6281</v>
      </c>
    </row>
    <row r="2198" spans="1:6" x14ac:dyDescent="0.25">
      <c r="A2198" s="15" t="s">
        <v>4308</v>
      </c>
      <c r="B2198" s="15" t="s">
        <v>4303</v>
      </c>
      <c r="C2198" s="52">
        <v>150.40327099999999</v>
      </c>
      <c r="D2198" s="25">
        <v>0.12916666666666668</v>
      </c>
      <c r="F2198" s="61" t="s">
        <v>6282</v>
      </c>
    </row>
    <row r="2199" spans="1:6" x14ac:dyDescent="0.25">
      <c r="A2199" s="15" t="s">
        <v>4308</v>
      </c>
      <c r="B2199" s="15" t="s">
        <v>4304</v>
      </c>
      <c r="C2199" s="54">
        <v>133.119167</v>
      </c>
      <c r="D2199" s="26">
        <v>0.11666666666666665</v>
      </c>
      <c r="F2199" s="61" t="s">
        <v>6283</v>
      </c>
    </row>
    <row r="2200" spans="1:6" x14ac:dyDescent="0.25">
      <c r="A2200" s="15" t="s">
        <v>4308</v>
      </c>
      <c r="B2200" s="15" t="s">
        <v>4305</v>
      </c>
      <c r="C2200" s="52">
        <v>134.873302</v>
      </c>
      <c r="D2200" s="25">
        <v>0.125</v>
      </c>
      <c r="F2200" s="61" t="s">
        <v>6284</v>
      </c>
    </row>
    <row r="2201" spans="1:6" x14ac:dyDescent="0.25">
      <c r="A2201" s="15" t="s">
        <v>4308</v>
      </c>
      <c r="B2201" s="15" t="s">
        <v>4306</v>
      </c>
      <c r="C2201" s="54">
        <v>3.1870210000000001</v>
      </c>
      <c r="D2201" s="26">
        <v>6.9444444444444441E-3</v>
      </c>
      <c r="F2201" s="61" t="s">
        <v>6285</v>
      </c>
    </row>
    <row r="2202" spans="1:6" x14ac:dyDescent="0.25">
      <c r="A2202" s="15" t="s">
        <v>4308</v>
      </c>
      <c r="B2202" s="15" t="s">
        <v>4307</v>
      </c>
      <c r="C2202" s="52">
        <v>2.1313080000000002</v>
      </c>
      <c r="D2202" s="25">
        <v>4.1666666666666666E-3</v>
      </c>
      <c r="F2202" s="61" t="s">
        <v>6286</v>
      </c>
    </row>
    <row r="2203" spans="1:6" x14ac:dyDescent="0.25">
      <c r="A2203" s="15" t="s">
        <v>4308</v>
      </c>
      <c r="B2203" s="15" t="s">
        <v>4308</v>
      </c>
      <c r="C2203" s="54">
        <v>0</v>
      </c>
      <c r="D2203" s="26">
        <v>0</v>
      </c>
      <c r="F2203" s="61" t="s">
        <v>6287</v>
      </c>
    </row>
    <row r="2204" spans="1:6" x14ac:dyDescent="0.25">
      <c r="A2204" s="15" t="s">
        <v>4308</v>
      </c>
      <c r="B2204" s="15" t="s">
        <v>4309</v>
      </c>
      <c r="C2204" s="52">
        <v>205.14869400000001</v>
      </c>
      <c r="D2204" s="25">
        <v>0.17152777777777775</v>
      </c>
      <c r="F2204" s="61" t="s">
        <v>6288</v>
      </c>
    </row>
    <row r="2205" spans="1:6" x14ac:dyDescent="0.25">
      <c r="A2205" s="15" t="s">
        <v>4308</v>
      </c>
      <c r="B2205" s="15" t="s">
        <v>4310</v>
      </c>
      <c r="C2205" s="54">
        <v>206.710204</v>
      </c>
      <c r="D2205" s="26">
        <v>0.17500000000000002</v>
      </c>
      <c r="F2205" s="61" t="s">
        <v>6289</v>
      </c>
    </row>
    <row r="2206" spans="1:6" x14ac:dyDescent="0.25">
      <c r="A2206" s="15" t="s">
        <v>4308</v>
      </c>
      <c r="B2206" s="15" t="s">
        <v>4311</v>
      </c>
      <c r="C2206" s="52">
        <v>196.003952</v>
      </c>
      <c r="D2206" s="25">
        <v>0.16527777777777777</v>
      </c>
      <c r="F2206" s="61" t="s">
        <v>6290</v>
      </c>
    </row>
    <row r="2207" spans="1:6" x14ac:dyDescent="0.25">
      <c r="A2207" s="15" t="s">
        <v>4308</v>
      </c>
      <c r="B2207" s="15" t="s">
        <v>4312</v>
      </c>
      <c r="C2207" s="54">
        <v>192.71626900000001</v>
      </c>
      <c r="D2207" s="26">
        <v>0.15833333333333333</v>
      </c>
      <c r="F2207" s="61" t="s">
        <v>6291</v>
      </c>
    </row>
    <row r="2208" spans="1:6" x14ac:dyDescent="0.25">
      <c r="A2208" s="15" t="s">
        <v>4308</v>
      </c>
      <c r="B2208" s="15" t="s">
        <v>4313</v>
      </c>
      <c r="C2208" s="52">
        <v>211.39038400000001</v>
      </c>
      <c r="D2208" s="25">
        <v>0.17708333333333334</v>
      </c>
      <c r="F2208" s="61" t="s">
        <v>6292</v>
      </c>
    </row>
    <row r="2209" spans="1:6" x14ac:dyDescent="0.25">
      <c r="A2209" s="15" t="s">
        <v>4308</v>
      </c>
      <c r="B2209" s="15" t="s">
        <v>4314</v>
      </c>
      <c r="C2209" s="54">
        <v>132.682963</v>
      </c>
      <c r="D2209" s="26">
        <v>0.11875000000000001</v>
      </c>
      <c r="F2209" s="61" t="s">
        <v>6293</v>
      </c>
    </row>
    <row r="2210" spans="1:6" x14ac:dyDescent="0.25">
      <c r="A2210" s="15" t="s">
        <v>4308</v>
      </c>
      <c r="B2210" s="15" t="s">
        <v>4315</v>
      </c>
      <c r="C2210" s="52">
        <v>136.97602699999999</v>
      </c>
      <c r="D2210" s="25">
        <v>0.1277777777777778</v>
      </c>
      <c r="F2210" s="61" t="s">
        <v>6294</v>
      </c>
    </row>
    <row r="2211" spans="1:6" x14ac:dyDescent="0.25">
      <c r="A2211" s="15" t="s">
        <v>4308</v>
      </c>
      <c r="B2211" s="15" t="s">
        <v>4316</v>
      </c>
      <c r="C2211" s="54">
        <v>121.456622</v>
      </c>
      <c r="D2211" s="26">
        <v>0.11180555555555556</v>
      </c>
      <c r="F2211" s="61" t="s">
        <v>6295</v>
      </c>
    </row>
    <row r="2212" spans="1:6" x14ac:dyDescent="0.25">
      <c r="A2212" s="15" t="s">
        <v>4308</v>
      </c>
      <c r="B2212" s="15" t="s">
        <v>4317</v>
      </c>
      <c r="C2212" s="52">
        <v>63.557732000000001</v>
      </c>
      <c r="D2212" s="25">
        <v>5.5555555555555552E-2</v>
      </c>
      <c r="F2212" s="61" t="s">
        <v>6296</v>
      </c>
    </row>
    <row r="2213" spans="1:6" x14ac:dyDescent="0.25">
      <c r="A2213" s="15" t="s">
        <v>4308</v>
      </c>
      <c r="B2213" s="15" t="s">
        <v>4318</v>
      </c>
      <c r="C2213" s="54">
        <v>70.065368000000007</v>
      </c>
      <c r="D2213" s="26">
        <v>6.3194444444444442E-2</v>
      </c>
      <c r="F2213" s="61" t="s">
        <v>6297</v>
      </c>
    </row>
    <row r="2214" spans="1:6" x14ac:dyDescent="0.25">
      <c r="A2214" s="15" t="s">
        <v>4308</v>
      </c>
      <c r="B2214" s="15" t="s">
        <v>4319</v>
      </c>
      <c r="C2214" s="52">
        <v>65.587135000000004</v>
      </c>
      <c r="D2214" s="25">
        <v>5.9027777777777783E-2</v>
      </c>
      <c r="F2214" s="61" t="s">
        <v>6298</v>
      </c>
    </row>
    <row r="2215" spans="1:6" x14ac:dyDescent="0.25">
      <c r="A2215" s="15" t="s">
        <v>4308</v>
      </c>
      <c r="B2215" s="15" t="s">
        <v>4320</v>
      </c>
      <c r="C2215" s="54">
        <v>92.920079000000001</v>
      </c>
      <c r="D2215" s="26">
        <v>8.6111111111111124E-2</v>
      </c>
      <c r="F2215" s="61" t="s">
        <v>6299</v>
      </c>
    </row>
    <row r="2216" spans="1:6" x14ac:dyDescent="0.25">
      <c r="A2216" s="15" t="s">
        <v>4308</v>
      </c>
      <c r="B2216" s="15" t="s">
        <v>4321</v>
      </c>
      <c r="C2216" s="52">
        <v>92.739260000000002</v>
      </c>
      <c r="D2216" s="25">
        <v>8.5416666666666655E-2</v>
      </c>
      <c r="F2216" s="61" t="s">
        <v>6300</v>
      </c>
    </row>
    <row r="2217" spans="1:6" x14ac:dyDescent="0.25">
      <c r="A2217" s="15" t="s">
        <v>4309</v>
      </c>
      <c r="B2217" s="15">
        <v>3423909</v>
      </c>
      <c r="C2217" s="54">
        <v>140.35008099999999</v>
      </c>
      <c r="D2217" s="26">
        <v>0.12152777777777778</v>
      </c>
      <c r="F2217" s="61" t="s">
        <v>7054</v>
      </c>
    </row>
    <row r="2218" spans="1:6" x14ac:dyDescent="0.25">
      <c r="A2218" s="15" t="s">
        <v>4309</v>
      </c>
      <c r="B2218" s="15">
        <v>3403208</v>
      </c>
      <c r="C2218" s="52">
        <v>230.43794399999999</v>
      </c>
      <c r="D2218" s="25">
        <v>0.18680555555555556</v>
      </c>
      <c r="F2218" s="61" t="s">
        <v>7159</v>
      </c>
    </row>
    <row r="2219" spans="1:6" x14ac:dyDescent="0.25">
      <c r="A2219" s="15" t="s">
        <v>4309</v>
      </c>
      <c r="B2219" s="15">
        <v>3424402</v>
      </c>
      <c r="C2219" s="54">
        <v>35.333117999999999</v>
      </c>
      <c r="D2219" s="26">
        <v>3.5416666666666666E-2</v>
      </c>
      <c r="F2219" s="61" t="s">
        <v>7266</v>
      </c>
    </row>
    <row r="2220" spans="1:6" x14ac:dyDescent="0.25">
      <c r="A2220" s="15" t="s">
        <v>4309</v>
      </c>
      <c r="B2220" s="15" t="s">
        <v>4271</v>
      </c>
      <c r="C2220" s="52">
        <v>121.416854</v>
      </c>
      <c r="D2220" s="25">
        <v>0.10694444444444444</v>
      </c>
      <c r="F2220" s="61" t="s">
        <v>6301</v>
      </c>
    </row>
    <row r="2221" spans="1:6" x14ac:dyDescent="0.25">
      <c r="A2221" s="15" t="s">
        <v>4309</v>
      </c>
      <c r="B2221" s="15" t="s">
        <v>4272</v>
      </c>
      <c r="C2221" s="54">
        <v>119.27684600000001</v>
      </c>
      <c r="D2221" s="26">
        <v>0.10208333333333335</v>
      </c>
      <c r="F2221" s="61" t="s">
        <v>6302</v>
      </c>
    </row>
    <row r="2222" spans="1:6" x14ac:dyDescent="0.25">
      <c r="A2222" s="15" t="s">
        <v>4309</v>
      </c>
      <c r="B2222" s="15" t="s">
        <v>4273</v>
      </c>
      <c r="C2222" s="52">
        <v>119.343333</v>
      </c>
      <c r="D2222" s="25">
        <v>0.10277777777777779</v>
      </c>
      <c r="F2222" s="61" t="s">
        <v>6303</v>
      </c>
    </row>
    <row r="2223" spans="1:6" x14ac:dyDescent="0.25">
      <c r="A2223" s="15" t="s">
        <v>4309</v>
      </c>
      <c r="B2223" s="15" t="s">
        <v>4274</v>
      </c>
      <c r="C2223" s="54">
        <v>123.19273699999999</v>
      </c>
      <c r="D2223" s="26">
        <v>0.10347222222222223</v>
      </c>
      <c r="F2223" s="61" t="s">
        <v>6304</v>
      </c>
    </row>
    <row r="2224" spans="1:6" x14ac:dyDescent="0.25">
      <c r="A2224" s="15" t="s">
        <v>4309</v>
      </c>
      <c r="B2224" s="15" t="s">
        <v>4275</v>
      </c>
      <c r="C2224" s="52">
        <v>123.285943</v>
      </c>
      <c r="D2224" s="25">
        <v>0.10416666666666667</v>
      </c>
      <c r="F2224" s="61" t="s">
        <v>6305</v>
      </c>
    </row>
    <row r="2225" spans="1:6" x14ac:dyDescent="0.25">
      <c r="A2225" s="15" t="s">
        <v>4309</v>
      </c>
      <c r="B2225" s="15" t="s">
        <v>4276</v>
      </c>
      <c r="C2225" s="54">
        <v>123.607814</v>
      </c>
      <c r="D2225" s="26">
        <v>0.10972222222222222</v>
      </c>
      <c r="F2225" s="61" t="s">
        <v>6306</v>
      </c>
    </row>
    <row r="2226" spans="1:6" x14ac:dyDescent="0.25">
      <c r="A2226" s="15" t="s">
        <v>4309</v>
      </c>
      <c r="B2226" s="15" t="s">
        <v>4277</v>
      </c>
      <c r="C2226" s="52">
        <v>122.338971</v>
      </c>
      <c r="D2226" s="25">
        <v>0.10625</v>
      </c>
      <c r="F2226" s="61" t="s">
        <v>6307</v>
      </c>
    </row>
    <row r="2227" spans="1:6" x14ac:dyDescent="0.25">
      <c r="A2227" s="15" t="s">
        <v>4309</v>
      </c>
      <c r="B2227" s="15" t="s">
        <v>4278</v>
      </c>
      <c r="C2227" s="54">
        <v>117.075323</v>
      </c>
      <c r="D2227" s="26">
        <v>9.8611111111111108E-2</v>
      </c>
      <c r="F2227" s="61" t="s">
        <v>6308</v>
      </c>
    </row>
    <row r="2228" spans="1:6" x14ac:dyDescent="0.25">
      <c r="A2228" s="15" t="s">
        <v>4309</v>
      </c>
      <c r="B2228" s="15" t="s">
        <v>4279</v>
      </c>
      <c r="C2228" s="52">
        <v>140.656418</v>
      </c>
      <c r="D2228" s="25">
        <v>0.11875000000000001</v>
      </c>
      <c r="F2228" s="61" t="s">
        <v>6309</v>
      </c>
    </row>
    <row r="2229" spans="1:6" x14ac:dyDescent="0.25">
      <c r="A2229" s="15" t="s">
        <v>4309</v>
      </c>
      <c r="B2229" s="15" t="s">
        <v>4280</v>
      </c>
      <c r="C2229" s="54">
        <v>87.929834999999997</v>
      </c>
      <c r="D2229" s="26">
        <v>8.4027777777777771E-2</v>
      </c>
      <c r="F2229" s="61" t="s">
        <v>6310</v>
      </c>
    </row>
    <row r="2230" spans="1:6" x14ac:dyDescent="0.25">
      <c r="A2230" s="15" t="s">
        <v>4309</v>
      </c>
      <c r="B2230" s="15" t="s">
        <v>4281</v>
      </c>
      <c r="C2230" s="52">
        <v>161.206457</v>
      </c>
      <c r="D2230" s="25">
        <v>0.13333333333333333</v>
      </c>
      <c r="F2230" s="61" t="s">
        <v>6311</v>
      </c>
    </row>
    <row r="2231" spans="1:6" x14ac:dyDescent="0.25">
      <c r="A2231" s="15" t="s">
        <v>4309</v>
      </c>
      <c r="B2231" s="15" t="s">
        <v>4282</v>
      </c>
      <c r="C2231" s="54">
        <v>40.137571999999999</v>
      </c>
      <c r="D2231" s="26">
        <v>3.9583333333333331E-2</v>
      </c>
      <c r="F2231" s="61" t="s">
        <v>6312</v>
      </c>
    </row>
    <row r="2232" spans="1:6" x14ac:dyDescent="0.25">
      <c r="A2232" s="15" t="s">
        <v>4309</v>
      </c>
      <c r="B2232" s="15" t="s">
        <v>4283</v>
      </c>
      <c r="C2232" s="52">
        <v>27.687747999999999</v>
      </c>
      <c r="D2232" s="25">
        <v>2.8472222222222222E-2</v>
      </c>
      <c r="F2232" s="61" t="s">
        <v>6313</v>
      </c>
    </row>
    <row r="2233" spans="1:6" x14ac:dyDescent="0.25">
      <c r="A2233" s="15" t="s">
        <v>4309</v>
      </c>
      <c r="B2233" s="15" t="s">
        <v>4284</v>
      </c>
      <c r="C2233" s="54">
        <v>29.901699000000001</v>
      </c>
      <c r="D2233" s="26">
        <v>3.0555555555555555E-2</v>
      </c>
      <c r="F2233" s="61" t="s">
        <v>6314</v>
      </c>
    </row>
    <row r="2234" spans="1:6" x14ac:dyDescent="0.25">
      <c r="A2234" s="15" t="s">
        <v>4309</v>
      </c>
      <c r="B2234" s="15" t="s">
        <v>4285</v>
      </c>
      <c r="C2234" s="52">
        <v>29.482894000000002</v>
      </c>
      <c r="D2234" s="25">
        <v>3.3333333333333333E-2</v>
      </c>
      <c r="F2234" s="61" t="s">
        <v>6315</v>
      </c>
    </row>
    <row r="2235" spans="1:6" x14ac:dyDescent="0.25">
      <c r="A2235" s="15" t="s">
        <v>4309</v>
      </c>
      <c r="B2235" s="15" t="s">
        <v>4286</v>
      </c>
      <c r="C2235" s="54">
        <v>30.015409999999999</v>
      </c>
      <c r="D2235" s="26">
        <v>3.2638888888888891E-2</v>
      </c>
      <c r="F2235" s="61" t="s">
        <v>6316</v>
      </c>
    </row>
    <row r="2236" spans="1:6" x14ac:dyDescent="0.25">
      <c r="A2236" s="15" t="s">
        <v>4309</v>
      </c>
      <c r="B2236" s="15" t="s">
        <v>4287</v>
      </c>
      <c r="C2236" s="52">
        <v>28.111523999999999</v>
      </c>
      <c r="D2236" s="25">
        <v>2.7777777777777776E-2</v>
      </c>
      <c r="F2236" s="61" t="s">
        <v>6317</v>
      </c>
    </row>
    <row r="2237" spans="1:6" x14ac:dyDescent="0.25">
      <c r="A2237" s="15" t="s">
        <v>4309</v>
      </c>
      <c r="B2237" s="15" t="s">
        <v>4288</v>
      </c>
      <c r="C2237" s="54">
        <v>21.710763</v>
      </c>
      <c r="D2237" s="26">
        <v>2.5694444444444447E-2</v>
      </c>
      <c r="F2237" s="61" t="s">
        <v>6318</v>
      </c>
    </row>
    <row r="2238" spans="1:6" x14ac:dyDescent="0.25">
      <c r="A2238" s="15" t="s">
        <v>4309</v>
      </c>
      <c r="B2238" s="15" t="s">
        <v>4289</v>
      </c>
      <c r="C2238" s="52">
        <v>83.10239</v>
      </c>
      <c r="D2238" s="25">
        <v>7.4999999999999997E-2</v>
      </c>
      <c r="F2238" s="61" t="s">
        <v>6319</v>
      </c>
    </row>
    <row r="2239" spans="1:6" x14ac:dyDescent="0.25">
      <c r="A2239" s="15" t="s">
        <v>4309</v>
      </c>
      <c r="B2239" s="15" t="s">
        <v>4290</v>
      </c>
      <c r="C2239" s="54">
        <v>90.655175</v>
      </c>
      <c r="D2239" s="26">
        <v>8.4027777777777771E-2</v>
      </c>
      <c r="F2239" s="61" t="s">
        <v>6320</v>
      </c>
    </row>
    <row r="2240" spans="1:6" x14ac:dyDescent="0.25">
      <c r="A2240" s="15" t="s">
        <v>4309</v>
      </c>
      <c r="B2240" s="15" t="s">
        <v>4291</v>
      </c>
      <c r="C2240" s="52">
        <v>90.261846000000006</v>
      </c>
      <c r="D2240" s="25">
        <v>8.4722222222222213E-2</v>
      </c>
      <c r="F2240" s="61" t="s">
        <v>6321</v>
      </c>
    </row>
    <row r="2241" spans="1:6" x14ac:dyDescent="0.25">
      <c r="A2241" s="15" t="s">
        <v>4309</v>
      </c>
      <c r="B2241" s="15" t="s">
        <v>4292</v>
      </c>
      <c r="C2241" s="54">
        <v>86.972299000000007</v>
      </c>
      <c r="D2241" s="26">
        <v>8.1944444444444445E-2</v>
      </c>
      <c r="F2241" s="61" t="s">
        <v>6322</v>
      </c>
    </row>
    <row r="2242" spans="1:6" x14ac:dyDescent="0.25">
      <c r="A2242" s="15" t="s">
        <v>4309</v>
      </c>
      <c r="B2242" s="15" t="s">
        <v>4293</v>
      </c>
      <c r="C2242" s="52">
        <v>90.303477999999998</v>
      </c>
      <c r="D2242" s="25">
        <v>9.3055555555555558E-2</v>
      </c>
      <c r="F2242" s="61" t="s">
        <v>6323</v>
      </c>
    </row>
    <row r="2243" spans="1:6" x14ac:dyDescent="0.25">
      <c r="A2243" s="15" t="s">
        <v>4309</v>
      </c>
      <c r="B2243" s="15" t="s">
        <v>4294</v>
      </c>
      <c r="C2243" s="54">
        <v>90.255633000000003</v>
      </c>
      <c r="D2243" s="26">
        <v>9.375E-2</v>
      </c>
      <c r="F2243" s="61" t="s">
        <v>6324</v>
      </c>
    </row>
    <row r="2244" spans="1:6" x14ac:dyDescent="0.25">
      <c r="A2244" s="15" t="s">
        <v>4309</v>
      </c>
      <c r="B2244" s="15" t="s">
        <v>4295</v>
      </c>
      <c r="C2244" s="52">
        <v>92.678985999999995</v>
      </c>
      <c r="D2244" s="25">
        <v>9.930555555555555E-2</v>
      </c>
      <c r="F2244" s="61" t="s">
        <v>6325</v>
      </c>
    </row>
    <row r="2245" spans="1:6" x14ac:dyDescent="0.25">
      <c r="A2245" s="15" t="s">
        <v>4309</v>
      </c>
      <c r="B2245" s="15" t="s">
        <v>4296</v>
      </c>
      <c r="C2245" s="54">
        <v>99.368064000000004</v>
      </c>
      <c r="D2245" s="26">
        <v>9.3055555555555558E-2</v>
      </c>
      <c r="F2245" s="61" t="s">
        <v>6326</v>
      </c>
    </row>
    <row r="2246" spans="1:6" x14ac:dyDescent="0.25">
      <c r="A2246" s="15" t="s">
        <v>4309</v>
      </c>
      <c r="B2246" s="15" t="s">
        <v>4297</v>
      </c>
      <c r="C2246" s="52">
        <v>92.165110999999996</v>
      </c>
      <c r="D2246" s="25">
        <v>9.5833333333333326E-2</v>
      </c>
      <c r="F2246" s="61" t="s">
        <v>6327</v>
      </c>
    </row>
    <row r="2247" spans="1:6" x14ac:dyDescent="0.25">
      <c r="A2247" s="15" t="s">
        <v>4309</v>
      </c>
      <c r="B2247" s="15" t="s">
        <v>4298</v>
      </c>
      <c r="C2247" s="54">
        <v>91.869958999999994</v>
      </c>
      <c r="D2247" s="26">
        <v>9.0972222222222218E-2</v>
      </c>
      <c r="F2247" s="61" t="s">
        <v>6328</v>
      </c>
    </row>
    <row r="2248" spans="1:6" x14ac:dyDescent="0.25">
      <c r="A2248" s="15" t="s">
        <v>4309</v>
      </c>
      <c r="B2248" s="15" t="s">
        <v>4299</v>
      </c>
      <c r="C2248" s="52">
        <v>89.454683000000003</v>
      </c>
      <c r="D2248" s="25">
        <v>8.6111111111111124E-2</v>
      </c>
      <c r="F2248" s="61" t="s">
        <v>6329</v>
      </c>
    </row>
    <row r="2249" spans="1:6" x14ac:dyDescent="0.25">
      <c r="A2249" s="15" t="s">
        <v>4309</v>
      </c>
      <c r="B2249" s="15" t="s">
        <v>4300</v>
      </c>
      <c r="C2249" s="54">
        <v>90.516609000000003</v>
      </c>
      <c r="D2249" s="26">
        <v>7.9861111111111105E-2</v>
      </c>
      <c r="F2249" s="61" t="s">
        <v>6330</v>
      </c>
    </row>
    <row r="2250" spans="1:6" x14ac:dyDescent="0.25">
      <c r="A2250" s="15" t="s">
        <v>4309</v>
      </c>
      <c r="B2250" s="15" t="s">
        <v>4301</v>
      </c>
      <c r="C2250" s="52">
        <v>104.51862300000001</v>
      </c>
      <c r="D2250" s="25">
        <v>9.8611111111111108E-2</v>
      </c>
      <c r="F2250" s="61" t="s">
        <v>6331</v>
      </c>
    </row>
    <row r="2251" spans="1:6" x14ac:dyDescent="0.25">
      <c r="A2251" s="15" t="s">
        <v>4309</v>
      </c>
      <c r="B2251" s="15" t="s">
        <v>4302</v>
      </c>
      <c r="C2251" s="54">
        <v>88.401455999999996</v>
      </c>
      <c r="D2251" s="26">
        <v>8.2638888888888887E-2</v>
      </c>
      <c r="F2251" s="61" t="s">
        <v>6332</v>
      </c>
    </row>
    <row r="2252" spans="1:6" x14ac:dyDescent="0.25">
      <c r="A2252" s="15" t="s">
        <v>4309</v>
      </c>
      <c r="B2252" s="15" t="s">
        <v>4303</v>
      </c>
      <c r="C2252" s="52">
        <v>78.467571000000007</v>
      </c>
      <c r="D2252" s="25">
        <v>7.2222222222222229E-2</v>
      </c>
      <c r="F2252" s="61" t="s">
        <v>6333</v>
      </c>
    </row>
    <row r="2253" spans="1:6" x14ac:dyDescent="0.25">
      <c r="A2253" s="15" t="s">
        <v>4309</v>
      </c>
      <c r="B2253" s="15" t="s">
        <v>4304</v>
      </c>
      <c r="C2253" s="54">
        <v>98.078093999999993</v>
      </c>
      <c r="D2253" s="26">
        <v>9.4444444444444442E-2</v>
      </c>
      <c r="F2253" s="61" t="s">
        <v>6334</v>
      </c>
    </row>
    <row r="2254" spans="1:6" x14ac:dyDescent="0.25">
      <c r="A2254" s="15" t="s">
        <v>4309</v>
      </c>
      <c r="B2254" s="15" t="s">
        <v>4305</v>
      </c>
      <c r="C2254" s="52">
        <v>98.673991000000001</v>
      </c>
      <c r="D2254" s="25">
        <v>9.375E-2</v>
      </c>
      <c r="F2254" s="61" t="s">
        <v>6335</v>
      </c>
    </row>
    <row r="2255" spans="1:6" x14ac:dyDescent="0.25">
      <c r="A2255" s="15" t="s">
        <v>4309</v>
      </c>
      <c r="B2255" s="15" t="s">
        <v>4306</v>
      </c>
      <c r="C2255" s="54">
        <v>207.37383</v>
      </c>
      <c r="D2255" s="26">
        <v>0.17152777777777775</v>
      </c>
      <c r="F2255" s="61" t="s">
        <v>6336</v>
      </c>
    </row>
    <row r="2256" spans="1:6" x14ac:dyDescent="0.25">
      <c r="A2256" s="15" t="s">
        <v>4309</v>
      </c>
      <c r="B2256" s="15" t="s">
        <v>4307</v>
      </c>
      <c r="C2256" s="52">
        <v>206.277107</v>
      </c>
      <c r="D2256" s="25">
        <v>0.17013888888888887</v>
      </c>
      <c r="F2256" s="61" t="s">
        <v>6337</v>
      </c>
    </row>
    <row r="2257" spans="1:6" x14ac:dyDescent="0.25">
      <c r="A2257" s="15" t="s">
        <v>4309</v>
      </c>
      <c r="B2257" s="15" t="s">
        <v>4308</v>
      </c>
      <c r="C2257" s="54">
        <v>204.50060300000001</v>
      </c>
      <c r="D2257" s="26">
        <v>0.16805555555555554</v>
      </c>
      <c r="F2257" s="61" t="s">
        <v>6338</v>
      </c>
    </row>
    <row r="2258" spans="1:6" x14ac:dyDescent="0.25">
      <c r="A2258" s="15" t="s">
        <v>4309</v>
      </c>
      <c r="B2258" s="15" t="s">
        <v>4309</v>
      </c>
      <c r="C2258" s="52">
        <v>0</v>
      </c>
      <c r="D2258" s="25">
        <v>0</v>
      </c>
      <c r="F2258" s="61" t="s">
        <v>6339</v>
      </c>
    </row>
    <row r="2259" spans="1:6" x14ac:dyDescent="0.25">
      <c r="A2259" s="15" t="s">
        <v>4309</v>
      </c>
      <c r="B2259" s="15" t="s">
        <v>4310</v>
      </c>
      <c r="C2259" s="54">
        <v>2.2238929999999999</v>
      </c>
      <c r="D2259" s="26">
        <v>6.2499999999999995E-3</v>
      </c>
      <c r="F2259" s="61" t="s">
        <v>6340</v>
      </c>
    </row>
    <row r="2260" spans="1:6" x14ac:dyDescent="0.25">
      <c r="A2260" s="15" t="s">
        <v>4309</v>
      </c>
      <c r="B2260" s="15" t="s">
        <v>4311</v>
      </c>
      <c r="C2260" s="52">
        <v>15.890364999999999</v>
      </c>
      <c r="D2260" s="25">
        <v>2.2916666666666669E-2</v>
      </c>
      <c r="F2260" s="61" t="s">
        <v>6341</v>
      </c>
    </row>
    <row r="2261" spans="1:6" x14ac:dyDescent="0.25">
      <c r="A2261" s="15" t="s">
        <v>4309</v>
      </c>
      <c r="B2261" s="15" t="s">
        <v>4312</v>
      </c>
      <c r="C2261" s="54">
        <v>14.066636000000001</v>
      </c>
      <c r="D2261" s="26">
        <v>1.8055555555555557E-2</v>
      </c>
      <c r="F2261" s="61" t="s">
        <v>6342</v>
      </c>
    </row>
    <row r="2262" spans="1:6" x14ac:dyDescent="0.25">
      <c r="A2262" s="15" t="s">
        <v>4309</v>
      </c>
      <c r="B2262" s="15" t="s">
        <v>4313</v>
      </c>
      <c r="C2262" s="52">
        <v>7.0215120000000004</v>
      </c>
      <c r="D2262" s="25">
        <v>1.3888888888888888E-2</v>
      </c>
      <c r="F2262" s="61" t="s">
        <v>6343</v>
      </c>
    </row>
    <row r="2263" spans="1:6" x14ac:dyDescent="0.25">
      <c r="A2263" s="15" t="s">
        <v>4309</v>
      </c>
      <c r="B2263" s="15" t="s">
        <v>4314</v>
      </c>
      <c r="C2263" s="54">
        <v>151.38006899999999</v>
      </c>
      <c r="D2263" s="26">
        <v>0.13333333333333333</v>
      </c>
      <c r="F2263" s="61" t="s">
        <v>6344</v>
      </c>
    </row>
    <row r="2264" spans="1:6" x14ac:dyDescent="0.25">
      <c r="A2264" s="15" t="s">
        <v>4309</v>
      </c>
      <c r="B2264" s="15" t="s">
        <v>4315</v>
      </c>
      <c r="C2264" s="52">
        <v>155.67313300000001</v>
      </c>
      <c r="D2264" s="25">
        <v>0.1423611111111111</v>
      </c>
      <c r="F2264" s="61" t="s">
        <v>6345</v>
      </c>
    </row>
    <row r="2265" spans="1:6" x14ac:dyDescent="0.25">
      <c r="A2265" s="15" t="s">
        <v>4309</v>
      </c>
      <c r="B2265" s="15" t="s">
        <v>4316</v>
      </c>
      <c r="C2265" s="54">
        <v>153.78043199999999</v>
      </c>
      <c r="D2265" s="26">
        <v>0.1388888888888889</v>
      </c>
      <c r="F2265" s="61" t="s">
        <v>6346</v>
      </c>
    </row>
    <row r="2266" spans="1:6" x14ac:dyDescent="0.25">
      <c r="A2266" s="15" t="s">
        <v>4309</v>
      </c>
      <c r="B2266" s="15" t="s">
        <v>4317</v>
      </c>
      <c r="C2266" s="52">
        <v>267.85266000000001</v>
      </c>
      <c r="D2266" s="25">
        <v>0.21805555555555556</v>
      </c>
      <c r="F2266" s="61" t="s">
        <v>6347</v>
      </c>
    </row>
    <row r="2267" spans="1:6" x14ac:dyDescent="0.25">
      <c r="A2267" s="15" t="s">
        <v>4309</v>
      </c>
      <c r="B2267" s="15" t="s">
        <v>4318</v>
      </c>
      <c r="C2267" s="54">
        <v>276.96384899999998</v>
      </c>
      <c r="D2267" s="26">
        <v>0.22638888888888889</v>
      </c>
      <c r="F2267" s="61" t="s">
        <v>6348</v>
      </c>
    </row>
    <row r="2268" spans="1:6" x14ac:dyDescent="0.25">
      <c r="A2268" s="15" t="s">
        <v>4309</v>
      </c>
      <c r="B2268" s="15" t="s">
        <v>4319</v>
      </c>
      <c r="C2268" s="52">
        <v>270.60161299999999</v>
      </c>
      <c r="D2268" s="25">
        <v>0.22222222222222221</v>
      </c>
      <c r="F2268" s="61" t="s">
        <v>6349</v>
      </c>
    </row>
    <row r="2269" spans="1:6" x14ac:dyDescent="0.25">
      <c r="A2269" s="15" t="s">
        <v>4309</v>
      </c>
      <c r="B2269" s="15" t="s">
        <v>4320</v>
      </c>
      <c r="C2269" s="54">
        <v>287.50108699999998</v>
      </c>
      <c r="D2269" s="26">
        <v>0.23541666666666669</v>
      </c>
      <c r="F2269" s="61" t="s">
        <v>6350</v>
      </c>
    </row>
    <row r="2270" spans="1:6" x14ac:dyDescent="0.25">
      <c r="A2270" s="15" t="s">
        <v>4309</v>
      </c>
      <c r="B2270" s="15" t="s">
        <v>4321</v>
      </c>
      <c r="C2270" s="52">
        <v>281.15625</v>
      </c>
      <c r="D2270" s="25">
        <v>0.23124999999999998</v>
      </c>
      <c r="F2270" s="61" t="s">
        <v>6351</v>
      </c>
    </row>
    <row r="2271" spans="1:6" x14ac:dyDescent="0.25">
      <c r="A2271" s="15" t="s">
        <v>4310</v>
      </c>
      <c r="B2271" s="15">
        <v>3423909</v>
      </c>
      <c r="C2271" s="54">
        <v>143.78316599999999</v>
      </c>
      <c r="D2271" s="26">
        <v>0.12430555555555556</v>
      </c>
      <c r="F2271" s="61" t="s">
        <v>7055</v>
      </c>
    </row>
    <row r="2272" spans="1:6" x14ac:dyDescent="0.25">
      <c r="A2272" s="15" t="s">
        <v>4310</v>
      </c>
      <c r="B2272" s="15">
        <v>3403208</v>
      </c>
      <c r="C2272" s="52">
        <v>233.871028</v>
      </c>
      <c r="D2272" s="25">
        <v>0.18958333333333333</v>
      </c>
      <c r="F2272" s="61" t="s">
        <v>7160</v>
      </c>
    </row>
    <row r="2273" spans="1:6" x14ac:dyDescent="0.25">
      <c r="A2273" s="15" t="s">
        <v>4310</v>
      </c>
      <c r="B2273" s="15">
        <v>3424402</v>
      </c>
      <c r="C2273" s="54">
        <v>38.766202</v>
      </c>
      <c r="D2273" s="26">
        <v>3.888888888888889E-2</v>
      </c>
      <c r="F2273" s="61" t="s">
        <v>7267</v>
      </c>
    </row>
    <row r="2274" spans="1:6" x14ac:dyDescent="0.25">
      <c r="A2274" s="15" t="s">
        <v>4310</v>
      </c>
      <c r="B2274" s="15" t="s">
        <v>4271</v>
      </c>
      <c r="C2274" s="52">
        <v>124.84993799999999</v>
      </c>
      <c r="D2274" s="25">
        <v>0.11041666666666666</v>
      </c>
      <c r="F2274" s="61" t="s">
        <v>6352</v>
      </c>
    </row>
    <row r="2275" spans="1:6" x14ac:dyDescent="0.25">
      <c r="A2275" s="15" t="s">
        <v>4310</v>
      </c>
      <c r="B2275" s="15" t="s">
        <v>4272</v>
      </c>
      <c r="C2275" s="54">
        <v>122.709931</v>
      </c>
      <c r="D2275" s="26">
        <v>0.10555555555555556</v>
      </c>
      <c r="F2275" s="61" t="s">
        <v>6353</v>
      </c>
    </row>
    <row r="2276" spans="1:6" x14ac:dyDescent="0.25">
      <c r="A2276" s="15" t="s">
        <v>4310</v>
      </c>
      <c r="B2276" s="15" t="s">
        <v>4273</v>
      </c>
      <c r="C2276" s="52">
        <v>122.77641800000001</v>
      </c>
      <c r="D2276" s="25">
        <v>0.10625</v>
      </c>
      <c r="F2276" s="61" t="s">
        <v>6354</v>
      </c>
    </row>
    <row r="2277" spans="1:6" x14ac:dyDescent="0.25">
      <c r="A2277" s="15" t="s">
        <v>4310</v>
      </c>
      <c r="B2277" s="15" t="s">
        <v>4274</v>
      </c>
      <c r="C2277" s="54">
        <v>126.625822</v>
      </c>
      <c r="D2277" s="26">
        <v>0.10694444444444444</v>
      </c>
      <c r="F2277" s="61" t="s">
        <v>6355</v>
      </c>
    </row>
    <row r="2278" spans="1:6" x14ac:dyDescent="0.25">
      <c r="A2278" s="15" t="s">
        <v>4310</v>
      </c>
      <c r="B2278" s="15" t="s">
        <v>4275</v>
      </c>
      <c r="C2278" s="52">
        <v>126.71902799999999</v>
      </c>
      <c r="D2278" s="25">
        <v>0.10694444444444444</v>
      </c>
      <c r="F2278" s="61" t="s">
        <v>6356</v>
      </c>
    </row>
    <row r="2279" spans="1:6" x14ac:dyDescent="0.25">
      <c r="A2279" s="15" t="s">
        <v>4310</v>
      </c>
      <c r="B2279" s="15" t="s">
        <v>4276</v>
      </c>
      <c r="C2279" s="54">
        <v>127.040899</v>
      </c>
      <c r="D2279" s="26">
        <v>0.1125</v>
      </c>
      <c r="F2279" s="61" t="s">
        <v>6357</v>
      </c>
    </row>
    <row r="2280" spans="1:6" x14ac:dyDescent="0.25">
      <c r="A2280" s="15" t="s">
        <v>4310</v>
      </c>
      <c r="B2280" s="15" t="s">
        <v>4277</v>
      </c>
      <c r="C2280" s="52">
        <v>125.77205600000001</v>
      </c>
      <c r="D2280" s="25">
        <v>0.10972222222222222</v>
      </c>
      <c r="F2280" s="61" t="s">
        <v>6358</v>
      </c>
    </row>
    <row r="2281" spans="1:6" x14ac:dyDescent="0.25">
      <c r="A2281" s="15" t="s">
        <v>4310</v>
      </c>
      <c r="B2281" s="15" t="s">
        <v>4278</v>
      </c>
      <c r="C2281" s="54">
        <v>120.50840700000001</v>
      </c>
      <c r="D2281" s="26">
        <v>0.1013888888888889</v>
      </c>
      <c r="F2281" s="61" t="s">
        <v>6359</v>
      </c>
    </row>
    <row r="2282" spans="1:6" x14ac:dyDescent="0.25">
      <c r="A2282" s="15" t="s">
        <v>4310</v>
      </c>
      <c r="B2282" s="15" t="s">
        <v>4279</v>
      </c>
      <c r="C2282" s="52">
        <v>144.08950300000001</v>
      </c>
      <c r="D2282" s="25">
        <v>0.12222222222222223</v>
      </c>
      <c r="F2282" s="61" t="s">
        <v>6360</v>
      </c>
    </row>
    <row r="2283" spans="1:6" x14ac:dyDescent="0.25">
      <c r="A2283" s="15" t="s">
        <v>4310</v>
      </c>
      <c r="B2283" s="15" t="s">
        <v>4280</v>
      </c>
      <c r="C2283" s="54">
        <v>91.362919000000005</v>
      </c>
      <c r="D2283" s="26">
        <v>8.7500000000000008E-2</v>
      </c>
      <c r="F2283" s="61" t="s">
        <v>6361</v>
      </c>
    </row>
    <row r="2284" spans="1:6" x14ac:dyDescent="0.25">
      <c r="A2284" s="15" t="s">
        <v>4310</v>
      </c>
      <c r="B2284" s="15" t="s">
        <v>4281</v>
      </c>
      <c r="C2284" s="52">
        <v>164.63954200000001</v>
      </c>
      <c r="D2284" s="25">
        <v>0.1361111111111111</v>
      </c>
      <c r="F2284" s="61" t="s">
        <v>6362</v>
      </c>
    </row>
    <row r="2285" spans="1:6" x14ac:dyDescent="0.25">
      <c r="A2285" s="15" t="s">
        <v>4310</v>
      </c>
      <c r="B2285" s="15" t="s">
        <v>4282</v>
      </c>
      <c r="C2285" s="54">
        <v>43.570656</v>
      </c>
      <c r="D2285" s="26">
        <v>4.3055555555555562E-2</v>
      </c>
      <c r="F2285" s="61" t="s">
        <v>6363</v>
      </c>
    </row>
    <row r="2286" spans="1:6" x14ac:dyDescent="0.25">
      <c r="A2286" s="15" t="s">
        <v>4310</v>
      </c>
      <c r="B2286" s="15" t="s">
        <v>4283</v>
      </c>
      <c r="C2286" s="52">
        <v>31.120832</v>
      </c>
      <c r="D2286" s="25">
        <v>3.125E-2</v>
      </c>
      <c r="F2286" s="61" t="s">
        <v>6364</v>
      </c>
    </row>
    <row r="2287" spans="1:6" x14ac:dyDescent="0.25">
      <c r="A2287" s="15" t="s">
        <v>4310</v>
      </c>
      <c r="B2287" s="15" t="s">
        <v>4284</v>
      </c>
      <c r="C2287" s="54">
        <v>33.334783000000002</v>
      </c>
      <c r="D2287" s="26">
        <v>3.3333333333333333E-2</v>
      </c>
      <c r="F2287" s="61" t="s">
        <v>6365</v>
      </c>
    </row>
    <row r="2288" spans="1:6" x14ac:dyDescent="0.25">
      <c r="A2288" s="15" t="s">
        <v>4310</v>
      </c>
      <c r="B2288" s="15" t="s">
        <v>4285</v>
      </c>
      <c r="C2288" s="52">
        <v>32.915978000000003</v>
      </c>
      <c r="D2288" s="25">
        <v>3.6805555555555557E-2</v>
      </c>
      <c r="F2288" s="61" t="s">
        <v>6366</v>
      </c>
    </row>
    <row r="2289" spans="1:6" x14ac:dyDescent="0.25">
      <c r="A2289" s="15" t="s">
        <v>4310</v>
      </c>
      <c r="B2289" s="15" t="s">
        <v>4286</v>
      </c>
      <c r="C2289" s="54">
        <v>33.448493999999997</v>
      </c>
      <c r="D2289" s="26">
        <v>3.5416666666666666E-2</v>
      </c>
      <c r="F2289" s="61" t="s">
        <v>6367</v>
      </c>
    </row>
    <row r="2290" spans="1:6" x14ac:dyDescent="0.25">
      <c r="A2290" s="15" t="s">
        <v>4310</v>
      </c>
      <c r="B2290" s="15" t="s">
        <v>4287</v>
      </c>
      <c r="C2290" s="52">
        <v>31.544608</v>
      </c>
      <c r="D2290" s="25">
        <v>3.0555555555555555E-2</v>
      </c>
      <c r="F2290" s="61" t="s">
        <v>6368</v>
      </c>
    </row>
    <row r="2291" spans="1:6" x14ac:dyDescent="0.25">
      <c r="A2291" s="15" t="s">
        <v>4310</v>
      </c>
      <c r="B2291" s="15" t="s">
        <v>4288</v>
      </c>
      <c r="C2291" s="54">
        <v>25.143847999999998</v>
      </c>
      <c r="D2291" s="26">
        <v>2.8472222222222222E-2</v>
      </c>
      <c r="F2291" s="61" t="s">
        <v>6369</v>
      </c>
    </row>
    <row r="2292" spans="1:6" x14ac:dyDescent="0.25">
      <c r="A2292" s="15" t="s">
        <v>4310</v>
      </c>
      <c r="B2292" s="15" t="s">
        <v>4289</v>
      </c>
      <c r="C2292" s="52">
        <v>86.535473999999994</v>
      </c>
      <c r="D2292" s="25">
        <v>7.8472222222222221E-2</v>
      </c>
      <c r="F2292" s="61" t="s">
        <v>6370</v>
      </c>
    </row>
    <row r="2293" spans="1:6" x14ac:dyDescent="0.25">
      <c r="A2293" s="15" t="s">
        <v>4310</v>
      </c>
      <c r="B2293" s="15" t="s">
        <v>4290</v>
      </c>
      <c r="C2293" s="54">
        <v>94.088260000000005</v>
      </c>
      <c r="D2293" s="26">
        <v>8.7500000000000008E-2</v>
      </c>
      <c r="F2293" s="61" t="s">
        <v>6371</v>
      </c>
    </row>
    <row r="2294" spans="1:6" x14ac:dyDescent="0.25">
      <c r="A2294" s="15" t="s">
        <v>4310</v>
      </c>
      <c r="B2294" s="15" t="s">
        <v>4291</v>
      </c>
      <c r="C2294" s="52">
        <v>93.694930999999997</v>
      </c>
      <c r="D2294" s="25">
        <v>8.7500000000000008E-2</v>
      </c>
      <c r="F2294" s="61" t="s">
        <v>6372</v>
      </c>
    </row>
    <row r="2295" spans="1:6" x14ac:dyDescent="0.25">
      <c r="A2295" s="15" t="s">
        <v>4310</v>
      </c>
      <c r="B2295" s="15" t="s">
        <v>4292</v>
      </c>
      <c r="C2295" s="54">
        <v>90.405383999999998</v>
      </c>
      <c r="D2295" s="26">
        <v>8.4722222222222213E-2</v>
      </c>
      <c r="F2295" s="61" t="s">
        <v>6373</v>
      </c>
    </row>
    <row r="2296" spans="1:6" x14ac:dyDescent="0.25">
      <c r="A2296" s="15" t="s">
        <v>4310</v>
      </c>
      <c r="B2296" s="15" t="s">
        <v>4293</v>
      </c>
      <c r="C2296" s="52">
        <v>93.736563000000004</v>
      </c>
      <c r="D2296" s="25">
        <v>9.6527777777777768E-2</v>
      </c>
      <c r="F2296" s="61" t="s">
        <v>6374</v>
      </c>
    </row>
    <row r="2297" spans="1:6" x14ac:dyDescent="0.25">
      <c r="A2297" s="15" t="s">
        <v>4310</v>
      </c>
      <c r="B2297" s="15" t="s">
        <v>4294</v>
      </c>
      <c r="C2297" s="54">
        <v>93.688716999999997</v>
      </c>
      <c r="D2297" s="26">
        <v>9.7222222222222224E-2</v>
      </c>
      <c r="F2297" s="61" t="s">
        <v>6375</v>
      </c>
    </row>
    <row r="2298" spans="1:6" x14ac:dyDescent="0.25">
      <c r="A2298" s="15" t="s">
        <v>4310</v>
      </c>
      <c r="B2298" s="15" t="s">
        <v>4295</v>
      </c>
      <c r="C2298" s="52">
        <v>96.112071</v>
      </c>
      <c r="D2298" s="25">
        <v>0.10277777777777779</v>
      </c>
      <c r="F2298" s="61" t="s">
        <v>6376</v>
      </c>
    </row>
    <row r="2299" spans="1:6" x14ac:dyDescent="0.25">
      <c r="A2299" s="15" t="s">
        <v>4310</v>
      </c>
      <c r="B2299" s="15" t="s">
        <v>4296</v>
      </c>
      <c r="C2299" s="54">
        <v>102.801148</v>
      </c>
      <c r="D2299" s="26">
        <v>9.5833333333333326E-2</v>
      </c>
      <c r="F2299" s="61" t="s">
        <v>6377</v>
      </c>
    </row>
    <row r="2300" spans="1:6" x14ac:dyDescent="0.25">
      <c r="A2300" s="15" t="s">
        <v>4310</v>
      </c>
      <c r="B2300" s="15" t="s">
        <v>4297</v>
      </c>
      <c r="C2300" s="52">
        <v>95.598196000000002</v>
      </c>
      <c r="D2300" s="25">
        <v>9.930555555555555E-2</v>
      </c>
      <c r="F2300" s="61" t="s">
        <v>6378</v>
      </c>
    </row>
    <row r="2301" spans="1:6" x14ac:dyDescent="0.25">
      <c r="A2301" s="15" t="s">
        <v>4310</v>
      </c>
      <c r="B2301" s="15" t="s">
        <v>4298</v>
      </c>
      <c r="C2301" s="54">
        <v>95.303043000000002</v>
      </c>
      <c r="D2301" s="26">
        <v>9.4444444444444442E-2</v>
      </c>
      <c r="F2301" s="61" t="s">
        <v>6379</v>
      </c>
    </row>
    <row r="2302" spans="1:6" x14ac:dyDescent="0.25">
      <c r="A2302" s="15" t="s">
        <v>4310</v>
      </c>
      <c r="B2302" s="15" t="s">
        <v>4299</v>
      </c>
      <c r="C2302" s="52">
        <v>92.887767999999994</v>
      </c>
      <c r="D2302" s="25">
        <v>8.9583333333333334E-2</v>
      </c>
      <c r="F2302" s="61" t="s">
        <v>6380</v>
      </c>
    </row>
    <row r="2303" spans="1:6" x14ac:dyDescent="0.25">
      <c r="A2303" s="15" t="s">
        <v>4310</v>
      </c>
      <c r="B2303" s="15" t="s">
        <v>4300</v>
      </c>
      <c r="C2303" s="54">
        <v>93.949693999999994</v>
      </c>
      <c r="D2303" s="26">
        <v>8.3333333333333329E-2</v>
      </c>
      <c r="F2303" s="61" t="s">
        <v>6381</v>
      </c>
    </row>
    <row r="2304" spans="1:6" x14ac:dyDescent="0.25">
      <c r="A2304" s="15" t="s">
        <v>4310</v>
      </c>
      <c r="B2304" s="15" t="s">
        <v>4301</v>
      </c>
      <c r="C2304" s="52">
        <v>107.951707</v>
      </c>
      <c r="D2304" s="25">
        <v>0.10208333333333335</v>
      </c>
      <c r="F2304" s="61" t="s">
        <v>6382</v>
      </c>
    </row>
    <row r="2305" spans="1:6" x14ac:dyDescent="0.25">
      <c r="A2305" s="15" t="s">
        <v>4310</v>
      </c>
      <c r="B2305" s="15" t="s">
        <v>4302</v>
      </c>
      <c r="C2305" s="54">
        <v>91.834541000000002</v>
      </c>
      <c r="D2305" s="26">
        <v>8.6111111111111124E-2</v>
      </c>
      <c r="F2305" s="61" t="s">
        <v>6383</v>
      </c>
    </row>
    <row r="2306" spans="1:6" x14ac:dyDescent="0.25">
      <c r="A2306" s="15" t="s">
        <v>4310</v>
      </c>
      <c r="B2306" s="15" t="s">
        <v>4303</v>
      </c>
      <c r="C2306" s="52">
        <v>81.900655</v>
      </c>
      <c r="D2306" s="25">
        <v>7.4999999999999997E-2</v>
      </c>
      <c r="F2306" s="61" t="s">
        <v>6384</v>
      </c>
    </row>
    <row r="2307" spans="1:6" x14ac:dyDescent="0.25">
      <c r="A2307" s="15" t="s">
        <v>4310</v>
      </c>
      <c r="B2307" s="15" t="s">
        <v>4304</v>
      </c>
      <c r="C2307" s="54">
        <v>101.511178</v>
      </c>
      <c r="D2307" s="26">
        <v>9.7222222222222224E-2</v>
      </c>
      <c r="F2307" s="61" t="s">
        <v>6385</v>
      </c>
    </row>
    <row r="2308" spans="1:6" x14ac:dyDescent="0.25">
      <c r="A2308" s="15" t="s">
        <v>4310</v>
      </c>
      <c r="B2308" s="15" t="s">
        <v>4305</v>
      </c>
      <c r="C2308" s="52">
        <v>102.10707499999999</v>
      </c>
      <c r="D2308" s="25">
        <v>9.7222222222222224E-2</v>
      </c>
      <c r="F2308" s="61" t="s">
        <v>6386</v>
      </c>
    </row>
    <row r="2309" spans="1:6" x14ac:dyDescent="0.25">
      <c r="A2309" s="15" t="s">
        <v>4310</v>
      </c>
      <c r="B2309" s="15" t="s">
        <v>4306</v>
      </c>
      <c r="C2309" s="54">
        <v>210.806915</v>
      </c>
      <c r="D2309" s="26">
        <v>0.17430555555555557</v>
      </c>
      <c r="F2309" s="61" t="s">
        <v>6387</v>
      </c>
    </row>
    <row r="2310" spans="1:6" x14ac:dyDescent="0.25">
      <c r="A2310" s="15" t="s">
        <v>4310</v>
      </c>
      <c r="B2310" s="15" t="s">
        <v>4307</v>
      </c>
      <c r="C2310" s="52">
        <v>209.71019200000001</v>
      </c>
      <c r="D2310" s="25">
        <v>0.17361111111111113</v>
      </c>
      <c r="F2310" s="61" t="s">
        <v>6388</v>
      </c>
    </row>
    <row r="2311" spans="1:6" x14ac:dyDescent="0.25">
      <c r="A2311" s="15" t="s">
        <v>4310</v>
      </c>
      <c r="B2311" s="15" t="s">
        <v>4308</v>
      </c>
      <c r="C2311" s="54">
        <v>207.93368699999999</v>
      </c>
      <c r="D2311" s="26">
        <v>0.17083333333333331</v>
      </c>
      <c r="F2311" s="61" t="s">
        <v>6389</v>
      </c>
    </row>
    <row r="2312" spans="1:6" x14ac:dyDescent="0.25">
      <c r="A2312" s="15" t="s">
        <v>4310</v>
      </c>
      <c r="B2312" s="15" t="s">
        <v>4309</v>
      </c>
      <c r="C2312" s="52">
        <v>2.9260440000000001</v>
      </c>
      <c r="D2312" s="25">
        <v>9.7222222222222224E-3</v>
      </c>
      <c r="F2312" s="61" t="s">
        <v>6390</v>
      </c>
    </row>
    <row r="2313" spans="1:6" x14ac:dyDescent="0.25">
      <c r="A2313" s="15" t="s">
        <v>4310</v>
      </c>
      <c r="B2313" s="15" t="s">
        <v>4310</v>
      </c>
      <c r="C2313" s="54">
        <v>0</v>
      </c>
      <c r="D2313" s="26">
        <v>0</v>
      </c>
      <c r="F2313" s="61" t="s">
        <v>6391</v>
      </c>
    </row>
    <row r="2314" spans="1:6" x14ac:dyDescent="0.25">
      <c r="A2314" s="15" t="s">
        <v>4310</v>
      </c>
      <c r="B2314" s="15" t="s">
        <v>4311</v>
      </c>
      <c r="C2314" s="52">
        <v>19.323449</v>
      </c>
      <c r="D2314" s="25">
        <v>2.6388888888888889E-2</v>
      </c>
      <c r="F2314" s="61" t="s">
        <v>6392</v>
      </c>
    </row>
    <row r="2315" spans="1:6" x14ac:dyDescent="0.25">
      <c r="A2315" s="15" t="s">
        <v>4310</v>
      </c>
      <c r="B2315" s="15" t="s">
        <v>4312</v>
      </c>
      <c r="C2315" s="54">
        <v>17.49972</v>
      </c>
      <c r="D2315" s="26">
        <v>2.1527777777777781E-2</v>
      </c>
      <c r="F2315" s="61" t="s">
        <v>6393</v>
      </c>
    </row>
    <row r="2316" spans="1:6" x14ac:dyDescent="0.25">
      <c r="A2316" s="15" t="s">
        <v>4310</v>
      </c>
      <c r="B2316" s="15" t="s">
        <v>4313</v>
      </c>
      <c r="C2316" s="52">
        <v>4.8734260000000003</v>
      </c>
      <c r="D2316" s="25">
        <v>7.6388888888888886E-3</v>
      </c>
      <c r="F2316" s="61" t="s">
        <v>6394</v>
      </c>
    </row>
    <row r="2317" spans="1:6" x14ac:dyDescent="0.25">
      <c r="A2317" s="15" t="s">
        <v>4310</v>
      </c>
      <c r="B2317" s="15" t="s">
        <v>4314</v>
      </c>
      <c r="C2317" s="54">
        <v>154.813153</v>
      </c>
      <c r="D2317" s="26">
        <v>0.13680555555555554</v>
      </c>
      <c r="F2317" s="61" t="s">
        <v>6395</v>
      </c>
    </row>
    <row r="2318" spans="1:6" x14ac:dyDescent="0.25">
      <c r="A2318" s="15" t="s">
        <v>4310</v>
      </c>
      <c r="B2318" s="15" t="s">
        <v>4315</v>
      </c>
      <c r="C2318" s="52">
        <v>159.10621699999999</v>
      </c>
      <c r="D2318" s="25">
        <v>0.14583333333333334</v>
      </c>
      <c r="F2318" s="61" t="s">
        <v>6396</v>
      </c>
    </row>
    <row r="2319" spans="1:6" x14ac:dyDescent="0.25">
      <c r="A2319" s="15" t="s">
        <v>4310</v>
      </c>
      <c r="B2319" s="15" t="s">
        <v>4316</v>
      </c>
      <c r="C2319" s="54">
        <v>157.213516</v>
      </c>
      <c r="D2319" s="26">
        <v>0.14166666666666666</v>
      </c>
      <c r="F2319" s="61" t="s">
        <v>6397</v>
      </c>
    </row>
    <row r="2320" spans="1:6" x14ac:dyDescent="0.25">
      <c r="A2320" s="15" t="s">
        <v>4310</v>
      </c>
      <c r="B2320" s="15" t="s">
        <v>4317</v>
      </c>
      <c r="C2320" s="52">
        <v>271.28574400000002</v>
      </c>
      <c r="D2320" s="25">
        <v>0.22083333333333333</v>
      </c>
      <c r="F2320" s="61" t="s">
        <v>6398</v>
      </c>
    </row>
    <row r="2321" spans="1:6" x14ac:dyDescent="0.25">
      <c r="A2321" s="15" t="s">
        <v>4310</v>
      </c>
      <c r="B2321" s="15" t="s">
        <v>4318</v>
      </c>
      <c r="C2321" s="54">
        <v>280.39693299999999</v>
      </c>
      <c r="D2321" s="26">
        <v>0.22916666666666666</v>
      </c>
      <c r="F2321" s="61" t="s">
        <v>6399</v>
      </c>
    </row>
    <row r="2322" spans="1:6" x14ac:dyDescent="0.25">
      <c r="A2322" s="15" t="s">
        <v>4310</v>
      </c>
      <c r="B2322" s="15" t="s">
        <v>4319</v>
      </c>
      <c r="C2322" s="52">
        <v>274.03469699999999</v>
      </c>
      <c r="D2322" s="25">
        <v>0.22500000000000001</v>
      </c>
      <c r="F2322" s="61" t="s">
        <v>6400</v>
      </c>
    </row>
    <row r="2323" spans="1:6" x14ac:dyDescent="0.25">
      <c r="A2323" s="15" t="s">
        <v>4310</v>
      </c>
      <c r="B2323" s="15" t="s">
        <v>4320</v>
      </c>
      <c r="C2323" s="54">
        <v>290.93417199999999</v>
      </c>
      <c r="D2323" s="26">
        <v>0.2388888888888889</v>
      </c>
      <c r="F2323" s="61" t="s">
        <v>6401</v>
      </c>
    </row>
    <row r="2324" spans="1:6" x14ac:dyDescent="0.25">
      <c r="A2324" s="15" t="s">
        <v>4310</v>
      </c>
      <c r="B2324" s="15" t="s">
        <v>4321</v>
      </c>
      <c r="C2324" s="52">
        <v>284.58933500000001</v>
      </c>
      <c r="D2324" s="25">
        <v>0.23472222222222219</v>
      </c>
      <c r="F2324" s="61" t="s">
        <v>6402</v>
      </c>
    </row>
    <row r="2325" spans="1:6" x14ac:dyDescent="0.25">
      <c r="A2325" s="15" t="s">
        <v>4311</v>
      </c>
      <c r="B2325" s="15">
        <v>3423909</v>
      </c>
      <c r="C2325" s="54">
        <v>130.72688199999999</v>
      </c>
      <c r="D2325" s="26">
        <v>0.11527777777777777</v>
      </c>
      <c r="F2325" s="61" t="s">
        <v>7056</v>
      </c>
    </row>
    <row r="2326" spans="1:6" x14ac:dyDescent="0.25">
      <c r="A2326" s="15" t="s">
        <v>4311</v>
      </c>
      <c r="B2326" s="15">
        <v>3403208</v>
      </c>
      <c r="C2326" s="52">
        <v>220.81474399999999</v>
      </c>
      <c r="D2326" s="25">
        <v>0.18055555555555555</v>
      </c>
      <c r="F2326" s="61" t="s">
        <v>7161</v>
      </c>
    </row>
    <row r="2327" spans="1:6" x14ac:dyDescent="0.25">
      <c r="A2327" s="15" t="s">
        <v>4311</v>
      </c>
      <c r="B2327" s="15">
        <v>3424402</v>
      </c>
      <c r="C2327" s="54">
        <v>25.709917999999998</v>
      </c>
      <c r="D2327" s="26">
        <v>2.9166666666666664E-2</v>
      </c>
      <c r="F2327" s="61" t="s">
        <v>7268</v>
      </c>
    </row>
    <row r="2328" spans="1:6" x14ac:dyDescent="0.25">
      <c r="A2328" s="15" t="s">
        <v>4311</v>
      </c>
      <c r="B2328" s="15" t="s">
        <v>4271</v>
      </c>
      <c r="C2328" s="52">
        <v>111.793655</v>
      </c>
      <c r="D2328" s="25">
        <v>0.10069444444444443</v>
      </c>
      <c r="F2328" s="61" t="s">
        <v>6403</v>
      </c>
    </row>
    <row r="2329" spans="1:6" x14ac:dyDescent="0.25">
      <c r="A2329" s="15" t="s">
        <v>4311</v>
      </c>
      <c r="B2329" s="15" t="s">
        <v>4272</v>
      </c>
      <c r="C2329" s="54">
        <v>109.65364700000001</v>
      </c>
      <c r="D2329" s="26">
        <v>9.5833333333333326E-2</v>
      </c>
      <c r="F2329" s="61" t="s">
        <v>6404</v>
      </c>
    </row>
    <row r="2330" spans="1:6" x14ac:dyDescent="0.25">
      <c r="A2330" s="15" t="s">
        <v>4311</v>
      </c>
      <c r="B2330" s="15" t="s">
        <v>4273</v>
      </c>
      <c r="C2330" s="52">
        <v>109.720134</v>
      </c>
      <c r="D2330" s="25">
        <v>9.6527777777777768E-2</v>
      </c>
      <c r="F2330" s="61" t="s">
        <v>6405</v>
      </c>
    </row>
    <row r="2331" spans="1:6" x14ac:dyDescent="0.25">
      <c r="A2331" s="15" t="s">
        <v>4311</v>
      </c>
      <c r="B2331" s="15" t="s">
        <v>4274</v>
      </c>
      <c r="C2331" s="54">
        <v>113.56953799999999</v>
      </c>
      <c r="D2331" s="26">
        <v>9.7222222222222224E-2</v>
      </c>
      <c r="F2331" s="61" t="s">
        <v>6406</v>
      </c>
    </row>
    <row r="2332" spans="1:6" x14ac:dyDescent="0.25">
      <c r="A2332" s="15" t="s">
        <v>4311</v>
      </c>
      <c r="B2332" s="15" t="s">
        <v>4275</v>
      </c>
      <c r="C2332" s="52">
        <v>113.662744</v>
      </c>
      <c r="D2332" s="25">
        <v>9.7222222222222224E-2</v>
      </c>
      <c r="F2332" s="61" t="s">
        <v>6407</v>
      </c>
    </row>
    <row r="2333" spans="1:6" x14ac:dyDescent="0.25">
      <c r="A2333" s="15" t="s">
        <v>4311</v>
      </c>
      <c r="B2333" s="15" t="s">
        <v>4276</v>
      </c>
      <c r="C2333" s="54">
        <v>108.06541799999999</v>
      </c>
      <c r="D2333" s="26">
        <v>9.6527777777777768E-2</v>
      </c>
      <c r="F2333" s="61" t="s">
        <v>6408</v>
      </c>
    </row>
    <row r="2334" spans="1:6" x14ac:dyDescent="0.25">
      <c r="A2334" s="15" t="s">
        <v>4311</v>
      </c>
      <c r="B2334" s="15" t="s">
        <v>4277</v>
      </c>
      <c r="C2334" s="52">
        <v>112.715772</v>
      </c>
      <c r="D2334" s="25">
        <v>9.9999999999999992E-2</v>
      </c>
      <c r="F2334" s="61" t="s">
        <v>6409</v>
      </c>
    </row>
    <row r="2335" spans="1:6" x14ac:dyDescent="0.25">
      <c r="A2335" s="15" t="s">
        <v>4311</v>
      </c>
      <c r="B2335" s="15" t="s">
        <v>4278</v>
      </c>
      <c r="C2335" s="54">
        <v>107.452123</v>
      </c>
      <c r="D2335" s="26">
        <v>9.1666666666666674E-2</v>
      </c>
      <c r="F2335" s="61" t="s">
        <v>6410</v>
      </c>
    </row>
    <row r="2336" spans="1:6" x14ac:dyDescent="0.25">
      <c r="A2336" s="15" t="s">
        <v>4311</v>
      </c>
      <c r="B2336" s="15" t="s">
        <v>4279</v>
      </c>
      <c r="C2336" s="52">
        <v>131.033219</v>
      </c>
      <c r="D2336" s="25">
        <v>0.1125</v>
      </c>
      <c r="F2336" s="61" t="s">
        <v>6411</v>
      </c>
    </row>
    <row r="2337" spans="1:6" x14ac:dyDescent="0.25">
      <c r="A2337" s="15" t="s">
        <v>4311</v>
      </c>
      <c r="B2337" s="15" t="s">
        <v>4280</v>
      </c>
      <c r="C2337" s="54">
        <v>78.306635</v>
      </c>
      <c r="D2337" s="26">
        <v>7.7777777777777779E-2</v>
      </c>
      <c r="F2337" s="61" t="s">
        <v>6412</v>
      </c>
    </row>
    <row r="2338" spans="1:6" x14ac:dyDescent="0.25">
      <c r="A2338" s="15" t="s">
        <v>4311</v>
      </c>
      <c r="B2338" s="15" t="s">
        <v>4281</v>
      </c>
      <c r="C2338" s="52">
        <v>151.583258</v>
      </c>
      <c r="D2338" s="25">
        <v>0.12708333333333333</v>
      </c>
      <c r="F2338" s="61" t="s">
        <v>6413</v>
      </c>
    </row>
    <row r="2339" spans="1:6" x14ac:dyDescent="0.25">
      <c r="A2339" s="15" t="s">
        <v>4311</v>
      </c>
      <c r="B2339" s="15" t="s">
        <v>4282</v>
      </c>
      <c r="C2339" s="54">
        <v>30.514372000000002</v>
      </c>
      <c r="D2339" s="26">
        <v>3.3333333333333333E-2</v>
      </c>
      <c r="F2339" s="61" t="s">
        <v>6414</v>
      </c>
    </row>
    <row r="2340" spans="1:6" x14ac:dyDescent="0.25">
      <c r="A2340" s="15" t="s">
        <v>4311</v>
      </c>
      <c r="B2340" s="15" t="s">
        <v>4283</v>
      </c>
      <c r="C2340" s="52">
        <v>18.064547999999998</v>
      </c>
      <c r="D2340" s="25">
        <v>2.2222222222222223E-2</v>
      </c>
      <c r="F2340" s="61" t="s">
        <v>6415</v>
      </c>
    </row>
    <row r="2341" spans="1:6" x14ac:dyDescent="0.25">
      <c r="A2341" s="15" t="s">
        <v>4311</v>
      </c>
      <c r="B2341" s="15" t="s">
        <v>4284</v>
      </c>
      <c r="C2341" s="54">
        <v>20.278499</v>
      </c>
      <c r="D2341" s="26">
        <v>2.361111111111111E-2</v>
      </c>
      <c r="F2341" s="61" t="s">
        <v>6416</v>
      </c>
    </row>
    <row r="2342" spans="1:6" x14ac:dyDescent="0.25">
      <c r="A2342" s="15" t="s">
        <v>4311</v>
      </c>
      <c r="B2342" s="15" t="s">
        <v>4285</v>
      </c>
      <c r="C2342" s="52">
        <v>19.859694000000001</v>
      </c>
      <c r="D2342" s="25">
        <v>2.7083333333333334E-2</v>
      </c>
      <c r="F2342" s="61" t="s">
        <v>6417</v>
      </c>
    </row>
    <row r="2343" spans="1:6" x14ac:dyDescent="0.25">
      <c r="A2343" s="15" t="s">
        <v>4311</v>
      </c>
      <c r="B2343" s="15" t="s">
        <v>4286</v>
      </c>
      <c r="C2343" s="54">
        <v>20.392209999999999</v>
      </c>
      <c r="D2343" s="26">
        <v>2.6388888888888889E-2</v>
      </c>
      <c r="F2343" s="61" t="s">
        <v>6418</v>
      </c>
    </row>
    <row r="2344" spans="1:6" x14ac:dyDescent="0.25">
      <c r="A2344" s="15" t="s">
        <v>4311</v>
      </c>
      <c r="B2344" s="15" t="s">
        <v>4287</v>
      </c>
      <c r="C2344" s="52">
        <v>18.488323999999999</v>
      </c>
      <c r="D2344" s="25">
        <v>2.0833333333333332E-2</v>
      </c>
      <c r="F2344" s="61" t="s">
        <v>6419</v>
      </c>
    </row>
    <row r="2345" spans="1:6" x14ac:dyDescent="0.25">
      <c r="A2345" s="15" t="s">
        <v>4311</v>
      </c>
      <c r="B2345" s="15" t="s">
        <v>4288</v>
      </c>
      <c r="C2345" s="54">
        <v>12.087564</v>
      </c>
      <c r="D2345" s="26">
        <v>1.9444444444444445E-2</v>
      </c>
      <c r="F2345" s="61" t="s">
        <v>6420</v>
      </c>
    </row>
    <row r="2346" spans="1:6" x14ac:dyDescent="0.25">
      <c r="A2346" s="15" t="s">
        <v>4311</v>
      </c>
      <c r="B2346" s="15" t="s">
        <v>4289</v>
      </c>
      <c r="C2346" s="52">
        <v>73.479190000000003</v>
      </c>
      <c r="D2346" s="25">
        <v>6.8749999999999992E-2</v>
      </c>
      <c r="F2346" s="61" t="s">
        <v>6421</v>
      </c>
    </row>
    <row r="2347" spans="1:6" x14ac:dyDescent="0.25">
      <c r="A2347" s="15" t="s">
        <v>4311</v>
      </c>
      <c r="B2347" s="15" t="s">
        <v>4290</v>
      </c>
      <c r="C2347" s="54">
        <v>81.031976</v>
      </c>
      <c r="D2347" s="26">
        <v>7.7777777777777779E-2</v>
      </c>
      <c r="F2347" s="61" t="s">
        <v>6422</v>
      </c>
    </row>
    <row r="2348" spans="1:6" x14ac:dyDescent="0.25">
      <c r="A2348" s="15" t="s">
        <v>4311</v>
      </c>
      <c r="B2348" s="15" t="s">
        <v>4291</v>
      </c>
      <c r="C2348" s="52">
        <v>80.638647000000006</v>
      </c>
      <c r="D2348" s="25">
        <v>7.8472222222222221E-2</v>
      </c>
      <c r="F2348" s="61" t="s">
        <v>6423</v>
      </c>
    </row>
    <row r="2349" spans="1:6" x14ac:dyDescent="0.25">
      <c r="A2349" s="15" t="s">
        <v>4311</v>
      </c>
      <c r="B2349" s="15" t="s">
        <v>4292</v>
      </c>
      <c r="C2349" s="54">
        <v>77.349100000000007</v>
      </c>
      <c r="D2349" s="26">
        <v>7.4999999999999997E-2</v>
      </c>
      <c r="F2349" s="61" t="s">
        <v>6424</v>
      </c>
    </row>
    <row r="2350" spans="1:6" x14ac:dyDescent="0.25">
      <c r="A2350" s="15" t="s">
        <v>4311</v>
      </c>
      <c r="B2350" s="15" t="s">
        <v>4293</v>
      </c>
      <c r="C2350" s="52">
        <v>80.680278999999999</v>
      </c>
      <c r="D2350" s="25">
        <v>8.6805555555555566E-2</v>
      </c>
      <c r="F2350" s="61" t="s">
        <v>6425</v>
      </c>
    </row>
    <row r="2351" spans="1:6" x14ac:dyDescent="0.25">
      <c r="A2351" s="15" t="s">
        <v>4311</v>
      </c>
      <c r="B2351" s="15" t="s">
        <v>4294</v>
      </c>
      <c r="C2351" s="54">
        <v>80.632433000000006</v>
      </c>
      <c r="D2351" s="26">
        <v>8.7500000000000008E-2</v>
      </c>
      <c r="F2351" s="61" t="s">
        <v>6426</v>
      </c>
    </row>
    <row r="2352" spans="1:6" x14ac:dyDescent="0.25">
      <c r="A2352" s="15" t="s">
        <v>4311</v>
      </c>
      <c r="B2352" s="15" t="s">
        <v>4295</v>
      </c>
      <c r="C2352" s="52">
        <v>83.055786999999995</v>
      </c>
      <c r="D2352" s="25">
        <v>9.3055555555555558E-2</v>
      </c>
      <c r="F2352" s="61" t="s">
        <v>6427</v>
      </c>
    </row>
    <row r="2353" spans="1:6" x14ac:dyDescent="0.25">
      <c r="A2353" s="15" t="s">
        <v>4311</v>
      </c>
      <c r="B2353" s="15" t="s">
        <v>4296</v>
      </c>
      <c r="C2353" s="54">
        <v>89.744864000000007</v>
      </c>
      <c r="D2353" s="26">
        <v>8.6805555555555566E-2</v>
      </c>
      <c r="F2353" s="61" t="s">
        <v>6428</v>
      </c>
    </row>
    <row r="2354" spans="1:6" x14ac:dyDescent="0.25">
      <c r="A2354" s="15" t="s">
        <v>4311</v>
      </c>
      <c r="B2354" s="15" t="s">
        <v>4297</v>
      </c>
      <c r="C2354" s="52">
        <v>82.541911999999996</v>
      </c>
      <c r="D2354" s="25">
        <v>8.9583333333333334E-2</v>
      </c>
      <c r="F2354" s="61" t="s">
        <v>6429</v>
      </c>
    </row>
    <row r="2355" spans="1:6" x14ac:dyDescent="0.25">
      <c r="A2355" s="15" t="s">
        <v>4311</v>
      </c>
      <c r="B2355" s="15" t="s">
        <v>4298</v>
      </c>
      <c r="C2355" s="54">
        <v>82.246759999999995</v>
      </c>
      <c r="D2355" s="26">
        <v>8.4722222222222213E-2</v>
      </c>
      <c r="F2355" s="61" t="s">
        <v>6430</v>
      </c>
    </row>
    <row r="2356" spans="1:6" x14ac:dyDescent="0.25">
      <c r="A2356" s="15" t="s">
        <v>4311</v>
      </c>
      <c r="B2356" s="15" t="s">
        <v>4299</v>
      </c>
      <c r="C2356" s="52">
        <v>79.831484000000003</v>
      </c>
      <c r="D2356" s="25">
        <v>7.9861111111111105E-2</v>
      </c>
      <c r="F2356" s="61" t="s">
        <v>6431</v>
      </c>
    </row>
    <row r="2357" spans="1:6" x14ac:dyDescent="0.25">
      <c r="A2357" s="15" t="s">
        <v>4311</v>
      </c>
      <c r="B2357" s="15" t="s">
        <v>4300</v>
      </c>
      <c r="C2357" s="54">
        <v>80.893410000000003</v>
      </c>
      <c r="D2357" s="26">
        <v>7.3611111111111113E-2</v>
      </c>
      <c r="F2357" s="61" t="s">
        <v>6432</v>
      </c>
    </row>
    <row r="2358" spans="1:6" x14ac:dyDescent="0.25">
      <c r="A2358" s="15" t="s">
        <v>4311</v>
      </c>
      <c r="B2358" s="15" t="s">
        <v>4301</v>
      </c>
      <c r="C2358" s="52">
        <v>83.747375000000005</v>
      </c>
      <c r="D2358" s="25">
        <v>8.3333333333333329E-2</v>
      </c>
      <c r="F2358" s="61" t="s">
        <v>6433</v>
      </c>
    </row>
    <row r="2359" spans="1:6" x14ac:dyDescent="0.25">
      <c r="A2359" s="15" t="s">
        <v>4311</v>
      </c>
      <c r="B2359" s="15" t="s">
        <v>4302</v>
      </c>
      <c r="C2359" s="54">
        <v>78.778256999999996</v>
      </c>
      <c r="D2359" s="26">
        <v>7.6388888888888895E-2</v>
      </c>
      <c r="F2359" s="61" t="s">
        <v>6434</v>
      </c>
    </row>
    <row r="2360" spans="1:6" x14ac:dyDescent="0.25">
      <c r="A2360" s="15" t="s">
        <v>4311</v>
      </c>
      <c r="B2360" s="15" t="s">
        <v>4303</v>
      </c>
      <c r="C2360" s="52">
        <v>68.844370999999995</v>
      </c>
      <c r="D2360" s="25">
        <v>6.5277777777777782E-2</v>
      </c>
      <c r="F2360" s="61" t="s">
        <v>6435</v>
      </c>
    </row>
    <row r="2361" spans="1:6" x14ac:dyDescent="0.25">
      <c r="A2361" s="15" t="s">
        <v>4311</v>
      </c>
      <c r="B2361" s="15" t="s">
        <v>4304</v>
      </c>
      <c r="C2361" s="54">
        <v>88.454894999999993</v>
      </c>
      <c r="D2361" s="26">
        <v>8.819444444444445E-2</v>
      </c>
      <c r="F2361" s="61" t="s">
        <v>6436</v>
      </c>
    </row>
    <row r="2362" spans="1:6" x14ac:dyDescent="0.25">
      <c r="A2362" s="15" t="s">
        <v>4311</v>
      </c>
      <c r="B2362" s="15" t="s">
        <v>4305</v>
      </c>
      <c r="C2362" s="52">
        <v>89.050791000000004</v>
      </c>
      <c r="D2362" s="25">
        <v>8.7500000000000008E-2</v>
      </c>
      <c r="F2362" s="61" t="s">
        <v>6437</v>
      </c>
    </row>
    <row r="2363" spans="1:6" x14ac:dyDescent="0.25">
      <c r="A2363" s="15" t="s">
        <v>4311</v>
      </c>
      <c r="B2363" s="15" t="s">
        <v>4306</v>
      </c>
      <c r="C2363" s="54">
        <v>197.750631</v>
      </c>
      <c r="D2363" s="26">
        <v>0.16527777777777777</v>
      </c>
      <c r="F2363" s="61" t="s">
        <v>6438</v>
      </c>
    </row>
    <row r="2364" spans="1:6" x14ac:dyDescent="0.25">
      <c r="A2364" s="15" t="s">
        <v>4311</v>
      </c>
      <c r="B2364" s="15" t="s">
        <v>4307</v>
      </c>
      <c r="C2364" s="52">
        <v>196.653908</v>
      </c>
      <c r="D2364" s="25">
        <v>0.16388888888888889</v>
      </c>
      <c r="F2364" s="61" t="s">
        <v>6439</v>
      </c>
    </row>
    <row r="2365" spans="1:6" x14ac:dyDescent="0.25">
      <c r="A2365" s="15" t="s">
        <v>4311</v>
      </c>
      <c r="B2365" s="15" t="s">
        <v>4308</v>
      </c>
      <c r="C2365" s="54">
        <v>194.87740299999999</v>
      </c>
      <c r="D2365" s="26">
        <v>0.16111111111111112</v>
      </c>
      <c r="F2365" s="61" t="s">
        <v>6440</v>
      </c>
    </row>
    <row r="2366" spans="1:6" x14ac:dyDescent="0.25">
      <c r="A2366" s="15" t="s">
        <v>4311</v>
      </c>
      <c r="B2366" s="15" t="s">
        <v>4309</v>
      </c>
      <c r="C2366" s="52">
        <v>15.022307</v>
      </c>
      <c r="D2366" s="25">
        <v>2.361111111111111E-2</v>
      </c>
      <c r="F2366" s="61" t="s">
        <v>6441</v>
      </c>
    </row>
    <row r="2367" spans="1:6" x14ac:dyDescent="0.25">
      <c r="A2367" s="15" t="s">
        <v>4311</v>
      </c>
      <c r="B2367" s="15" t="s">
        <v>4310</v>
      </c>
      <c r="C2367" s="54">
        <v>16.583817</v>
      </c>
      <c r="D2367" s="26">
        <v>2.7083333333333334E-2</v>
      </c>
      <c r="F2367" s="61" t="s">
        <v>6442</v>
      </c>
    </row>
    <row r="2368" spans="1:6" x14ac:dyDescent="0.25">
      <c r="A2368" s="15" t="s">
        <v>4311</v>
      </c>
      <c r="B2368" s="15" t="s">
        <v>4311</v>
      </c>
      <c r="C2368" s="52">
        <v>0</v>
      </c>
      <c r="D2368" s="25">
        <v>0</v>
      </c>
      <c r="F2368" s="61" t="s">
        <v>6443</v>
      </c>
    </row>
    <row r="2369" spans="1:6" x14ac:dyDescent="0.25">
      <c r="A2369" s="15" t="s">
        <v>4311</v>
      </c>
      <c r="B2369" s="15" t="s">
        <v>4312</v>
      </c>
      <c r="C2369" s="54">
        <v>3.9221050000000002</v>
      </c>
      <c r="D2369" s="26">
        <v>1.1111111111111112E-2</v>
      </c>
      <c r="F2369" s="61" t="s">
        <v>6444</v>
      </c>
    </row>
    <row r="2370" spans="1:6" x14ac:dyDescent="0.25">
      <c r="A2370" s="15" t="s">
        <v>4311</v>
      </c>
      <c r="B2370" s="15" t="s">
        <v>4313</v>
      </c>
      <c r="C2370" s="52">
        <v>21.263995999999999</v>
      </c>
      <c r="D2370" s="25">
        <v>2.9166666666666664E-2</v>
      </c>
      <c r="F2370" s="61" t="s">
        <v>6445</v>
      </c>
    </row>
    <row r="2371" spans="1:6" x14ac:dyDescent="0.25">
      <c r="A2371" s="15" t="s">
        <v>4311</v>
      </c>
      <c r="B2371" s="15" t="s">
        <v>4314</v>
      </c>
      <c r="C2371" s="54">
        <v>141.75686899999999</v>
      </c>
      <c r="D2371" s="26">
        <v>0.12708333333333333</v>
      </c>
      <c r="F2371" s="61" t="s">
        <v>6446</v>
      </c>
    </row>
    <row r="2372" spans="1:6" x14ac:dyDescent="0.25">
      <c r="A2372" s="15" t="s">
        <v>4311</v>
      </c>
      <c r="B2372" s="15" t="s">
        <v>4315</v>
      </c>
      <c r="C2372" s="52">
        <v>146.04993400000001</v>
      </c>
      <c r="D2372" s="25">
        <v>0.1361111111111111</v>
      </c>
      <c r="F2372" s="61" t="s">
        <v>6447</v>
      </c>
    </row>
    <row r="2373" spans="1:6" x14ac:dyDescent="0.25">
      <c r="A2373" s="15" t="s">
        <v>4311</v>
      </c>
      <c r="B2373" s="15" t="s">
        <v>4316</v>
      </c>
      <c r="C2373" s="54">
        <v>130.47895399999999</v>
      </c>
      <c r="D2373" s="26">
        <v>0.12083333333333333</v>
      </c>
      <c r="F2373" s="61" t="s">
        <v>6448</v>
      </c>
    </row>
    <row r="2374" spans="1:6" x14ac:dyDescent="0.25">
      <c r="A2374" s="15" t="s">
        <v>4311</v>
      </c>
      <c r="B2374" s="15" t="s">
        <v>4317</v>
      </c>
      <c r="C2374" s="52">
        <v>258.22946100000001</v>
      </c>
      <c r="D2374" s="25">
        <v>0.21180555555555555</v>
      </c>
      <c r="F2374" s="61" t="s">
        <v>6449</v>
      </c>
    </row>
    <row r="2375" spans="1:6" x14ac:dyDescent="0.25">
      <c r="A2375" s="15" t="s">
        <v>4311</v>
      </c>
      <c r="B2375" s="15" t="s">
        <v>4318</v>
      </c>
      <c r="C2375" s="54">
        <v>253.31813</v>
      </c>
      <c r="D2375" s="26">
        <v>0.2076388888888889</v>
      </c>
      <c r="F2375" s="61" t="s">
        <v>6450</v>
      </c>
    </row>
    <row r="2376" spans="1:6" x14ac:dyDescent="0.25">
      <c r="A2376" s="15" t="s">
        <v>4311</v>
      </c>
      <c r="B2376" s="15" t="s">
        <v>4319</v>
      </c>
      <c r="C2376" s="52">
        <v>246.955895</v>
      </c>
      <c r="D2376" s="25">
        <v>0.20347222222222219</v>
      </c>
      <c r="F2376" s="61" t="s">
        <v>6451</v>
      </c>
    </row>
    <row r="2377" spans="1:6" x14ac:dyDescent="0.25">
      <c r="A2377" s="15" t="s">
        <v>4311</v>
      </c>
      <c r="B2377" s="15" t="s">
        <v>4320</v>
      </c>
      <c r="C2377" s="54">
        <v>277.87788799999998</v>
      </c>
      <c r="D2377" s="26">
        <v>0.22916666666666666</v>
      </c>
      <c r="F2377" s="61" t="s">
        <v>6452</v>
      </c>
    </row>
    <row r="2378" spans="1:6" x14ac:dyDescent="0.25">
      <c r="A2378" s="15" t="s">
        <v>4311</v>
      </c>
      <c r="B2378" s="15" t="s">
        <v>4321</v>
      </c>
      <c r="C2378" s="52">
        <v>271.533051</v>
      </c>
      <c r="D2378" s="25">
        <v>0.22500000000000001</v>
      </c>
      <c r="F2378" s="61" t="s">
        <v>6453</v>
      </c>
    </row>
    <row r="2379" spans="1:6" x14ac:dyDescent="0.25">
      <c r="A2379" s="15" t="s">
        <v>4312</v>
      </c>
      <c r="B2379" s="15">
        <v>3423909</v>
      </c>
      <c r="C2379" s="54">
        <v>128.69499300000001</v>
      </c>
      <c r="D2379" s="26">
        <v>0.11041666666666666</v>
      </c>
      <c r="F2379" s="61" t="s">
        <v>7057</v>
      </c>
    </row>
    <row r="2380" spans="1:6" x14ac:dyDescent="0.25">
      <c r="A2380" s="15" t="s">
        <v>4312</v>
      </c>
      <c r="B2380" s="15">
        <v>3403208</v>
      </c>
      <c r="C2380" s="52">
        <v>218.78285500000001</v>
      </c>
      <c r="D2380" s="25">
        <v>0.17569444444444446</v>
      </c>
      <c r="F2380" s="61" t="s">
        <v>7162</v>
      </c>
    </row>
    <row r="2381" spans="1:6" x14ac:dyDescent="0.25">
      <c r="A2381" s="15" t="s">
        <v>4312</v>
      </c>
      <c r="B2381" s="15">
        <v>3424402</v>
      </c>
      <c r="C2381" s="54">
        <v>23.67803</v>
      </c>
      <c r="D2381" s="26">
        <v>2.4305555555555556E-2</v>
      </c>
      <c r="F2381" s="61" t="s">
        <v>7269</v>
      </c>
    </row>
    <row r="2382" spans="1:6" x14ac:dyDescent="0.25">
      <c r="A2382" s="15" t="s">
        <v>4312</v>
      </c>
      <c r="B2382" s="15" t="s">
        <v>4271</v>
      </c>
      <c r="C2382" s="52">
        <v>109.76176599999999</v>
      </c>
      <c r="D2382" s="25">
        <v>9.6527777777777768E-2</v>
      </c>
      <c r="F2382" s="61" t="s">
        <v>6454</v>
      </c>
    </row>
    <row r="2383" spans="1:6" x14ac:dyDescent="0.25">
      <c r="A2383" s="15" t="s">
        <v>4312</v>
      </c>
      <c r="B2383" s="15" t="s">
        <v>4272</v>
      </c>
      <c r="C2383" s="54">
        <v>107.621758</v>
      </c>
      <c r="D2383" s="26">
        <v>9.1666666666666674E-2</v>
      </c>
      <c r="F2383" s="61" t="s">
        <v>6455</v>
      </c>
    </row>
    <row r="2384" spans="1:6" x14ac:dyDescent="0.25">
      <c r="A2384" s="15" t="s">
        <v>4312</v>
      </c>
      <c r="B2384" s="15" t="s">
        <v>4273</v>
      </c>
      <c r="C2384" s="52">
        <v>107.68824499999999</v>
      </c>
      <c r="D2384" s="25">
        <v>9.2361111111111116E-2</v>
      </c>
      <c r="F2384" s="61" t="s">
        <v>6456</v>
      </c>
    </row>
    <row r="2385" spans="1:6" x14ac:dyDescent="0.25">
      <c r="A2385" s="15" t="s">
        <v>4312</v>
      </c>
      <c r="B2385" s="15" t="s">
        <v>4274</v>
      </c>
      <c r="C2385" s="54">
        <v>111.537649</v>
      </c>
      <c r="D2385" s="26">
        <v>9.2361111111111116E-2</v>
      </c>
      <c r="F2385" s="61" t="s">
        <v>6457</v>
      </c>
    </row>
    <row r="2386" spans="1:6" x14ac:dyDescent="0.25">
      <c r="A2386" s="15" t="s">
        <v>4312</v>
      </c>
      <c r="B2386" s="15" t="s">
        <v>4275</v>
      </c>
      <c r="C2386" s="52">
        <v>111.630855</v>
      </c>
      <c r="D2386" s="25">
        <v>9.3055555555555558E-2</v>
      </c>
      <c r="F2386" s="61" t="s">
        <v>6458</v>
      </c>
    </row>
    <row r="2387" spans="1:6" x14ac:dyDescent="0.25">
      <c r="A2387" s="15" t="s">
        <v>4312</v>
      </c>
      <c r="B2387" s="15" t="s">
        <v>4276</v>
      </c>
      <c r="C2387" s="54">
        <v>106.033529</v>
      </c>
      <c r="D2387" s="26">
        <v>9.1666666666666674E-2</v>
      </c>
      <c r="F2387" s="61" t="s">
        <v>6459</v>
      </c>
    </row>
    <row r="2388" spans="1:6" x14ac:dyDescent="0.25">
      <c r="A2388" s="15" t="s">
        <v>4312</v>
      </c>
      <c r="B2388" s="15" t="s">
        <v>4277</v>
      </c>
      <c r="C2388" s="52">
        <v>110.68388299999999</v>
      </c>
      <c r="D2388" s="25">
        <v>9.5833333333333326E-2</v>
      </c>
      <c r="F2388" s="61" t="s">
        <v>6460</v>
      </c>
    </row>
    <row r="2389" spans="1:6" x14ac:dyDescent="0.25">
      <c r="A2389" s="15" t="s">
        <v>4312</v>
      </c>
      <c r="B2389" s="15" t="s">
        <v>4278</v>
      </c>
      <c r="C2389" s="54">
        <v>105.42023399999999</v>
      </c>
      <c r="D2389" s="26">
        <v>8.7500000000000008E-2</v>
      </c>
      <c r="F2389" s="61" t="s">
        <v>6461</v>
      </c>
    </row>
    <row r="2390" spans="1:6" x14ac:dyDescent="0.25">
      <c r="A2390" s="15" t="s">
        <v>4312</v>
      </c>
      <c r="B2390" s="15" t="s">
        <v>4279</v>
      </c>
      <c r="C2390" s="52">
        <v>129.00133</v>
      </c>
      <c r="D2390" s="25">
        <v>0.10833333333333334</v>
      </c>
      <c r="F2390" s="61" t="s">
        <v>6462</v>
      </c>
    </row>
    <row r="2391" spans="1:6" x14ac:dyDescent="0.25">
      <c r="A2391" s="15" t="s">
        <v>4312</v>
      </c>
      <c r="B2391" s="15" t="s">
        <v>4280</v>
      </c>
      <c r="C2391" s="54">
        <v>76.274745999999993</v>
      </c>
      <c r="D2391" s="26">
        <v>7.3611111111111113E-2</v>
      </c>
      <c r="F2391" s="61" t="s">
        <v>6463</v>
      </c>
    </row>
    <row r="2392" spans="1:6" x14ac:dyDescent="0.25">
      <c r="A2392" s="15" t="s">
        <v>4312</v>
      </c>
      <c r="B2392" s="15" t="s">
        <v>4281</v>
      </c>
      <c r="C2392" s="52">
        <v>149.55136899999999</v>
      </c>
      <c r="D2392" s="25">
        <v>0.12222222222222223</v>
      </c>
      <c r="F2392" s="61" t="s">
        <v>6464</v>
      </c>
    </row>
    <row r="2393" spans="1:6" x14ac:dyDescent="0.25">
      <c r="A2393" s="15" t="s">
        <v>4312</v>
      </c>
      <c r="B2393" s="15" t="s">
        <v>4282</v>
      </c>
      <c r="C2393" s="54">
        <v>28.482483999999999</v>
      </c>
      <c r="D2393" s="26">
        <v>2.9166666666666664E-2</v>
      </c>
      <c r="F2393" s="61" t="s">
        <v>6465</v>
      </c>
    </row>
    <row r="2394" spans="1:6" x14ac:dyDescent="0.25">
      <c r="A2394" s="15" t="s">
        <v>4312</v>
      </c>
      <c r="B2394" s="15" t="s">
        <v>4283</v>
      </c>
      <c r="C2394" s="52">
        <v>16.032658999999999</v>
      </c>
      <c r="D2394" s="25">
        <v>1.7361111111111112E-2</v>
      </c>
      <c r="F2394" s="61" t="s">
        <v>6466</v>
      </c>
    </row>
    <row r="2395" spans="1:6" x14ac:dyDescent="0.25">
      <c r="A2395" s="15" t="s">
        <v>4312</v>
      </c>
      <c r="B2395" s="15" t="s">
        <v>4284</v>
      </c>
      <c r="C2395" s="54">
        <v>18.24661</v>
      </c>
      <c r="D2395" s="26">
        <v>1.9444444444444445E-2</v>
      </c>
      <c r="F2395" s="61" t="s">
        <v>6467</v>
      </c>
    </row>
    <row r="2396" spans="1:6" x14ac:dyDescent="0.25">
      <c r="A2396" s="15" t="s">
        <v>4312</v>
      </c>
      <c r="B2396" s="15" t="s">
        <v>4285</v>
      </c>
      <c r="C2396" s="52">
        <v>17.827805000000001</v>
      </c>
      <c r="D2396" s="25">
        <v>2.2222222222222223E-2</v>
      </c>
      <c r="F2396" s="61" t="s">
        <v>6468</v>
      </c>
    </row>
    <row r="2397" spans="1:6" x14ac:dyDescent="0.25">
      <c r="A2397" s="15" t="s">
        <v>4312</v>
      </c>
      <c r="B2397" s="15" t="s">
        <v>4286</v>
      </c>
      <c r="C2397" s="54">
        <v>18.360322</v>
      </c>
      <c r="D2397" s="26">
        <v>2.1527777777777781E-2</v>
      </c>
      <c r="F2397" s="61" t="s">
        <v>6469</v>
      </c>
    </row>
    <row r="2398" spans="1:6" x14ac:dyDescent="0.25">
      <c r="A2398" s="15" t="s">
        <v>4312</v>
      </c>
      <c r="B2398" s="15" t="s">
        <v>4287</v>
      </c>
      <c r="C2398" s="52">
        <v>16.456436</v>
      </c>
      <c r="D2398" s="25">
        <v>1.6666666666666666E-2</v>
      </c>
      <c r="F2398" s="61" t="s">
        <v>6470</v>
      </c>
    </row>
    <row r="2399" spans="1:6" x14ac:dyDescent="0.25">
      <c r="A2399" s="15" t="s">
        <v>4312</v>
      </c>
      <c r="B2399" s="15" t="s">
        <v>4288</v>
      </c>
      <c r="C2399" s="54">
        <v>10.055675000000001</v>
      </c>
      <c r="D2399" s="26">
        <v>1.4583333333333332E-2</v>
      </c>
      <c r="F2399" s="61" t="s">
        <v>6471</v>
      </c>
    </row>
    <row r="2400" spans="1:6" x14ac:dyDescent="0.25">
      <c r="A2400" s="15" t="s">
        <v>4312</v>
      </c>
      <c r="B2400" s="15" t="s">
        <v>4289</v>
      </c>
      <c r="C2400" s="52">
        <v>71.447300999999996</v>
      </c>
      <c r="D2400" s="25">
        <v>6.3888888888888884E-2</v>
      </c>
      <c r="F2400" s="61" t="s">
        <v>6472</v>
      </c>
    </row>
    <row r="2401" spans="1:6" x14ac:dyDescent="0.25">
      <c r="A2401" s="15" t="s">
        <v>4312</v>
      </c>
      <c r="B2401" s="15" t="s">
        <v>4290</v>
      </c>
      <c r="C2401" s="54">
        <v>79.000086999999994</v>
      </c>
      <c r="D2401" s="26">
        <v>7.3611111111111113E-2</v>
      </c>
      <c r="F2401" s="61" t="s">
        <v>6473</v>
      </c>
    </row>
    <row r="2402" spans="1:6" x14ac:dyDescent="0.25">
      <c r="A2402" s="15" t="s">
        <v>4312</v>
      </c>
      <c r="B2402" s="15" t="s">
        <v>4291</v>
      </c>
      <c r="C2402" s="52">
        <v>78.606757999999999</v>
      </c>
      <c r="D2402" s="25">
        <v>7.3611111111111113E-2</v>
      </c>
      <c r="F2402" s="61" t="s">
        <v>6474</v>
      </c>
    </row>
    <row r="2403" spans="1:6" x14ac:dyDescent="0.25">
      <c r="A2403" s="15" t="s">
        <v>4312</v>
      </c>
      <c r="B2403" s="15" t="s">
        <v>4292</v>
      </c>
      <c r="C2403" s="54">
        <v>75.317211</v>
      </c>
      <c r="D2403" s="26">
        <v>7.0833333333333331E-2</v>
      </c>
      <c r="F2403" s="61" t="s">
        <v>6475</v>
      </c>
    </row>
    <row r="2404" spans="1:6" x14ac:dyDescent="0.25">
      <c r="A2404" s="15" t="s">
        <v>4312</v>
      </c>
      <c r="B2404" s="15" t="s">
        <v>4293</v>
      </c>
      <c r="C2404" s="52">
        <v>78.648390000000006</v>
      </c>
      <c r="D2404" s="25">
        <v>8.1944444444444445E-2</v>
      </c>
      <c r="F2404" s="61" t="s">
        <v>6476</v>
      </c>
    </row>
    <row r="2405" spans="1:6" x14ac:dyDescent="0.25">
      <c r="A2405" s="15" t="s">
        <v>4312</v>
      </c>
      <c r="B2405" s="15" t="s">
        <v>4294</v>
      </c>
      <c r="C2405" s="54">
        <v>78.600543999999999</v>
      </c>
      <c r="D2405" s="26">
        <v>8.2638888888888887E-2</v>
      </c>
      <c r="F2405" s="61" t="s">
        <v>6477</v>
      </c>
    </row>
    <row r="2406" spans="1:6" x14ac:dyDescent="0.25">
      <c r="A2406" s="15" t="s">
        <v>4312</v>
      </c>
      <c r="B2406" s="15" t="s">
        <v>4295</v>
      </c>
      <c r="C2406" s="52">
        <v>81.023898000000003</v>
      </c>
      <c r="D2406" s="25">
        <v>8.819444444444445E-2</v>
      </c>
      <c r="F2406" s="61" t="s">
        <v>6478</v>
      </c>
    </row>
    <row r="2407" spans="1:6" x14ac:dyDescent="0.25">
      <c r="A2407" s="15" t="s">
        <v>4312</v>
      </c>
      <c r="B2407" s="15" t="s">
        <v>4296</v>
      </c>
      <c r="C2407" s="54">
        <v>87.712975999999998</v>
      </c>
      <c r="D2407" s="26">
        <v>8.1944444444444445E-2</v>
      </c>
      <c r="F2407" s="61" t="s">
        <v>6479</v>
      </c>
    </row>
    <row r="2408" spans="1:6" x14ac:dyDescent="0.25">
      <c r="A2408" s="15" t="s">
        <v>4312</v>
      </c>
      <c r="B2408" s="15" t="s">
        <v>4297</v>
      </c>
      <c r="C2408" s="52">
        <v>80.510023000000004</v>
      </c>
      <c r="D2408" s="25">
        <v>8.4722222222222213E-2</v>
      </c>
      <c r="F2408" s="61" t="s">
        <v>6480</v>
      </c>
    </row>
    <row r="2409" spans="1:6" x14ac:dyDescent="0.25">
      <c r="A2409" s="15" t="s">
        <v>4312</v>
      </c>
      <c r="B2409" s="15" t="s">
        <v>4298</v>
      </c>
      <c r="C2409" s="54">
        <v>80.214871000000002</v>
      </c>
      <c r="D2409" s="26">
        <v>8.0555555555555561E-2</v>
      </c>
      <c r="F2409" s="61" t="s">
        <v>6481</v>
      </c>
    </row>
    <row r="2410" spans="1:6" x14ac:dyDescent="0.25">
      <c r="A2410" s="15" t="s">
        <v>4312</v>
      </c>
      <c r="B2410" s="15" t="s">
        <v>4299</v>
      </c>
      <c r="C2410" s="52">
        <v>77.799594999999997</v>
      </c>
      <c r="D2410" s="25">
        <v>7.5694444444444439E-2</v>
      </c>
      <c r="F2410" s="61" t="s">
        <v>6482</v>
      </c>
    </row>
    <row r="2411" spans="1:6" x14ac:dyDescent="0.25">
      <c r="A2411" s="15" t="s">
        <v>4312</v>
      </c>
      <c r="B2411" s="15" t="s">
        <v>4300</v>
      </c>
      <c r="C2411" s="54">
        <v>78.989524000000003</v>
      </c>
      <c r="D2411" s="26">
        <v>6.805555555555555E-2</v>
      </c>
      <c r="F2411" s="61" t="s">
        <v>6483</v>
      </c>
    </row>
    <row r="2412" spans="1:6" x14ac:dyDescent="0.25">
      <c r="A2412" s="15" t="s">
        <v>4312</v>
      </c>
      <c r="B2412" s="15" t="s">
        <v>4301</v>
      </c>
      <c r="C2412" s="52">
        <v>81.715485999999999</v>
      </c>
      <c r="D2412" s="25">
        <v>7.8472222222222221E-2</v>
      </c>
      <c r="F2412" s="61" t="s">
        <v>6484</v>
      </c>
    </row>
    <row r="2413" spans="1:6" x14ac:dyDescent="0.25">
      <c r="A2413" s="15" t="s">
        <v>4312</v>
      </c>
      <c r="B2413" s="15" t="s">
        <v>4302</v>
      </c>
      <c r="C2413" s="54">
        <v>76.746368000000004</v>
      </c>
      <c r="D2413" s="26">
        <v>7.1527777777777787E-2</v>
      </c>
      <c r="F2413" s="61" t="s">
        <v>6485</v>
      </c>
    </row>
    <row r="2414" spans="1:6" x14ac:dyDescent="0.25">
      <c r="A2414" s="15" t="s">
        <v>4312</v>
      </c>
      <c r="B2414" s="15" t="s">
        <v>4303</v>
      </c>
      <c r="C2414" s="52">
        <v>66.812482000000003</v>
      </c>
      <c r="D2414" s="25">
        <v>6.1111111111111116E-2</v>
      </c>
      <c r="F2414" s="61" t="s">
        <v>6486</v>
      </c>
    </row>
    <row r="2415" spans="1:6" x14ac:dyDescent="0.25">
      <c r="A2415" s="15" t="s">
        <v>4312</v>
      </c>
      <c r="B2415" s="15" t="s">
        <v>4304</v>
      </c>
      <c r="C2415" s="54">
        <v>86.423006000000001</v>
      </c>
      <c r="D2415" s="26">
        <v>8.3333333333333329E-2</v>
      </c>
      <c r="F2415" s="61" t="s">
        <v>6487</v>
      </c>
    </row>
    <row r="2416" spans="1:6" x14ac:dyDescent="0.25">
      <c r="A2416" s="15" t="s">
        <v>4312</v>
      </c>
      <c r="B2416" s="15" t="s">
        <v>4305</v>
      </c>
      <c r="C2416" s="52">
        <v>87.018901999999997</v>
      </c>
      <c r="D2416" s="25">
        <v>8.2638888888888887E-2</v>
      </c>
      <c r="F2416" s="61" t="s">
        <v>6488</v>
      </c>
    </row>
    <row r="2417" spans="1:6" x14ac:dyDescent="0.25">
      <c r="A2417" s="15" t="s">
        <v>4312</v>
      </c>
      <c r="B2417" s="15" t="s">
        <v>4306</v>
      </c>
      <c r="C2417" s="54">
        <v>195.71874199999999</v>
      </c>
      <c r="D2417" s="26">
        <v>0.16041666666666668</v>
      </c>
      <c r="F2417" s="61" t="s">
        <v>6489</v>
      </c>
    </row>
    <row r="2418" spans="1:6" x14ac:dyDescent="0.25">
      <c r="A2418" s="15" t="s">
        <v>4312</v>
      </c>
      <c r="B2418" s="15" t="s">
        <v>4307</v>
      </c>
      <c r="C2418" s="52">
        <v>194.62201899999999</v>
      </c>
      <c r="D2418" s="25">
        <v>0.15902777777777777</v>
      </c>
      <c r="F2418" s="61" t="s">
        <v>6490</v>
      </c>
    </row>
    <row r="2419" spans="1:6" x14ac:dyDescent="0.25">
      <c r="A2419" s="15" t="s">
        <v>4312</v>
      </c>
      <c r="B2419" s="15" t="s">
        <v>4308</v>
      </c>
      <c r="C2419" s="54">
        <v>192.84551400000001</v>
      </c>
      <c r="D2419" s="26">
        <v>0.15694444444444444</v>
      </c>
      <c r="F2419" s="61" t="s">
        <v>6491</v>
      </c>
    </row>
    <row r="2420" spans="1:6" x14ac:dyDescent="0.25">
      <c r="A2420" s="15" t="s">
        <v>4312</v>
      </c>
      <c r="B2420" s="15" t="s">
        <v>4309</v>
      </c>
      <c r="C2420" s="52">
        <v>14.093976</v>
      </c>
      <c r="D2420" s="25">
        <v>1.9444444444444445E-2</v>
      </c>
      <c r="F2420" s="61" t="s">
        <v>6492</v>
      </c>
    </row>
    <row r="2421" spans="1:6" x14ac:dyDescent="0.25">
      <c r="A2421" s="15" t="s">
        <v>4312</v>
      </c>
      <c r="B2421" s="15" t="s">
        <v>4310</v>
      </c>
      <c r="C2421" s="54">
        <v>15.655486</v>
      </c>
      <c r="D2421" s="26">
        <v>2.2916666666666669E-2</v>
      </c>
      <c r="F2421" s="61" t="s">
        <v>6493</v>
      </c>
    </row>
    <row r="2422" spans="1:6" x14ac:dyDescent="0.25">
      <c r="A2422" s="15" t="s">
        <v>4312</v>
      </c>
      <c r="B2422" s="15" t="s">
        <v>4311</v>
      </c>
      <c r="C2422" s="52">
        <v>5.0828290000000003</v>
      </c>
      <c r="D2422" s="25">
        <v>1.2499999999999999E-2</v>
      </c>
      <c r="F2422" s="61" t="s">
        <v>6494</v>
      </c>
    </row>
    <row r="2423" spans="1:6" x14ac:dyDescent="0.25">
      <c r="A2423" s="15" t="s">
        <v>4312</v>
      </c>
      <c r="B2423" s="15" t="s">
        <v>4312</v>
      </c>
      <c r="C2423" s="54">
        <v>0</v>
      </c>
      <c r="D2423" s="26">
        <v>0</v>
      </c>
      <c r="F2423" s="61" t="s">
        <v>6495</v>
      </c>
    </row>
    <row r="2424" spans="1:6" x14ac:dyDescent="0.25">
      <c r="A2424" s="15" t="s">
        <v>4312</v>
      </c>
      <c r="B2424" s="15" t="s">
        <v>4313</v>
      </c>
      <c r="C2424" s="52">
        <v>20.335666</v>
      </c>
      <c r="D2424" s="25">
        <v>2.4999999999999998E-2</v>
      </c>
      <c r="F2424" s="61" t="s">
        <v>6496</v>
      </c>
    </row>
    <row r="2425" spans="1:6" x14ac:dyDescent="0.25">
      <c r="A2425" s="15" t="s">
        <v>4312</v>
      </c>
      <c r="B2425" s="15" t="s">
        <v>4314</v>
      </c>
      <c r="C2425" s="54">
        <v>139.72497999999999</v>
      </c>
      <c r="D2425" s="26">
        <v>0.12222222222222223</v>
      </c>
      <c r="F2425" s="61" t="s">
        <v>6497</v>
      </c>
    </row>
    <row r="2426" spans="1:6" x14ac:dyDescent="0.25">
      <c r="A2426" s="15" t="s">
        <v>4312</v>
      </c>
      <c r="B2426" s="15" t="s">
        <v>4315</v>
      </c>
      <c r="C2426" s="52">
        <v>144.018045</v>
      </c>
      <c r="D2426" s="25">
        <v>0.13125000000000001</v>
      </c>
      <c r="F2426" s="61" t="s">
        <v>6498</v>
      </c>
    </row>
    <row r="2427" spans="1:6" x14ac:dyDescent="0.25">
      <c r="A2427" s="15" t="s">
        <v>4312</v>
      </c>
      <c r="B2427" s="15" t="s">
        <v>4316</v>
      </c>
      <c r="C2427" s="54">
        <v>128.45514299999999</v>
      </c>
      <c r="D2427" s="26">
        <v>0.11666666666666665</v>
      </c>
      <c r="F2427" s="61" t="s">
        <v>6499</v>
      </c>
    </row>
    <row r="2428" spans="1:6" x14ac:dyDescent="0.25">
      <c r="A2428" s="15" t="s">
        <v>4312</v>
      </c>
      <c r="B2428" s="15" t="s">
        <v>4317</v>
      </c>
      <c r="C2428" s="52">
        <v>256.19757199999998</v>
      </c>
      <c r="D2428" s="25">
        <v>0.20694444444444446</v>
      </c>
      <c r="F2428" s="61" t="s">
        <v>6500</v>
      </c>
    </row>
    <row r="2429" spans="1:6" x14ac:dyDescent="0.25">
      <c r="A2429" s="15" t="s">
        <v>4312</v>
      </c>
      <c r="B2429" s="15" t="s">
        <v>4318</v>
      </c>
      <c r="C2429" s="54">
        <v>251.28624199999999</v>
      </c>
      <c r="D2429" s="26">
        <v>0.20277777777777781</v>
      </c>
      <c r="F2429" s="61" t="s">
        <v>6501</v>
      </c>
    </row>
    <row r="2430" spans="1:6" x14ac:dyDescent="0.25">
      <c r="A2430" s="15" t="s">
        <v>4312</v>
      </c>
      <c r="B2430" s="15" t="s">
        <v>4319</v>
      </c>
      <c r="C2430" s="52">
        <v>244.92400599999999</v>
      </c>
      <c r="D2430" s="25">
        <v>0.1986111111111111</v>
      </c>
      <c r="F2430" s="61" t="s">
        <v>6502</v>
      </c>
    </row>
    <row r="2431" spans="1:6" x14ac:dyDescent="0.25">
      <c r="A2431" s="15" t="s">
        <v>4312</v>
      </c>
      <c r="B2431" s="15" t="s">
        <v>4320</v>
      </c>
      <c r="C2431" s="54">
        <v>275.84599900000001</v>
      </c>
      <c r="D2431" s="26">
        <v>0.22500000000000001</v>
      </c>
      <c r="F2431" s="61" t="s">
        <v>6503</v>
      </c>
    </row>
    <row r="2432" spans="1:6" x14ac:dyDescent="0.25">
      <c r="A2432" s="15" t="s">
        <v>4312</v>
      </c>
      <c r="B2432" s="15" t="s">
        <v>4321</v>
      </c>
      <c r="C2432" s="52">
        <v>269.50116200000002</v>
      </c>
      <c r="D2432" s="25">
        <v>0.22083333333333333</v>
      </c>
      <c r="F2432" s="61" t="s">
        <v>6504</v>
      </c>
    </row>
    <row r="2433" spans="1:6" x14ac:dyDescent="0.25">
      <c r="A2433" s="15" t="s">
        <v>4313</v>
      </c>
      <c r="B2433" s="15">
        <v>3423909</v>
      </c>
      <c r="C2433" s="54">
        <v>150.32746299999999</v>
      </c>
      <c r="D2433" s="26">
        <v>0.12847222222222224</v>
      </c>
      <c r="F2433" s="61" t="s">
        <v>7058</v>
      </c>
    </row>
    <row r="2434" spans="1:6" x14ac:dyDescent="0.25">
      <c r="A2434" s="15" t="s">
        <v>4313</v>
      </c>
      <c r="B2434" s="15">
        <v>3403208</v>
      </c>
      <c r="C2434" s="52">
        <v>240.41532599999999</v>
      </c>
      <c r="D2434" s="25">
        <v>0.19375000000000001</v>
      </c>
      <c r="F2434" s="61" t="s">
        <v>7163</v>
      </c>
    </row>
    <row r="2435" spans="1:6" x14ac:dyDescent="0.25">
      <c r="A2435" s="15" t="s">
        <v>4313</v>
      </c>
      <c r="B2435" s="15">
        <v>3424402</v>
      </c>
      <c r="C2435" s="54">
        <v>41.719586999999997</v>
      </c>
      <c r="D2435" s="26">
        <v>3.9583333333333331E-2</v>
      </c>
      <c r="F2435" s="61" t="s">
        <v>7270</v>
      </c>
    </row>
    <row r="2436" spans="1:6" x14ac:dyDescent="0.25">
      <c r="A2436" s="15" t="s">
        <v>4313</v>
      </c>
      <c r="B2436" s="15" t="s">
        <v>4271</v>
      </c>
      <c r="C2436" s="52">
        <v>131.39423600000001</v>
      </c>
      <c r="D2436" s="25">
        <v>0.11458333333333333</v>
      </c>
      <c r="F2436" s="61" t="s">
        <v>6505</v>
      </c>
    </row>
    <row r="2437" spans="1:6" x14ac:dyDescent="0.25">
      <c r="A2437" s="15" t="s">
        <v>4313</v>
      </c>
      <c r="B2437" s="15" t="s">
        <v>4272</v>
      </c>
      <c r="C2437" s="54">
        <v>129.25422800000001</v>
      </c>
      <c r="D2437" s="26">
        <v>0.10972222222222222</v>
      </c>
      <c r="F2437" s="61" t="s">
        <v>6506</v>
      </c>
    </row>
    <row r="2438" spans="1:6" x14ac:dyDescent="0.25">
      <c r="A2438" s="15" t="s">
        <v>4313</v>
      </c>
      <c r="B2438" s="15" t="s">
        <v>4273</v>
      </c>
      <c r="C2438" s="52">
        <v>129.32071500000001</v>
      </c>
      <c r="D2438" s="25">
        <v>0.11041666666666666</v>
      </c>
      <c r="F2438" s="61" t="s">
        <v>6507</v>
      </c>
    </row>
    <row r="2439" spans="1:6" x14ac:dyDescent="0.25">
      <c r="A2439" s="15" t="s">
        <v>4313</v>
      </c>
      <c r="B2439" s="15" t="s">
        <v>4274</v>
      </c>
      <c r="C2439" s="54">
        <v>133.170119</v>
      </c>
      <c r="D2439" s="26">
        <v>0.1111111111111111</v>
      </c>
      <c r="F2439" s="61" t="s">
        <v>6508</v>
      </c>
    </row>
    <row r="2440" spans="1:6" x14ac:dyDescent="0.25">
      <c r="A2440" s="15" t="s">
        <v>4313</v>
      </c>
      <c r="B2440" s="15" t="s">
        <v>4275</v>
      </c>
      <c r="C2440" s="52">
        <v>133.26332500000001</v>
      </c>
      <c r="D2440" s="25">
        <v>0.1111111111111111</v>
      </c>
      <c r="F2440" s="61" t="s">
        <v>6509</v>
      </c>
    </row>
    <row r="2441" spans="1:6" x14ac:dyDescent="0.25">
      <c r="A2441" s="15" t="s">
        <v>4313</v>
      </c>
      <c r="B2441" s="15" t="s">
        <v>4276</v>
      </c>
      <c r="C2441" s="54">
        <v>133.585196</v>
      </c>
      <c r="D2441" s="26">
        <v>0.11666666666666665</v>
      </c>
      <c r="F2441" s="61" t="s">
        <v>6510</v>
      </c>
    </row>
    <row r="2442" spans="1:6" x14ac:dyDescent="0.25">
      <c r="A2442" s="15" t="s">
        <v>4313</v>
      </c>
      <c r="B2442" s="15" t="s">
        <v>4277</v>
      </c>
      <c r="C2442" s="52">
        <v>132.31635299999999</v>
      </c>
      <c r="D2442" s="25">
        <v>0.11388888888888889</v>
      </c>
      <c r="F2442" s="61" t="s">
        <v>6511</v>
      </c>
    </row>
    <row r="2443" spans="1:6" x14ac:dyDescent="0.25">
      <c r="A2443" s="15" t="s">
        <v>4313</v>
      </c>
      <c r="B2443" s="15" t="s">
        <v>4278</v>
      </c>
      <c r="C2443" s="54">
        <v>127.052705</v>
      </c>
      <c r="D2443" s="26">
        <v>0.10555555555555556</v>
      </c>
      <c r="F2443" s="61" t="s">
        <v>6512</v>
      </c>
    </row>
    <row r="2444" spans="1:6" x14ac:dyDescent="0.25">
      <c r="A2444" s="15" t="s">
        <v>4313</v>
      </c>
      <c r="B2444" s="15" t="s">
        <v>4279</v>
      </c>
      <c r="C2444" s="52">
        <v>150.63380000000001</v>
      </c>
      <c r="D2444" s="25">
        <v>0.12638888888888888</v>
      </c>
      <c r="F2444" s="61" t="s">
        <v>6513</v>
      </c>
    </row>
    <row r="2445" spans="1:6" x14ac:dyDescent="0.25">
      <c r="A2445" s="15" t="s">
        <v>4313</v>
      </c>
      <c r="B2445" s="15" t="s">
        <v>4280</v>
      </c>
      <c r="C2445" s="54">
        <v>97.907217000000003</v>
      </c>
      <c r="D2445" s="26">
        <v>9.1666666666666674E-2</v>
      </c>
      <c r="F2445" s="61" t="s">
        <v>6514</v>
      </c>
    </row>
    <row r="2446" spans="1:6" x14ac:dyDescent="0.25">
      <c r="A2446" s="15" t="s">
        <v>4313</v>
      </c>
      <c r="B2446" s="15" t="s">
        <v>4281</v>
      </c>
      <c r="C2446" s="52">
        <v>171.18383900000001</v>
      </c>
      <c r="D2446" s="25">
        <v>0.14027777777777778</v>
      </c>
      <c r="F2446" s="61" t="s">
        <v>6515</v>
      </c>
    </row>
    <row r="2447" spans="1:6" x14ac:dyDescent="0.25">
      <c r="A2447" s="15" t="s">
        <v>4313</v>
      </c>
      <c r="B2447" s="15" t="s">
        <v>4282</v>
      </c>
      <c r="C2447" s="54">
        <v>46.524040999999997</v>
      </c>
      <c r="D2447" s="26">
        <v>4.3750000000000004E-2</v>
      </c>
      <c r="F2447" s="61" t="s">
        <v>6516</v>
      </c>
    </row>
    <row r="2448" spans="1:6" x14ac:dyDescent="0.25">
      <c r="A2448" s="15" t="s">
        <v>4313</v>
      </c>
      <c r="B2448" s="15" t="s">
        <v>4283</v>
      </c>
      <c r="C2448" s="52">
        <v>34.074216999999997</v>
      </c>
      <c r="D2448" s="25">
        <v>3.1944444444444449E-2</v>
      </c>
      <c r="F2448" s="61" t="s">
        <v>6517</v>
      </c>
    </row>
    <row r="2449" spans="1:6" x14ac:dyDescent="0.25">
      <c r="A2449" s="15" t="s">
        <v>4313</v>
      </c>
      <c r="B2449" s="15" t="s">
        <v>4284</v>
      </c>
      <c r="C2449" s="54">
        <v>36.288167999999999</v>
      </c>
      <c r="D2449" s="26">
        <v>3.4027777777777775E-2</v>
      </c>
      <c r="F2449" s="61" t="s">
        <v>6518</v>
      </c>
    </row>
    <row r="2450" spans="1:6" x14ac:dyDescent="0.25">
      <c r="A2450" s="15" t="s">
        <v>4313</v>
      </c>
      <c r="B2450" s="15" t="s">
        <v>4285</v>
      </c>
      <c r="C2450" s="52">
        <v>35.869363</v>
      </c>
      <c r="D2450" s="25">
        <v>3.7499999999999999E-2</v>
      </c>
      <c r="F2450" s="61" t="s">
        <v>6519</v>
      </c>
    </row>
    <row r="2451" spans="1:6" x14ac:dyDescent="0.25">
      <c r="A2451" s="15" t="s">
        <v>4313</v>
      </c>
      <c r="B2451" s="15" t="s">
        <v>4286</v>
      </c>
      <c r="C2451" s="54">
        <v>36.401879000000001</v>
      </c>
      <c r="D2451" s="26">
        <v>3.6805555555555557E-2</v>
      </c>
      <c r="F2451" s="61" t="s">
        <v>6520</v>
      </c>
    </row>
    <row r="2452" spans="1:6" x14ac:dyDescent="0.25">
      <c r="A2452" s="15" t="s">
        <v>4313</v>
      </c>
      <c r="B2452" s="15" t="s">
        <v>4287</v>
      </c>
      <c r="C2452" s="52">
        <v>34.497993000000001</v>
      </c>
      <c r="D2452" s="25">
        <v>3.1944444444444449E-2</v>
      </c>
      <c r="F2452" s="61" t="s">
        <v>6521</v>
      </c>
    </row>
    <row r="2453" spans="1:6" x14ac:dyDescent="0.25">
      <c r="A2453" s="15" t="s">
        <v>4313</v>
      </c>
      <c r="B2453" s="15" t="s">
        <v>4288</v>
      </c>
      <c r="C2453" s="54">
        <v>28.097232000000002</v>
      </c>
      <c r="D2453" s="26">
        <v>2.9861111111111113E-2</v>
      </c>
      <c r="F2453" s="61" t="s">
        <v>6522</v>
      </c>
    </row>
    <row r="2454" spans="1:6" x14ac:dyDescent="0.25">
      <c r="A2454" s="15" t="s">
        <v>4313</v>
      </c>
      <c r="B2454" s="15" t="s">
        <v>4289</v>
      </c>
      <c r="C2454" s="52">
        <v>93.079772000000006</v>
      </c>
      <c r="D2454" s="25">
        <v>8.1944444444444445E-2</v>
      </c>
      <c r="F2454" s="61" t="s">
        <v>6523</v>
      </c>
    </row>
    <row r="2455" spans="1:6" x14ac:dyDescent="0.25">
      <c r="A2455" s="15" t="s">
        <v>4313</v>
      </c>
      <c r="B2455" s="15" t="s">
        <v>4290</v>
      </c>
      <c r="C2455" s="54">
        <v>100.63255700000001</v>
      </c>
      <c r="D2455" s="26">
        <v>9.1666666666666674E-2</v>
      </c>
      <c r="F2455" s="61" t="s">
        <v>6524</v>
      </c>
    </row>
    <row r="2456" spans="1:6" x14ac:dyDescent="0.25">
      <c r="A2456" s="15" t="s">
        <v>4313</v>
      </c>
      <c r="B2456" s="15" t="s">
        <v>4291</v>
      </c>
      <c r="C2456" s="52">
        <v>100.23922899999999</v>
      </c>
      <c r="D2456" s="25">
        <v>9.1666666666666674E-2</v>
      </c>
      <c r="F2456" s="61" t="s">
        <v>6525</v>
      </c>
    </row>
    <row r="2457" spans="1:6" x14ac:dyDescent="0.25">
      <c r="A2457" s="15" t="s">
        <v>4313</v>
      </c>
      <c r="B2457" s="15" t="s">
        <v>4292</v>
      </c>
      <c r="C2457" s="54">
        <v>96.949680999999998</v>
      </c>
      <c r="D2457" s="26">
        <v>8.8888888888888892E-2</v>
      </c>
      <c r="F2457" s="61" t="s">
        <v>6526</v>
      </c>
    </row>
    <row r="2458" spans="1:6" x14ac:dyDescent="0.25">
      <c r="A2458" s="15" t="s">
        <v>4313</v>
      </c>
      <c r="B2458" s="15" t="s">
        <v>4293</v>
      </c>
      <c r="C2458" s="52">
        <v>100.28086</v>
      </c>
      <c r="D2458" s="25">
        <v>9.9999999999999992E-2</v>
      </c>
      <c r="F2458" s="61" t="s">
        <v>6527</v>
      </c>
    </row>
    <row r="2459" spans="1:6" x14ac:dyDescent="0.25">
      <c r="A2459" s="15" t="s">
        <v>4313</v>
      </c>
      <c r="B2459" s="15" t="s">
        <v>4294</v>
      </c>
      <c r="C2459" s="54">
        <v>100.23301499999999</v>
      </c>
      <c r="D2459" s="26">
        <v>0.10069444444444443</v>
      </c>
      <c r="F2459" s="61" t="s">
        <v>6528</v>
      </c>
    </row>
    <row r="2460" spans="1:6" x14ac:dyDescent="0.25">
      <c r="A2460" s="15" t="s">
        <v>4313</v>
      </c>
      <c r="B2460" s="15" t="s">
        <v>4295</v>
      </c>
      <c r="C2460" s="52">
        <v>102.656368</v>
      </c>
      <c r="D2460" s="25">
        <v>0.10625</v>
      </c>
      <c r="F2460" s="61" t="s">
        <v>6529</v>
      </c>
    </row>
    <row r="2461" spans="1:6" x14ac:dyDescent="0.25">
      <c r="A2461" s="15" t="s">
        <v>4313</v>
      </c>
      <c r="B2461" s="15" t="s">
        <v>4296</v>
      </c>
      <c r="C2461" s="54">
        <v>109.345446</v>
      </c>
      <c r="D2461" s="26">
        <v>9.9999999999999992E-2</v>
      </c>
      <c r="F2461" s="61" t="s">
        <v>6530</v>
      </c>
    </row>
    <row r="2462" spans="1:6" x14ac:dyDescent="0.25">
      <c r="A2462" s="15" t="s">
        <v>4313</v>
      </c>
      <c r="B2462" s="15" t="s">
        <v>4297</v>
      </c>
      <c r="C2462" s="52">
        <v>102.142493</v>
      </c>
      <c r="D2462" s="25">
        <v>0.10277777777777779</v>
      </c>
      <c r="F2462" s="61" t="s">
        <v>6531</v>
      </c>
    </row>
    <row r="2463" spans="1:6" x14ac:dyDescent="0.25">
      <c r="A2463" s="15" t="s">
        <v>4313</v>
      </c>
      <c r="B2463" s="15" t="s">
        <v>4298</v>
      </c>
      <c r="C2463" s="54">
        <v>101.847341</v>
      </c>
      <c r="D2463" s="26">
        <v>9.8611111111111108E-2</v>
      </c>
      <c r="F2463" s="61" t="s">
        <v>6532</v>
      </c>
    </row>
    <row r="2464" spans="1:6" x14ac:dyDescent="0.25">
      <c r="A2464" s="15" t="s">
        <v>4313</v>
      </c>
      <c r="B2464" s="15" t="s">
        <v>4299</v>
      </c>
      <c r="C2464" s="52">
        <v>99.432064999999994</v>
      </c>
      <c r="D2464" s="25">
        <v>9.375E-2</v>
      </c>
      <c r="F2464" s="61" t="s">
        <v>6533</v>
      </c>
    </row>
    <row r="2465" spans="1:6" x14ac:dyDescent="0.25">
      <c r="A2465" s="15" t="s">
        <v>4313</v>
      </c>
      <c r="B2465" s="15" t="s">
        <v>4300</v>
      </c>
      <c r="C2465" s="54">
        <v>100.49399099999999</v>
      </c>
      <c r="D2465" s="26">
        <v>8.7500000000000008E-2</v>
      </c>
      <c r="F2465" s="61" t="s">
        <v>6534</v>
      </c>
    </row>
    <row r="2466" spans="1:6" x14ac:dyDescent="0.25">
      <c r="A2466" s="15" t="s">
        <v>4313</v>
      </c>
      <c r="B2466" s="15" t="s">
        <v>4301</v>
      </c>
      <c r="C2466" s="52">
        <v>114.496005</v>
      </c>
      <c r="D2466" s="25">
        <v>0.10625</v>
      </c>
      <c r="F2466" s="61" t="s">
        <v>6535</v>
      </c>
    </row>
    <row r="2467" spans="1:6" x14ac:dyDescent="0.25">
      <c r="A2467" s="15" t="s">
        <v>4313</v>
      </c>
      <c r="B2467" s="15" t="s">
        <v>4302</v>
      </c>
      <c r="C2467" s="54">
        <v>98.378838999999999</v>
      </c>
      <c r="D2467" s="26">
        <v>8.9583333333333334E-2</v>
      </c>
      <c r="F2467" s="61" t="s">
        <v>6536</v>
      </c>
    </row>
    <row r="2468" spans="1:6" x14ac:dyDescent="0.25">
      <c r="A2468" s="15" t="s">
        <v>4313</v>
      </c>
      <c r="B2468" s="15" t="s">
        <v>4303</v>
      </c>
      <c r="C2468" s="52">
        <v>88.444952999999998</v>
      </c>
      <c r="D2468" s="25">
        <v>7.9166666666666663E-2</v>
      </c>
      <c r="F2468" s="61" t="s">
        <v>6537</v>
      </c>
    </row>
    <row r="2469" spans="1:6" x14ac:dyDescent="0.25">
      <c r="A2469" s="15" t="s">
        <v>4313</v>
      </c>
      <c r="B2469" s="15" t="s">
        <v>4304</v>
      </c>
      <c r="C2469" s="54">
        <v>108.055476</v>
      </c>
      <c r="D2469" s="26">
        <v>0.1013888888888889</v>
      </c>
      <c r="F2469" s="61" t="s">
        <v>6538</v>
      </c>
    </row>
    <row r="2470" spans="1:6" x14ac:dyDescent="0.25">
      <c r="A2470" s="15" t="s">
        <v>4313</v>
      </c>
      <c r="B2470" s="15" t="s">
        <v>4305</v>
      </c>
      <c r="C2470" s="52">
        <v>108.65137300000001</v>
      </c>
      <c r="D2470" s="25">
        <v>0.10069444444444443</v>
      </c>
      <c r="F2470" s="61" t="s">
        <v>6539</v>
      </c>
    </row>
    <row r="2471" spans="1:6" x14ac:dyDescent="0.25">
      <c r="A2471" s="15" t="s">
        <v>4313</v>
      </c>
      <c r="B2471" s="15" t="s">
        <v>4306</v>
      </c>
      <c r="C2471" s="54">
        <v>217.351212</v>
      </c>
      <c r="D2471" s="26">
        <v>0.17847222222222223</v>
      </c>
      <c r="F2471" s="61" t="s">
        <v>6540</v>
      </c>
    </row>
    <row r="2472" spans="1:6" x14ac:dyDescent="0.25">
      <c r="A2472" s="15" t="s">
        <v>4313</v>
      </c>
      <c r="B2472" s="15" t="s">
        <v>4307</v>
      </c>
      <c r="C2472" s="52">
        <v>216.25448900000001</v>
      </c>
      <c r="D2472" s="25">
        <v>0.17708333333333334</v>
      </c>
      <c r="F2472" s="61" t="s">
        <v>6541</v>
      </c>
    </row>
    <row r="2473" spans="1:6" x14ac:dyDescent="0.25">
      <c r="A2473" s="15" t="s">
        <v>4313</v>
      </c>
      <c r="B2473" s="15" t="s">
        <v>4308</v>
      </c>
      <c r="C2473" s="54">
        <v>214.47798499999999</v>
      </c>
      <c r="D2473" s="26">
        <v>0.17500000000000002</v>
      </c>
      <c r="F2473" s="61" t="s">
        <v>6542</v>
      </c>
    </row>
    <row r="2474" spans="1:6" x14ac:dyDescent="0.25">
      <c r="A2474" s="15" t="s">
        <v>4313</v>
      </c>
      <c r="B2474" s="15" t="s">
        <v>4309</v>
      </c>
      <c r="C2474" s="52">
        <v>7.8578799999999998</v>
      </c>
      <c r="D2474" s="25">
        <v>1.5277777777777777E-2</v>
      </c>
      <c r="F2474" s="61" t="s">
        <v>6543</v>
      </c>
    </row>
    <row r="2475" spans="1:6" x14ac:dyDescent="0.25">
      <c r="A2475" s="15" t="s">
        <v>4313</v>
      </c>
      <c r="B2475" s="15" t="s">
        <v>4310</v>
      </c>
      <c r="C2475" s="54">
        <v>5.8694870000000003</v>
      </c>
      <c r="D2475" s="26">
        <v>1.0416666666666666E-2</v>
      </c>
      <c r="F2475" s="61" t="s">
        <v>6544</v>
      </c>
    </row>
    <row r="2476" spans="1:6" x14ac:dyDescent="0.25">
      <c r="A2476" s="15" t="s">
        <v>4313</v>
      </c>
      <c r="B2476" s="15" t="s">
        <v>4311</v>
      </c>
      <c r="C2476" s="52">
        <v>22.276834000000001</v>
      </c>
      <c r="D2476" s="25">
        <v>2.7083333333333334E-2</v>
      </c>
      <c r="F2476" s="61" t="s">
        <v>6545</v>
      </c>
    </row>
    <row r="2477" spans="1:6" x14ac:dyDescent="0.25">
      <c r="A2477" s="15" t="s">
        <v>4313</v>
      </c>
      <c r="B2477" s="15" t="s">
        <v>4312</v>
      </c>
      <c r="C2477" s="54">
        <v>20.453105000000001</v>
      </c>
      <c r="D2477" s="26">
        <v>2.2222222222222223E-2</v>
      </c>
      <c r="F2477" s="61" t="s">
        <v>6546</v>
      </c>
    </row>
    <row r="2478" spans="1:6" x14ac:dyDescent="0.25">
      <c r="A2478" s="15" t="s">
        <v>4313</v>
      </c>
      <c r="B2478" s="15" t="s">
        <v>4313</v>
      </c>
      <c r="C2478" s="52">
        <v>0</v>
      </c>
      <c r="D2478" s="25">
        <v>0</v>
      </c>
      <c r="F2478" s="61" t="s">
        <v>6547</v>
      </c>
    </row>
    <row r="2479" spans="1:6" x14ac:dyDescent="0.25">
      <c r="A2479" s="15" t="s">
        <v>4313</v>
      </c>
      <c r="B2479" s="15" t="s">
        <v>4314</v>
      </c>
      <c r="C2479" s="54">
        <v>161.357451</v>
      </c>
      <c r="D2479" s="26">
        <v>0.14027777777777778</v>
      </c>
      <c r="F2479" s="61" t="s">
        <v>6548</v>
      </c>
    </row>
    <row r="2480" spans="1:6" x14ac:dyDescent="0.25">
      <c r="A2480" s="15" t="s">
        <v>4313</v>
      </c>
      <c r="B2480" s="15" t="s">
        <v>4315</v>
      </c>
      <c r="C2480" s="52">
        <v>165.65051500000001</v>
      </c>
      <c r="D2480" s="25">
        <v>0.14930555555555555</v>
      </c>
      <c r="F2480" s="61" t="s">
        <v>6549</v>
      </c>
    </row>
    <row r="2481" spans="1:6" x14ac:dyDescent="0.25">
      <c r="A2481" s="15" t="s">
        <v>4313</v>
      </c>
      <c r="B2481" s="15" t="s">
        <v>4316</v>
      </c>
      <c r="C2481" s="54">
        <v>163.757814</v>
      </c>
      <c r="D2481" s="26">
        <v>0.14583333333333334</v>
      </c>
      <c r="F2481" s="61" t="s">
        <v>6550</v>
      </c>
    </row>
    <row r="2482" spans="1:6" x14ac:dyDescent="0.25">
      <c r="A2482" s="15" t="s">
        <v>4313</v>
      </c>
      <c r="B2482" s="15" t="s">
        <v>4317</v>
      </c>
      <c r="C2482" s="52">
        <v>277.83004199999999</v>
      </c>
      <c r="D2482" s="25">
        <v>0.22500000000000001</v>
      </c>
      <c r="F2482" s="61" t="s">
        <v>6551</v>
      </c>
    </row>
    <row r="2483" spans="1:6" x14ac:dyDescent="0.25">
      <c r="A2483" s="15" t="s">
        <v>4313</v>
      </c>
      <c r="B2483" s="15" t="s">
        <v>4318</v>
      </c>
      <c r="C2483" s="54">
        <v>286.94123100000002</v>
      </c>
      <c r="D2483" s="26">
        <v>0.23333333333333331</v>
      </c>
      <c r="F2483" s="61" t="s">
        <v>6552</v>
      </c>
    </row>
    <row r="2484" spans="1:6" x14ac:dyDescent="0.25">
      <c r="A2484" s="15" t="s">
        <v>4313</v>
      </c>
      <c r="B2484" s="15" t="s">
        <v>4319</v>
      </c>
      <c r="C2484" s="52">
        <v>280.57899500000002</v>
      </c>
      <c r="D2484" s="25">
        <v>0.22916666666666666</v>
      </c>
      <c r="F2484" s="61" t="s">
        <v>6553</v>
      </c>
    </row>
    <row r="2485" spans="1:6" x14ac:dyDescent="0.25">
      <c r="A2485" s="15" t="s">
        <v>4313</v>
      </c>
      <c r="B2485" s="15" t="s">
        <v>4320</v>
      </c>
      <c r="C2485" s="54">
        <v>297.47846900000002</v>
      </c>
      <c r="D2485" s="26">
        <v>0.24305555555555555</v>
      </c>
      <c r="F2485" s="61" t="s">
        <v>6554</v>
      </c>
    </row>
    <row r="2486" spans="1:6" x14ac:dyDescent="0.25">
      <c r="A2486" s="15" t="s">
        <v>4313</v>
      </c>
      <c r="B2486" s="15" t="s">
        <v>4321</v>
      </c>
      <c r="C2486" s="52">
        <v>291.13363199999998</v>
      </c>
      <c r="D2486" s="25">
        <v>0.2388888888888889</v>
      </c>
      <c r="F2486" s="61" t="s">
        <v>6555</v>
      </c>
    </row>
    <row r="2487" spans="1:6" x14ac:dyDescent="0.25">
      <c r="A2487" s="15" t="s">
        <v>4314</v>
      </c>
      <c r="B2487" s="15">
        <v>3423909</v>
      </c>
      <c r="C2487" s="54">
        <v>26.515217</v>
      </c>
      <c r="D2487" s="26">
        <v>2.7777777777777776E-2</v>
      </c>
      <c r="F2487" s="61" t="s">
        <v>7059</v>
      </c>
    </row>
    <row r="2488" spans="1:6" x14ac:dyDescent="0.25">
      <c r="A2488" s="15" t="s">
        <v>4314</v>
      </c>
      <c r="B2488" s="15">
        <v>3403208</v>
      </c>
      <c r="C2488" s="52">
        <v>150.13111000000001</v>
      </c>
      <c r="D2488" s="25">
        <v>0.1277777777777778</v>
      </c>
      <c r="F2488" s="61" t="s">
        <v>7164</v>
      </c>
    </row>
    <row r="2489" spans="1:6" x14ac:dyDescent="0.25">
      <c r="A2489" s="15" t="s">
        <v>4314</v>
      </c>
      <c r="B2489" s="15">
        <v>3424402</v>
      </c>
      <c r="C2489" s="54">
        <v>109.95687700000001</v>
      </c>
      <c r="D2489" s="26">
        <v>0.10069444444444443</v>
      </c>
      <c r="F2489" s="61" t="s">
        <v>7271</v>
      </c>
    </row>
    <row r="2490" spans="1:6" x14ac:dyDescent="0.25">
      <c r="A2490" s="15" t="s">
        <v>4314</v>
      </c>
      <c r="B2490" s="15" t="s">
        <v>4271</v>
      </c>
      <c r="C2490" s="52">
        <v>58.602283999999997</v>
      </c>
      <c r="D2490" s="25">
        <v>5.486111111111111E-2</v>
      </c>
      <c r="F2490" s="61" t="s">
        <v>6556</v>
      </c>
    </row>
    <row r="2491" spans="1:6" x14ac:dyDescent="0.25">
      <c r="A2491" s="15" t="s">
        <v>4314</v>
      </c>
      <c r="B2491" s="15" t="s">
        <v>4272</v>
      </c>
      <c r="C2491" s="54">
        <v>58.133147999999998</v>
      </c>
      <c r="D2491" s="26">
        <v>5.6250000000000001E-2</v>
      </c>
      <c r="F2491" s="61" t="s">
        <v>6557</v>
      </c>
    </row>
    <row r="2492" spans="1:6" x14ac:dyDescent="0.25">
      <c r="A2492" s="15" t="s">
        <v>4314</v>
      </c>
      <c r="B2492" s="15" t="s">
        <v>4273</v>
      </c>
      <c r="C2492" s="52">
        <v>57.650962999999997</v>
      </c>
      <c r="D2492" s="25">
        <v>5.6250000000000001E-2</v>
      </c>
      <c r="F2492" s="61" t="s">
        <v>6558</v>
      </c>
    </row>
    <row r="2493" spans="1:6" x14ac:dyDescent="0.25">
      <c r="A2493" s="15" t="s">
        <v>4314</v>
      </c>
      <c r="B2493" s="15" t="s">
        <v>4274</v>
      </c>
      <c r="C2493" s="54">
        <v>65.862403</v>
      </c>
      <c r="D2493" s="26">
        <v>6.1111111111111116E-2</v>
      </c>
      <c r="F2493" s="61" t="s">
        <v>6559</v>
      </c>
    </row>
    <row r="2494" spans="1:6" x14ac:dyDescent="0.25">
      <c r="A2494" s="15" t="s">
        <v>4314</v>
      </c>
      <c r="B2494" s="15" t="s">
        <v>4275</v>
      </c>
      <c r="C2494" s="52">
        <v>65.955608999999995</v>
      </c>
      <c r="D2494" s="25">
        <v>6.1805555555555558E-2</v>
      </c>
      <c r="F2494" s="61" t="s">
        <v>6560</v>
      </c>
    </row>
    <row r="2495" spans="1:6" x14ac:dyDescent="0.25">
      <c r="A2495" s="15" t="s">
        <v>4314</v>
      </c>
      <c r="B2495" s="15" t="s">
        <v>4276</v>
      </c>
      <c r="C2495" s="54">
        <v>59.293250999999998</v>
      </c>
      <c r="D2495" s="26">
        <v>5.486111111111111E-2</v>
      </c>
      <c r="F2495" s="61" t="s">
        <v>6561</v>
      </c>
    </row>
    <row r="2496" spans="1:6" x14ac:dyDescent="0.25">
      <c r="A2496" s="15" t="s">
        <v>4314</v>
      </c>
      <c r="B2496" s="15" t="s">
        <v>4277</v>
      </c>
      <c r="C2496" s="52">
        <v>53.456074999999998</v>
      </c>
      <c r="D2496" s="25">
        <v>4.9999999999999996E-2</v>
      </c>
      <c r="F2496" s="61" t="s">
        <v>6562</v>
      </c>
    </row>
    <row r="2497" spans="1:6" x14ac:dyDescent="0.25">
      <c r="A2497" s="15" t="s">
        <v>4314</v>
      </c>
      <c r="B2497" s="15" t="s">
        <v>4278</v>
      </c>
      <c r="C2497" s="54">
        <v>66.723004000000003</v>
      </c>
      <c r="D2497" s="26">
        <v>6.1805555555555558E-2</v>
      </c>
      <c r="F2497" s="61" t="s">
        <v>6563</v>
      </c>
    </row>
    <row r="2498" spans="1:6" x14ac:dyDescent="0.25">
      <c r="A2498" s="15" t="s">
        <v>4314</v>
      </c>
      <c r="B2498" s="15" t="s">
        <v>4279</v>
      </c>
      <c r="C2498" s="52">
        <v>74.460337999999993</v>
      </c>
      <c r="D2498" s="25">
        <v>6.9444444444444434E-2</v>
      </c>
      <c r="F2498" s="61" t="s">
        <v>6564</v>
      </c>
    </row>
    <row r="2499" spans="1:6" x14ac:dyDescent="0.25">
      <c r="A2499" s="15" t="s">
        <v>4314</v>
      </c>
      <c r="B2499" s="15" t="s">
        <v>4280</v>
      </c>
      <c r="C2499" s="54">
        <v>63.710588999999999</v>
      </c>
      <c r="D2499" s="26">
        <v>6.5972222222222224E-2</v>
      </c>
      <c r="F2499" s="61" t="s">
        <v>6565</v>
      </c>
    </row>
    <row r="2500" spans="1:6" x14ac:dyDescent="0.25">
      <c r="A2500" s="15" t="s">
        <v>4314</v>
      </c>
      <c r="B2500" s="15" t="s">
        <v>4281</v>
      </c>
      <c r="C2500" s="52">
        <v>65.797780000000003</v>
      </c>
      <c r="D2500" s="25">
        <v>6.0416666666666667E-2</v>
      </c>
      <c r="F2500" s="61" t="s">
        <v>6566</v>
      </c>
    </row>
    <row r="2501" spans="1:6" x14ac:dyDescent="0.25">
      <c r="A2501" s="15" t="s">
        <v>4314</v>
      </c>
      <c r="B2501" s="15" t="s">
        <v>4282</v>
      </c>
      <c r="C2501" s="54">
        <v>108.998099</v>
      </c>
      <c r="D2501" s="26">
        <v>0.10069444444444443</v>
      </c>
      <c r="F2501" s="61" t="s">
        <v>6567</v>
      </c>
    </row>
    <row r="2502" spans="1:6" x14ac:dyDescent="0.25">
      <c r="A2502" s="15" t="s">
        <v>4314</v>
      </c>
      <c r="B2502" s="15" t="s">
        <v>4283</v>
      </c>
      <c r="C2502" s="52">
        <v>116.882076</v>
      </c>
      <c r="D2502" s="25">
        <v>0.10625</v>
      </c>
      <c r="F2502" s="61" t="s">
        <v>6568</v>
      </c>
    </row>
    <row r="2503" spans="1:6" x14ac:dyDescent="0.25">
      <c r="A2503" s="15" t="s">
        <v>4314</v>
      </c>
      <c r="B2503" s="15" t="s">
        <v>4284</v>
      </c>
      <c r="C2503" s="54">
        <v>114.944636</v>
      </c>
      <c r="D2503" s="26">
        <v>0.10347222222222223</v>
      </c>
      <c r="F2503" s="61" t="s">
        <v>6569</v>
      </c>
    </row>
    <row r="2504" spans="1:6" x14ac:dyDescent="0.25">
      <c r="A2504" s="15" t="s">
        <v>4314</v>
      </c>
      <c r="B2504" s="15" t="s">
        <v>4285</v>
      </c>
      <c r="C2504" s="52">
        <v>118.677222</v>
      </c>
      <c r="D2504" s="25">
        <v>0.1111111111111111</v>
      </c>
      <c r="F2504" s="61" t="s">
        <v>6570</v>
      </c>
    </row>
    <row r="2505" spans="1:6" x14ac:dyDescent="0.25">
      <c r="A2505" s="15" t="s">
        <v>4314</v>
      </c>
      <c r="B2505" s="15" t="s">
        <v>4286</v>
      </c>
      <c r="C2505" s="54">
        <v>116.253868</v>
      </c>
      <c r="D2505" s="26">
        <v>0.1076388888888889</v>
      </c>
      <c r="F2505" s="61" t="s">
        <v>6571</v>
      </c>
    </row>
    <row r="2506" spans="1:6" x14ac:dyDescent="0.25">
      <c r="A2506" s="15" t="s">
        <v>4314</v>
      </c>
      <c r="B2506" s="15" t="s">
        <v>4287</v>
      </c>
      <c r="C2506" s="52">
        <v>117.30958</v>
      </c>
      <c r="D2506" s="25">
        <v>0.10625</v>
      </c>
      <c r="F2506" s="61" t="s">
        <v>6572</v>
      </c>
    </row>
    <row r="2507" spans="1:6" x14ac:dyDescent="0.25">
      <c r="A2507" s="15" t="s">
        <v>4314</v>
      </c>
      <c r="B2507" s="15" t="s">
        <v>4288</v>
      </c>
      <c r="C2507" s="54">
        <v>122.137646</v>
      </c>
      <c r="D2507" s="26">
        <v>0.11041666666666666</v>
      </c>
      <c r="F2507" s="61" t="s">
        <v>6573</v>
      </c>
    </row>
    <row r="2508" spans="1:6" x14ac:dyDescent="0.25">
      <c r="A2508" s="15" t="s">
        <v>4314</v>
      </c>
      <c r="B2508" s="15" t="s">
        <v>4289</v>
      </c>
      <c r="C2508" s="52">
        <v>60.51052</v>
      </c>
      <c r="D2508" s="25">
        <v>5.6944444444444443E-2</v>
      </c>
      <c r="F2508" s="61" t="s">
        <v>6574</v>
      </c>
    </row>
    <row r="2509" spans="1:6" x14ac:dyDescent="0.25">
      <c r="A2509" s="15" t="s">
        <v>4314</v>
      </c>
      <c r="B2509" s="15" t="s">
        <v>4290</v>
      </c>
      <c r="C2509" s="54">
        <v>57.027104000000001</v>
      </c>
      <c r="D2509" s="26">
        <v>5.5555555555555552E-2</v>
      </c>
      <c r="F2509" s="61" t="s">
        <v>6575</v>
      </c>
    </row>
    <row r="2510" spans="1:6" x14ac:dyDescent="0.25">
      <c r="A2510" s="15" t="s">
        <v>4314</v>
      </c>
      <c r="B2510" s="15" t="s">
        <v>4291</v>
      </c>
      <c r="C2510" s="52">
        <v>57.569563000000002</v>
      </c>
      <c r="D2510" s="25">
        <v>5.5555555555555552E-2</v>
      </c>
      <c r="F2510" s="61" t="s">
        <v>6576</v>
      </c>
    </row>
    <row r="2511" spans="1:6" x14ac:dyDescent="0.25">
      <c r="A2511" s="15" t="s">
        <v>4314</v>
      </c>
      <c r="B2511" s="15" t="s">
        <v>4292</v>
      </c>
      <c r="C2511" s="54">
        <v>58.832813000000002</v>
      </c>
      <c r="D2511" s="26">
        <v>5.9027777777777783E-2</v>
      </c>
      <c r="F2511" s="61" t="s">
        <v>6577</v>
      </c>
    </row>
    <row r="2512" spans="1:6" x14ac:dyDescent="0.25">
      <c r="A2512" s="15" t="s">
        <v>4314</v>
      </c>
      <c r="B2512" s="15" t="s">
        <v>4293</v>
      </c>
      <c r="C2512" s="52">
        <v>62.577205999999997</v>
      </c>
      <c r="D2512" s="25">
        <v>6.1111111111111116E-2</v>
      </c>
      <c r="F2512" s="61" t="s">
        <v>6578</v>
      </c>
    </row>
    <row r="2513" spans="1:6" x14ac:dyDescent="0.25">
      <c r="A2513" s="15" t="s">
        <v>4314</v>
      </c>
      <c r="B2513" s="15" t="s">
        <v>4294</v>
      </c>
      <c r="C2513" s="54">
        <v>63.556488999999999</v>
      </c>
      <c r="D2513" s="26">
        <v>6.3194444444444442E-2</v>
      </c>
      <c r="F2513" s="61" t="s">
        <v>6579</v>
      </c>
    </row>
    <row r="2514" spans="1:6" x14ac:dyDescent="0.25">
      <c r="A2514" s="15" t="s">
        <v>4314</v>
      </c>
      <c r="B2514" s="15" t="s">
        <v>4295</v>
      </c>
      <c r="C2514" s="52">
        <v>66.376900000000006</v>
      </c>
      <c r="D2514" s="25">
        <v>6.5972222222222224E-2</v>
      </c>
      <c r="F2514" s="61" t="s">
        <v>6580</v>
      </c>
    </row>
    <row r="2515" spans="1:6" x14ac:dyDescent="0.25">
      <c r="A2515" s="15" t="s">
        <v>4314</v>
      </c>
      <c r="B2515" s="15" t="s">
        <v>4296</v>
      </c>
      <c r="C2515" s="54">
        <v>58.039319999999996</v>
      </c>
      <c r="D2515" s="26">
        <v>5.6250000000000001E-2</v>
      </c>
      <c r="F2515" s="61" t="s">
        <v>6581</v>
      </c>
    </row>
    <row r="2516" spans="1:6" x14ac:dyDescent="0.25">
      <c r="A2516" s="15" t="s">
        <v>4314</v>
      </c>
      <c r="B2516" s="15" t="s">
        <v>4297</v>
      </c>
      <c r="C2516" s="52">
        <v>64.356195999999997</v>
      </c>
      <c r="D2516" s="25">
        <v>6.3888888888888884E-2</v>
      </c>
      <c r="F2516" s="61" t="s">
        <v>6582</v>
      </c>
    </row>
    <row r="2517" spans="1:6" x14ac:dyDescent="0.25">
      <c r="A2517" s="15" t="s">
        <v>4314</v>
      </c>
      <c r="B2517" s="15" t="s">
        <v>4298</v>
      </c>
      <c r="C2517" s="54">
        <v>68.039693</v>
      </c>
      <c r="D2517" s="26">
        <v>7.1527777777777787E-2</v>
      </c>
      <c r="F2517" s="61" t="s">
        <v>6583</v>
      </c>
    </row>
    <row r="2518" spans="1:6" x14ac:dyDescent="0.25">
      <c r="A2518" s="15" t="s">
        <v>4314</v>
      </c>
      <c r="B2518" s="15" t="s">
        <v>4299</v>
      </c>
      <c r="C2518" s="52">
        <v>73.459928000000005</v>
      </c>
      <c r="D2518" s="25">
        <v>7.8472222222222221E-2</v>
      </c>
      <c r="F2518" s="61" t="s">
        <v>6584</v>
      </c>
    </row>
    <row r="2519" spans="1:6" x14ac:dyDescent="0.25">
      <c r="A2519" s="15" t="s">
        <v>4314</v>
      </c>
      <c r="B2519" s="15" t="s">
        <v>4300</v>
      </c>
      <c r="C2519" s="54">
        <v>79.387202000000002</v>
      </c>
      <c r="D2519" s="26">
        <v>8.9583333333333334E-2</v>
      </c>
      <c r="F2519" s="61" t="s">
        <v>6585</v>
      </c>
    </row>
    <row r="2520" spans="1:6" x14ac:dyDescent="0.25">
      <c r="A2520" s="15" t="s">
        <v>4314</v>
      </c>
      <c r="B2520" s="15" t="s">
        <v>4301</v>
      </c>
      <c r="C2520" s="52">
        <v>54.938048999999999</v>
      </c>
      <c r="D2520" s="25">
        <v>5.5555555555555552E-2</v>
      </c>
      <c r="F2520" s="61" t="s">
        <v>6586</v>
      </c>
    </row>
    <row r="2521" spans="1:6" x14ac:dyDescent="0.25">
      <c r="A2521" s="15" t="s">
        <v>4314</v>
      </c>
      <c r="B2521" s="15" t="s">
        <v>4302</v>
      </c>
      <c r="C2521" s="54">
        <v>59.394534</v>
      </c>
      <c r="D2521" s="26">
        <v>5.9027777777777783E-2</v>
      </c>
      <c r="F2521" s="61" t="s">
        <v>6587</v>
      </c>
    </row>
    <row r="2522" spans="1:6" x14ac:dyDescent="0.25">
      <c r="A2522" s="15" t="s">
        <v>4314</v>
      </c>
      <c r="B2522" s="15" t="s">
        <v>4303</v>
      </c>
      <c r="C2522" s="52">
        <v>73.406490000000005</v>
      </c>
      <c r="D2522" s="25">
        <v>7.3611111111111113E-2</v>
      </c>
      <c r="F2522" s="61" t="s">
        <v>6588</v>
      </c>
    </row>
    <row r="2523" spans="1:6" x14ac:dyDescent="0.25">
      <c r="A2523" s="15" t="s">
        <v>4314</v>
      </c>
      <c r="B2523" s="15" t="s">
        <v>4304</v>
      </c>
      <c r="C2523" s="54">
        <v>54.192402000000001</v>
      </c>
      <c r="D2523" s="26">
        <v>5.486111111111111E-2</v>
      </c>
      <c r="F2523" s="61" t="s">
        <v>6589</v>
      </c>
    </row>
    <row r="2524" spans="1:6" x14ac:dyDescent="0.25">
      <c r="A2524" s="15" t="s">
        <v>4314</v>
      </c>
      <c r="B2524" s="15" t="s">
        <v>4305</v>
      </c>
      <c r="C2524" s="52">
        <v>52.916102000000002</v>
      </c>
      <c r="D2524" s="25">
        <v>5.347222222222222E-2</v>
      </c>
      <c r="F2524" s="61" t="s">
        <v>6590</v>
      </c>
    </row>
    <row r="2525" spans="1:6" x14ac:dyDescent="0.25">
      <c r="A2525" s="15" t="s">
        <v>4314</v>
      </c>
      <c r="B2525" s="15" t="s">
        <v>4306</v>
      </c>
      <c r="C2525" s="54">
        <v>127.066996</v>
      </c>
      <c r="D2525" s="26">
        <v>0.1125</v>
      </c>
      <c r="F2525" s="61" t="s">
        <v>6591</v>
      </c>
    </row>
    <row r="2526" spans="1:6" x14ac:dyDescent="0.25">
      <c r="A2526" s="15" t="s">
        <v>4314</v>
      </c>
      <c r="B2526" s="15" t="s">
        <v>4307</v>
      </c>
      <c r="C2526" s="52">
        <v>125.970274</v>
      </c>
      <c r="D2526" s="25">
        <v>0.1111111111111111</v>
      </c>
      <c r="F2526" s="61" t="s">
        <v>6592</v>
      </c>
    </row>
    <row r="2527" spans="1:6" x14ac:dyDescent="0.25">
      <c r="A2527" s="15" t="s">
        <v>4314</v>
      </c>
      <c r="B2527" s="15" t="s">
        <v>4308</v>
      </c>
      <c r="C2527" s="54">
        <v>124.193769</v>
      </c>
      <c r="D2527" s="26">
        <v>0.10833333333333334</v>
      </c>
      <c r="F2527" s="61" t="s">
        <v>6593</v>
      </c>
    </row>
    <row r="2528" spans="1:6" x14ac:dyDescent="0.25">
      <c r="A2528" s="15" t="s">
        <v>4314</v>
      </c>
      <c r="B2528" s="15" t="s">
        <v>4309</v>
      </c>
      <c r="C2528" s="52">
        <v>143.14377300000001</v>
      </c>
      <c r="D2528" s="25">
        <v>0.13055555555555556</v>
      </c>
      <c r="F2528" s="61" t="s">
        <v>6594</v>
      </c>
    </row>
    <row r="2529" spans="1:6" x14ac:dyDescent="0.25">
      <c r="A2529" s="15" t="s">
        <v>4314</v>
      </c>
      <c r="B2529" s="15" t="s">
        <v>4310</v>
      </c>
      <c r="C2529" s="54">
        <v>147.99918</v>
      </c>
      <c r="D2529" s="26">
        <v>0.1388888888888889</v>
      </c>
      <c r="F2529" s="61" t="s">
        <v>6595</v>
      </c>
    </row>
    <row r="2530" spans="1:6" x14ac:dyDescent="0.25">
      <c r="A2530" s="15" t="s">
        <v>4314</v>
      </c>
      <c r="B2530" s="15" t="s">
        <v>4311</v>
      </c>
      <c r="C2530" s="52">
        <v>134.18233599999999</v>
      </c>
      <c r="D2530" s="25">
        <v>0.125</v>
      </c>
      <c r="F2530" s="61" t="s">
        <v>6596</v>
      </c>
    </row>
    <row r="2531" spans="1:6" x14ac:dyDescent="0.25">
      <c r="A2531" s="15" t="s">
        <v>4314</v>
      </c>
      <c r="B2531" s="15" t="s">
        <v>4312</v>
      </c>
      <c r="C2531" s="54">
        <v>130.71134799999999</v>
      </c>
      <c r="D2531" s="26">
        <v>0.11666666666666665</v>
      </c>
      <c r="F2531" s="61" t="s">
        <v>6597</v>
      </c>
    </row>
    <row r="2532" spans="1:6" x14ac:dyDescent="0.25">
      <c r="A2532" s="15" t="s">
        <v>4314</v>
      </c>
      <c r="B2532" s="15" t="s">
        <v>4313</v>
      </c>
      <c r="C2532" s="52">
        <v>153.36411200000001</v>
      </c>
      <c r="D2532" s="25">
        <v>0.13749999999999998</v>
      </c>
      <c r="F2532" s="61" t="s">
        <v>6598</v>
      </c>
    </row>
    <row r="2533" spans="1:6" x14ac:dyDescent="0.25">
      <c r="A2533" s="15" t="s">
        <v>4314</v>
      </c>
      <c r="B2533" s="15" t="s">
        <v>4314</v>
      </c>
      <c r="C2533" s="54">
        <v>0</v>
      </c>
      <c r="D2533" s="26">
        <v>0</v>
      </c>
      <c r="F2533" s="61" t="s">
        <v>6599</v>
      </c>
    </row>
    <row r="2534" spans="1:6" x14ac:dyDescent="0.25">
      <c r="A2534" s="15" t="s">
        <v>4314</v>
      </c>
      <c r="B2534" s="15" t="s">
        <v>4315</v>
      </c>
      <c r="C2534" s="52">
        <v>4.352716</v>
      </c>
      <c r="D2534" s="25">
        <v>9.7222222222222224E-3</v>
      </c>
      <c r="F2534" s="61" t="s">
        <v>6600</v>
      </c>
    </row>
    <row r="2535" spans="1:6" x14ac:dyDescent="0.25">
      <c r="A2535" s="15" t="s">
        <v>4314</v>
      </c>
      <c r="B2535" s="15" t="s">
        <v>4316</v>
      </c>
      <c r="C2535" s="54">
        <v>2.4600149999999998</v>
      </c>
      <c r="D2535" s="26">
        <v>6.2499999999999995E-3</v>
      </c>
      <c r="F2535" s="61" t="s">
        <v>6601</v>
      </c>
    </row>
    <row r="2536" spans="1:6" x14ac:dyDescent="0.25">
      <c r="A2536" s="15" t="s">
        <v>4314</v>
      </c>
      <c r="B2536" s="15" t="s">
        <v>4317</v>
      </c>
      <c r="C2536" s="52">
        <v>185.16659000000001</v>
      </c>
      <c r="D2536" s="25">
        <v>0.15486111111111112</v>
      </c>
      <c r="F2536" s="61" t="s">
        <v>6602</v>
      </c>
    </row>
    <row r="2537" spans="1:6" x14ac:dyDescent="0.25">
      <c r="A2537" s="15" t="s">
        <v>4314</v>
      </c>
      <c r="B2537" s="15" t="s">
        <v>4318</v>
      </c>
      <c r="C2537" s="54">
        <v>194.27777800000001</v>
      </c>
      <c r="D2537" s="26">
        <v>0.16250000000000001</v>
      </c>
      <c r="F2537" s="61" t="s">
        <v>6603</v>
      </c>
    </row>
    <row r="2538" spans="1:6" x14ac:dyDescent="0.25">
      <c r="A2538" s="15" t="s">
        <v>4314</v>
      </c>
      <c r="B2538" s="15" t="s">
        <v>4319</v>
      </c>
      <c r="C2538" s="52">
        <v>187.91554300000001</v>
      </c>
      <c r="D2538" s="25">
        <v>0.15833333333333333</v>
      </c>
      <c r="F2538" s="61" t="s">
        <v>6604</v>
      </c>
    </row>
    <row r="2539" spans="1:6" x14ac:dyDescent="0.25">
      <c r="A2539" s="15" t="s">
        <v>4314</v>
      </c>
      <c r="B2539" s="15" t="s">
        <v>4320</v>
      </c>
      <c r="C2539" s="54">
        <v>151.99895599999999</v>
      </c>
      <c r="D2539" s="26">
        <v>0.12986111111111112</v>
      </c>
      <c r="F2539" s="61" t="s">
        <v>6605</v>
      </c>
    </row>
    <row r="2540" spans="1:6" x14ac:dyDescent="0.25">
      <c r="A2540" s="15" t="s">
        <v>4314</v>
      </c>
      <c r="B2540" s="15" t="s">
        <v>4321</v>
      </c>
      <c r="C2540" s="52">
        <v>150.897884</v>
      </c>
      <c r="D2540" s="25">
        <v>0.1277777777777778</v>
      </c>
      <c r="F2540" s="61" t="s">
        <v>6606</v>
      </c>
    </row>
    <row r="2541" spans="1:6" x14ac:dyDescent="0.25">
      <c r="A2541" s="15" t="s">
        <v>4315</v>
      </c>
      <c r="B2541" s="15">
        <v>3423909</v>
      </c>
      <c r="C2541" s="54">
        <v>27.468402999999999</v>
      </c>
      <c r="D2541" s="26">
        <v>3.1944444444444449E-2</v>
      </c>
      <c r="F2541" s="61" t="s">
        <v>7060</v>
      </c>
    </row>
    <row r="2542" spans="1:6" x14ac:dyDescent="0.25">
      <c r="A2542" s="15" t="s">
        <v>4315</v>
      </c>
      <c r="B2542" s="15">
        <v>3403208</v>
      </c>
      <c r="C2542" s="52">
        <v>151.49129500000001</v>
      </c>
      <c r="D2542" s="25">
        <v>0.13194444444444445</v>
      </c>
      <c r="F2542" s="61" t="s">
        <v>7165</v>
      </c>
    </row>
    <row r="2543" spans="1:6" x14ac:dyDescent="0.25">
      <c r="A2543" s="15" t="s">
        <v>4315</v>
      </c>
      <c r="B2543" s="15">
        <v>3424402</v>
      </c>
      <c r="C2543" s="54">
        <v>115.060211</v>
      </c>
      <c r="D2543" s="26">
        <v>0.10486111111111111</v>
      </c>
      <c r="F2543" s="61" t="s">
        <v>7272</v>
      </c>
    </row>
    <row r="2544" spans="1:6" x14ac:dyDescent="0.25">
      <c r="A2544" s="15" t="s">
        <v>4315</v>
      </c>
      <c r="B2544" s="15" t="s">
        <v>4271</v>
      </c>
      <c r="C2544" s="52">
        <v>63.705618000000001</v>
      </c>
      <c r="D2544" s="25">
        <v>5.9027777777777783E-2</v>
      </c>
      <c r="F2544" s="61" t="s">
        <v>6607</v>
      </c>
    </row>
    <row r="2545" spans="1:6" x14ac:dyDescent="0.25">
      <c r="A2545" s="15" t="s">
        <v>4315</v>
      </c>
      <c r="B2545" s="15" t="s">
        <v>4272</v>
      </c>
      <c r="C2545" s="54">
        <v>59.086334000000001</v>
      </c>
      <c r="D2545" s="26">
        <v>6.0416666666666667E-2</v>
      </c>
      <c r="F2545" s="61" t="s">
        <v>6608</v>
      </c>
    </row>
    <row r="2546" spans="1:6" x14ac:dyDescent="0.25">
      <c r="A2546" s="15" t="s">
        <v>4315</v>
      </c>
      <c r="B2546" s="15" t="s">
        <v>4273</v>
      </c>
      <c r="C2546" s="52">
        <v>58.604148000000002</v>
      </c>
      <c r="D2546" s="25">
        <v>5.9722222222222225E-2</v>
      </c>
      <c r="F2546" s="61" t="s">
        <v>6609</v>
      </c>
    </row>
    <row r="2547" spans="1:6" x14ac:dyDescent="0.25">
      <c r="A2547" s="15" t="s">
        <v>4315</v>
      </c>
      <c r="B2547" s="15" t="s">
        <v>4274</v>
      </c>
      <c r="C2547" s="54">
        <v>66.815589000000003</v>
      </c>
      <c r="D2547" s="26">
        <v>6.5277777777777782E-2</v>
      </c>
      <c r="F2547" s="61" t="s">
        <v>6610</v>
      </c>
    </row>
    <row r="2548" spans="1:6" x14ac:dyDescent="0.25">
      <c r="A2548" s="15" t="s">
        <v>4315</v>
      </c>
      <c r="B2548" s="15" t="s">
        <v>4275</v>
      </c>
      <c r="C2548" s="52">
        <v>66.908794999999998</v>
      </c>
      <c r="D2548" s="25">
        <v>6.5277777777777782E-2</v>
      </c>
      <c r="F2548" s="61" t="s">
        <v>6611</v>
      </c>
    </row>
    <row r="2549" spans="1:6" x14ac:dyDescent="0.25">
      <c r="A2549" s="15" t="s">
        <v>4315</v>
      </c>
      <c r="B2549" s="15" t="s">
        <v>4276</v>
      </c>
      <c r="C2549" s="54">
        <v>64.396585000000002</v>
      </c>
      <c r="D2549" s="26">
        <v>5.9027777777777783E-2</v>
      </c>
      <c r="F2549" s="61" t="s">
        <v>6612</v>
      </c>
    </row>
    <row r="2550" spans="1:6" x14ac:dyDescent="0.25">
      <c r="A2550" s="15" t="s">
        <v>4315</v>
      </c>
      <c r="B2550" s="15" t="s">
        <v>4277</v>
      </c>
      <c r="C2550" s="52">
        <v>54.409261000000001</v>
      </c>
      <c r="D2550" s="25">
        <v>5.4166666666666669E-2</v>
      </c>
      <c r="F2550" s="61" t="s">
        <v>6613</v>
      </c>
    </row>
    <row r="2551" spans="1:6" x14ac:dyDescent="0.25">
      <c r="A2551" s="15" t="s">
        <v>4315</v>
      </c>
      <c r="B2551" s="15" t="s">
        <v>4278</v>
      </c>
      <c r="C2551" s="54">
        <v>67.676190000000005</v>
      </c>
      <c r="D2551" s="26">
        <v>6.5277777777777782E-2</v>
      </c>
      <c r="F2551" s="61" t="s">
        <v>6614</v>
      </c>
    </row>
    <row r="2552" spans="1:6" x14ac:dyDescent="0.25">
      <c r="A2552" s="15" t="s">
        <v>4315</v>
      </c>
      <c r="B2552" s="15" t="s">
        <v>4279</v>
      </c>
      <c r="C2552" s="52">
        <v>79.563671999999997</v>
      </c>
      <c r="D2552" s="25">
        <v>7.3611111111111113E-2</v>
      </c>
      <c r="F2552" s="61" t="s">
        <v>6615</v>
      </c>
    </row>
    <row r="2553" spans="1:6" x14ac:dyDescent="0.25">
      <c r="A2553" s="15" t="s">
        <v>4315</v>
      </c>
      <c r="B2553" s="15" t="s">
        <v>4280</v>
      </c>
      <c r="C2553" s="54">
        <v>68.813924</v>
      </c>
      <c r="D2553" s="26">
        <v>7.013888888888889E-2</v>
      </c>
      <c r="F2553" s="61" t="s">
        <v>6616</v>
      </c>
    </row>
    <row r="2554" spans="1:6" x14ac:dyDescent="0.25">
      <c r="A2554" s="15" t="s">
        <v>4315</v>
      </c>
      <c r="B2554" s="15" t="s">
        <v>4281</v>
      </c>
      <c r="C2554" s="52">
        <v>70.901115000000004</v>
      </c>
      <c r="D2554" s="25">
        <v>6.458333333333334E-2</v>
      </c>
      <c r="F2554" s="61" t="s">
        <v>6617</v>
      </c>
    </row>
    <row r="2555" spans="1:6" x14ac:dyDescent="0.25">
      <c r="A2555" s="15" t="s">
        <v>4315</v>
      </c>
      <c r="B2555" s="15" t="s">
        <v>4282</v>
      </c>
      <c r="C2555" s="54">
        <v>110.358284</v>
      </c>
      <c r="D2555" s="26">
        <v>0.10486111111111111</v>
      </c>
      <c r="F2555" s="61" t="s">
        <v>6618</v>
      </c>
    </row>
    <row r="2556" spans="1:6" x14ac:dyDescent="0.25">
      <c r="A2556" s="15" t="s">
        <v>4315</v>
      </c>
      <c r="B2556" s="15" t="s">
        <v>4283</v>
      </c>
      <c r="C2556" s="52">
        <v>118.242261</v>
      </c>
      <c r="D2556" s="25">
        <v>0.11041666666666666</v>
      </c>
      <c r="F2556" s="61" t="s">
        <v>6619</v>
      </c>
    </row>
    <row r="2557" spans="1:6" x14ac:dyDescent="0.25">
      <c r="A2557" s="15" t="s">
        <v>4315</v>
      </c>
      <c r="B2557" s="15" t="s">
        <v>4284</v>
      </c>
      <c r="C2557" s="54">
        <v>116.304821</v>
      </c>
      <c r="D2557" s="26">
        <v>0.1076388888888889</v>
      </c>
      <c r="F2557" s="61" t="s">
        <v>6620</v>
      </c>
    </row>
    <row r="2558" spans="1:6" x14ac:dyDescent="0.25">
      <c r="A2558" s="15" t="s">
        <v>4315</v>
      </c>
      <c r="B2558" s="15" t="s">
        <v>4285</v>
      </c>
      <c r="C2558" s="52">
        <v>120.037407</v>
      </c>
      <c r="D2558" s="25">
        <v>0.11527777777777777</v>
      </c>
      <c r="F2558" s="61" t="s">
        <v>6621</v>
      </c>
    </row>
    <row r="2559" spans="1:6" x14ac:dyDescent="0.25">
      <c r="A2559" s="15" t="s">
        <v>4315</v>
      </c>
      <c r="B2559" s="15" t="s">
        <v>4286</v>
      </c>
      <c r="C2559" s="54">
        <v>117.614053</v>
      </c>
      <c r="D2559" s="26">
        <v>0.11180555555555556</v>
      </c>
      <c r="F2559" s="61" t="s">
        <v>6622</v>
      </c>
    </row>
    <row r="2560" spans="1:6" x14ac:dyDescent="0.25">
      <c r="A2560" s="15" t="s">
        <v>4315</v>
      </c>
      <c r="B2560" s="15" t="s">
        <v>4287</v>
      </c>
      <c r="C2560" s="52">
        <v>118.669765</v>
      </c>
      <c r="D2560" s="25">
        <v>0.11041666666666666</v>
      </c>
      <c r="F2560" s="61" t="s">
        <v>6623</v>
      </c>
    </row>
    <row r="2561" spans="1:6" x14ac:dyDescent="0.25">
      <c r="A2561" s="15" t="s">
        <v>4315</v>
      </c>
      <c r="B2561" s="15" t="s">
        <v>4288</v>
      </c>
      <c r="C2561" s="54">
        <v>123.49783100000001</v>
      </c>
      <c r="D2561" s="26">
        <v>0.11527777777777777</v>
      </c>
      <c r="F2561" s="61" t="s">
        <v>6624</v>
      </c>
    </row>
    <row r="2562" spans="1:6" x14ac:dyDescent="0.25">
      <c r="A2562" s="15" t="s">
        <v>4315</v>
      </c>
      <c r="B2562" s="15" t="s">
        <v>4289</v>
      </c>
      <c r="C2562" s="52">
        <v>65.613854000000003</v>
      </c>
      <c r="D2562" s="25">
        <v>6.1111111111111116E-2</v>
      </c>
      <c r="F2562" s="61" t="s">
        <v>6625</v>
      </c>
    </row>
    <row r="2563" spans="1:6" x14ac:dyDescent="0.25">
      <c r="A2563" s="15" t="s">
        <v>4315</v>
      </c>
      <c r="B2563" s="15" t="s">
        <v>4290</v>
      </c>
      <c r="C2563" s="54">
        <v>62.130439000000003</v>
      </c>
      <c r="D2563" s="26">
        <v>5.9722222222222225E-2</v>
      </c>
      <c r="F2563" s="61" t="s">
        <v>6626</v>
      </c>
    </row>
    <row r="2564" spans="1:6" x14ac:dyDescent="0.25">
      <c r="A2564" s="15" t="s">
        <v>4315</v>
      </c>
      <c r="B2564" s="15" t="s">
        <v>4291</v>
      </c>
      <c r="C2564" s="52">
        <v>62.672896999999999</v>
      </c>
      <c r="D2564" s="25">
        <v>5.9722222222222225E-2</v>
      </c>
      <c r="F2564" s="61" t="s">
        <v>6627</v>
      </c>
    </row>
    <row r="2565" spans="1:6" x14ac:dyDescent="0.25">
      <c r="A2565" s="15" t="s">
        <v>4315</v>
      </c>
      <c r="B2565" s="15" t="s">
        <v>4292</v>
      </c>
      <c r="C2565" s="54">
        <v>63.936148000000003</v>
      </c>
      <c r="D2565" s="26">
        <v>6.3194444444444442E-2</v>
      </c>
      <c r="F2565" s="61" t="s">
        <v>6628</v>
      </c>
    </row>
    <row r="2566" spans="1:6" x14ac:dyDescent="0.25">
      <c r="A2566" s="15" t="s">
        <v>4315</v>
      </c>
      <c r="B2566" s="15" t="s">
        <v>4293</v>
      </c>
      <c r="C2566" s="52">
        <v>67.680539999999993</v>
      </c>
      <c r="D2566" s="25">
        <v>6.5277777777777782E-2</v>
      </c>
      <c r="F2566" s="61" t="s">
        <v>6629</v>
      </c>
    </row>
    <row r="2567" spans="1:6" x14ac:dyDescent="0.25">
      <c r="A2567" s="15" t="s">
        <v>4315</v>
      </c>
      <c r="B2567" s="15" t="s">
        <v>4294</v>
      </c>
      <c r="C2567" s="54">
        <v>68.659823000000003</v>
      </c>
      <c r="D2567" s="26">
        <v>6.7361111111111108E-2</v>
      </c>
      <c r="F2567" s="61" t="s">
        <v>6630</v>
      </c>
    </row>
    <row r="2568" spans="1:6" x14ac:dyDescent="0.25">
      <c r="A2568" s="15" t="s">
        <v>4315</v>
      </c>
      <c r="B2568" s="15" t="s">
        <v>4295</v>
      </c>
      <c r="C2568" s="52">
        <v>71.480233999999996</v>
      </c>
      <c r="D2568" s="25">
        <v>7.013888888888889E-2</v>
      </c>
      <c r="F2568" s="61" t="s">
        <v>6631</v>
      </c>
    </row>
    <row r="2569" spans="1:6" x14ac:dyDescent="0.25">
      <c r="A2569" s="15" t="s">
        <v>4315</v>
      </c>
      <c r="B2569" s="15" t="s">
        <v>4296</v>
      </c>
      <c r="C2569" s="54">
        <v>63.142654999999998</v>
      </c>
      <c r="D2569" s="26">
        <v>6.0416666666666667E-2</v>
      </c>
      <c r="F2569" s="61" t="s">
        <v>6632</v>
      </c>
    </row>
    <row r="2570" spans="1:6" x14ac:dyDescent="0.25">
      <c r="A2570" s="15" t="s">
        <v>4315</v>
      </c>
      <c r="B2570" s="15" t="s">
        <v>4297</v>
      </c>
      <c r="C2570" s="52">
        <v>69.459530000000001</v>
      </c>
      <c r="D2570" s="25">
        <v>6.805555555555555E-2</v>
      </c>
      <c r="F2570" s="61" t="s">
        <v>6633</v>
      </c>
    </row>
    <row r="2571" spans="1:6" x14ac:dyDescent="0.25">
      <c r="A2571" s="15" t="s">
        <v>4315</v>
      </c>
      <c r="B2571" s="15" t="s">
        <v>4298</v>
      </c>
      <c r="C2571" s="54">
        <v>73.143028000000001</v>
      </c>
      <c r="D2571" s="26">
        <v>7.5694444444444439E-2</v>
      </c>
      <c r="F2571" s="61" t="s">
        <v>6634</v>
      </c>
    </row>
    <row r="2572" spans="1:6" x14ac:dyDescent="0.25">
      <c r="A2572" s="15" t="s">
        <v>4315</v>
      </c>
      <c r="B2572" s="15" t="s">
        <v>4299</v>
      </c>
      <c r="C2572" s="52">
        <v>78.563261999999995</v>
      </c>
      <c r="D2572" s="25">
        <v>8.2638888888888887E-2</v>
      </c>
      <c r="F2572" s="61" t="s">
        <v>6635</v>
      </c>
    </row>
    <row r="2573" spans="1:6" x14ac:dyDescent="0.25">
      <c r="A2573" s="15" t="s">
        <v>4315</v>
      </c>
      <c r="B2573" s="15" t="s">
        <v>4300</v>
      </c>
      <c r="C2573" s="54">
        <v>84.490536000000006</v>
      </c>
      <c r="D2573" s="26">
        <v>9.375E-2</v>
      </c>
      <c r="F2573" s="61" t="s">
        <v>6636</v>
      </c>
    </row>
    <row r="2574" spans="1:6" x14ac:dyDescent="0.25">
      <c r="A2574" s="15" t="s">
        <v>4315</v>
      </c>
      <c r="B2574" s="15" t="s">
        <v>4301</v>
      </c>
      <c r="C2574" s="52">
        <v>60.041383000000003</v>
      </c>
      <c r="D2574" s="25">
        <v>5.9722222222222225E-2</v>
      </c>
      <c r="F2574" s="61" t="s">
        <v>6637</v>
      </c>
    </row>
    <row r="2575" spans="1:6" x14ac:dyDescent="0.25">
      <c r="A2575" s="15" t="s">
        <v>4315</v>
      </c>
      <c r="B2575" s="15" t="s">
        <v>4302</v>
      </c>
      <c r="C2575" s="54">
        <v>64.497868999999994</v>
      </c>
      <c r="D2575" s="26">
        <v>6.3194444444444442E-2</v>
      </c>
      <c r="F2575" s="61" t="s">
        <v>6638</v>
      </c>
    </row>
    <row r="2576" spans="1:6" x14ac:dyDescent="0.25">
      <c r="A2576" s="15" t="s">
        <v>4315</v>
      </c>
      <c r="B2576" s="15" t="s">
        <v>4303</v>
      </c>
      <c r="C2576" s="52">
        <v>78.509823999999995</v>
      </c>
      <c r="D2576" s="25">
        <v>7.7777777777777779E-2</v>
      </c>
      <c r="F2576" s="61" t="s">
        <v>6639</v>
      </c>
    </row>
    <row r="2577" spans="1:6" x14ac:dyDescent="0.25">
      <c r="A2577" s="15" t="s">
        <v>4315</v>
      </c>
      <c r="B2577" s="15" t="s">
        <v>4304</v>
      </c>
      <c r="C2577" s="54">
        <v>59.295735999999998</v>
      </c>
      <c r="D2577" s="26">
        <v>5.9027777777777783E-2</v>
      </c>
      <c r="F2577" s="61" t="s">
        <v>6640</v>
      </c>
    </row>
    <row r="2578" spans="1:6" x14ac:dyDescent="0.25">
      <c r="A2578" s="15" t="s">
        <v>4315</v>
      </c>
      <c r="B2578" s="15" t="s">
        <v>4305</v>
      </c>
      <c r="C2578" s="52">
        <v>58.019437000000003</v>
      </c>
      <c r="D2578" s="25">
        <v>5.7638888888888885E-2</v>
      </c>
      <c r="F2578" s="61" t="s">
        <v>6641</v>
      </c>
    </row>
    <row r="2579" spans="1:6" x14ac:dyDescent="0.25">
      <c r="A2579" s="15" t="s">
        <v>4315</v>
      </c>
      <c r="B2579" s="15" t="s">
        <v>4306</v>
      </c>
      <c r="C2579" s="54">
        <v>128.42718099999999</v>
      </c>
      <c r="D2579" s="26">
        <v>0.11666666666666665</v>
      </c>
      <c r="F2579" s="61" t="s">
        <v>6642</v>
      </c>
    </row>
    <row r="2580" spans="1:6" x14ac:dyDescent="0.25">
      <c r="A2580" s="15" t="s">
        <v>4315</v>
      </c>
      <c r="B2580" s="15" t="s">
        <v>4307</v>
      </c>
      <c r="C2580" s="52">
        <v>127.33045799999999</v>
      </c>
      <c r="D2580" s="25">
        <v>0.11527777777777777</v>
      </c>
      <c r="F2580" s="61" t="s">
        <v>6643</v>
      </c>
    </row>
    <row r="2581" spans="1:6" x14ac:dyDescent="0.25">
      <c r="A2581" s="15" t="s">
        <v>4315</v>
      </c>
      <c r="B2581" s="15" t="s">
        <v>4308</v>
      </c>
      <c r="C2581" s="54">
        <v>125.553954</v>
      </c>
      <c r="D2581" s="26">
        <v>0.1125</v>
      </c>
      <c r="F2581" s="61" t="s">
        <v>6644</v>
      </c>
    </row>
    <row r="2582" spans="1:6" x14ac:dyDescent="0.25">
      <c r="A2582" s="15" t="s">
        <v>4315</v>
      </c>
      <c r="B2582" s="15" t="s">
        <v>4309</v>
      </c>
      <c r="C2582" s="52">
        <v>144.50395800000001</v>
      </c>
      <c r="D2582" s="25">
        <v>0.13472222222222222</v>
      </c>
      <c r="F2582" s="61" t="s">
        <v>6645</v>
      </c>
    </row>
    <row r="2583" spans="1:6" x14ac:dyDescent="0.25">
      <c r="A2583" s="15" t="s">
        <v>4315</v>
      </c>
      <c r="B2583" s="15" t="s">
        <v>4310</v>
      </c>
      <c r="C2583" s="54">
        <v>149.359365</v>
      </c>
      <c r="D2583" s="26">
        <v>0.14305555555555557</v>
      </c>
      <c r="F2583" s="61" t="s">
        <v>6646</v>
      </c>
    </row>
    <row r="2584" spans="1:6" x14ac:dyDescent="0.25">
      <c r="A2584" s="15" t="s">
        <v>4315</v>
      </c>
      <c r="B2584" s="15" t="s">
        <v>4311</v>
      </c>
      <c r="C2584" s="52">
        <v>135.54252099999999</v>
      </c>
      <c r="D2584" s="25">
        <v>0.12916666666666668</v>
      </c>
      <c r="F2584" s="61" t="s">
        <v>6647</v>
      </c>
    </row>
    <row r="2585" spans="1:6" x14ac:dyDescent="0.25">
      <c r="A2585" s="15" t="s">
        <v>4315</v>
      </c>
      <c r="B2585" s="15" t="s">
        <v>4312</v>
      </c>
      <c r="C2585" s="54">
        <v>132.07153199999999</v>
      </c>
      <c r="D2585" s="26">
        <v>0.12152777777777778</v>
      </c>
      <c r="F2585" s="61" t="s">
        <v>6648</v>
      </c>
    </row>
    <row r="2586" spans="1:6" x14ac:dyDescent="0.25">
      <c r="A2586" s="15" t="s">
        <v>4315</v>
      </c>
      <c r="B2586" s="15" t="s">
        <v>4313</v>
      </c>
      <c r="C2586" s="52">
        <v>154.72429700000001</v>
      </c>
      <c r="D2586" s="25">
        <v>0.14166666666666666</v>
      </c>
      <c r="F2586" s="61" t="s">
        <v>6649</v>
      </c>
    </row>
    <row r="2587" spans="1:6" x14ac:dyDescent="0.25">
      <c r="A2587" s="15" t="s">
        <v>4315</v>
      </c>
      <c r="B2587" s="15" t="s">
        <v>4314</v>
      </c>
      <c r="C2587" s="54">
        <v>5.9365949999999996</v>
      </c>
      <c r="D2587" s="26">
        <v>1.3888888888888888E-2</v>
      </c>
      <c r="F2587" s="61" t="s">
        <v>6650</v>
      </c>
    </row>
    <row r="2588" spans="1:6" x14ac:dyDescent="0.25">
      <c r="A2588" s="15" t="s">
        <v>4315</v>
      </c>
      <c r="B2588" s="15" t="s">
        <v>4315</v>
      </c>
      <c r="C2588" s="52">
        <v>0</v>
      </c>
      <c r="D2588" s="25">
        <v>0</v>
      </c>
      <c r="F2588" s="61" t="s">
        <v>6651</v>
      </c>
    </row>
    <row r="2589" spans="1:6" x14ac:dyDescent="0.25">
      <c r="A2589" s="15" t="s">
        <v>4315</v>
      </c>
      <c r="B2589" s="15" t="s">
        <v>4316</v>
      </c>
      <c r="C2589" s="54">
        <v>3.4958429999999998</v>
      </c>
      <c r="D2589" s="26">
        <v>9.7222222222222224E-3</v>
      </c>
      <c r="F2589" s="61" t="s">
        <v>6652</v>
      </c>
    </row>
    <row r="2590" spans="1:6" x14ac:dyDescent="0.25">
      <c r="A2590" s="15" t="s">
        <v>4315</v>
      </c>
      <c r="B2590" s="15" t="s">
        <v>4317</v>
      </c>
      <c r="C2590" s="52">
        <v>186.52677499999999</v>
      </c>
      <c r="D2590" s="25">
        <v>0.15902777777777777</v>
      </c>
      <c r="F2590" s="61" t="s">
        <v>6653</v>
      </c>
    </row>
    <row r="2591" spans="1:6" x14ac:dyDescent="0.25">
      <c r="A2591" s="15" t="s">
        <v>4315</v>
      </c>
      <c r="B2591" s="15" t="s">
        <v>4318</v>
      </c>
      <c r="C2591" s="54">
        <v>195.63796300000001</v>
      </c>
      <c r="D2591" s="26">
        <v>0.1673611111111111</v>
      </c>
      <c r="F2591" s="61" t="s">
        <v>6654</v>
      </c>
    </row>
    <row r="2592" spans="1:6" x14ac:dyDescent="0.25">
      <c r="A2592" s="15" t="s">
        <v>4315</v>
      </c>
      <c r="B2592" s="15" t="s">
        <v>4319</v>
      </c>
      <c r="C2592" s="52">
        <v>189.27572799999999</v>
      </c>
      <c r="D2592" s="25">
        <v>0.16250000000000001</v>
      </c>
      <c r="F2592" s="61" t="s">
        <v>6655</v>
      </c>
    </row>
    <row r="2593" spans="1:6" x14ac:dyDescent="0.25">
      <c r="A2593" s="15" t="s">
        <v>4315</v>
      </c>
      <c r="B2593" s="15" t="s">
        <v>4320</v>
      </c>
      <c r="C2593" s="54">
        <v>157.12403800000001</v>
      </c>
      <c r="D2593" s="26">
        <v>0.14097222222222222</v>
      </c>
      <c r="F2593" s="61" t="s">
        <v>6656</v>
      </c>
    </row>
    <row r="2594" spans="1:6" x14ac:dyDescent="0.25">
      <c r="A2594" s="15" t="s">
        <v>4315</v>
      </c>
      <c r="B2594" s="15" t="s">
        <v>4321</v>
      </c>
      <c r="C2594" s="52">
        <v>156.022966</v>
      </c>
      <c r="D2594" s="25">
        <v>0.1388888888888889</v>
      </c>
      <c r="F2594" s="61" t="s">
        <v>6657</v>
      </c>
    </row>
    <row r="2595" spans="1:6" x14ac:dyDescent="0.25">
      <c r="A2595" s="15" t="s">
        <v>4316</v>
      </c>
      <c r="B2595" s="15">
        <v>3423909</v>
      </c>
      <c r="C2595" s="54">
        <v>24.722556999999998</v>
      </c>
      <c r="D2595" s="26">
        <v>2.4999999999999998E-2</v>
      </c>
      <c r="F2595" s="61" t="s">
        <v>7061</v>
      </c>
    </row>
    <row r="2596" spans="1:6" x14ac:dyDescent="0.25">
      <c r="A2596" s="15" t="s">
        <v>4316</v>
      </c>
      <c r="B2596" s="15">
        <v>3403208</v>
      </c>
      <c r="C2596" s="52">
        <v>148.338449</v>
      </c>
      <c r="D2596" s="25">
        <v>0.12430555555555556</v>
      </c>
      <c r="F2596" s="61" t="s">
        <v>7166</v>
      </c>
    </row>
    <row r="2597" spans="1:6" x14ac:dyDescent="0.25">
      <c r="A2597" s="15" t="s">
        <v>4316</v>
      </c>
      <c r="B2597" s="15">
        <v>3424402</v>
      </c>
      <c r="C2597" s="54">
        <v>108.164216</v>
      </c>
      <c r="D2597" s="26">
        <v>9.7916666666666666E-2</v>
      </c>
      <c r="F2597" s="61" t="s">
        <v>7273</v>
      </c>
    </row>
    <row r="2598" spans="1:6" x14ac:dyDescent="0.25">
      <c r="A2598" s="15" t="s">
        <v>4316</v>
      </c>
      <c r="B2598" s="15" t="s">
        <v>4271</v>
      </c>
      <c r="C2598" s="52">
        <v>56.809623999999999</v>
      </c>
      <c r="D2598" s="25">
        <v>5.1388888888888894E-2</v>
      </c>
      <c r="F2598" s="61" t="s">
        <v>6658</v>
      </c>
    </row>
    <row r="2599" spans="1:6" x14ac:dyDescent="0.25">
      <c r="A2599" s="15" t="s">
        <v>4316</v>
      </c>
      <c r="B2599" s="15" t="s">
        <v>4272</v>
      </c>
      <c r="C2599" s="54">
        <v>56.340487000000003</v>
      </c>
      <c r="D2599" s="26">
        <v>5.347222222222222E-2</v>
      </c>
      <c r="F2599" s="61" t="s">
        <v>6659</v>
      </c>
    </row>
    <row r="2600" spans="1:6" x14ac:dyDescent="0.25">
      <c r="A2600" s="15" t="s">
        <v>4316</v>
      </c>
      <c r="B2600" s="15" t="s">
        <v>4273</v>
      </c>
      <c r="C2600" s="52">
        <v>58.556924000000002</v>
      </c>
      <c r="D2600" s="25">
        <v>5.4166666666666669E-2</v>
      </c>
      <c r="F2600" s="61" t="s">
        <v>6660</v>
      </c>
    </row>
    <row r="2601" spans="1:6" x14ac:dyDescent="0.25">
      <c r="A2601" s="15" t="s">
        <v>4316</v>
      </c>
      <c r="B2601" s="15" t="s">
        <v>4274</v>
      </c>
      <c r="C2601" s="54">
        <v>64.069743000000003</v>
      </c>
      <c r="D2601" s="26">
        <v>5.8333333333333327E-2</v>
      </c>
      <c r="F2601" s="61" t="s">
        <v>6661</v>
      </c>
    </row>
    <row r="2602" spans="1:6" x14ac:dyDescent="0.25">
      <c r="A2602" s="15" t="s">
        <v>4316</v>
      </c>
      <c r="B2602" s="15" t="s">
        <v>4275</v>
      </c>
      <c r="C2602" s="52">
        <v>64.162948999999998</v>
      </c>
      <c r="D2602" s="25">
        <v>5.9027777777777783E-2</v>
      </c>
      <c r="F2602" s="61" t="s">
        <v>6662</v>
      </c>
    </row>
    <row r="2603" spans="1:6" x14ac:dyDescent="0.25">
      <c r="A2603" s="15" t="s">
        <v>4316</v>
      </c>
      <c r="B2603" s="15" t="s">
        <v>4276</v>
      </c>
      <c r="C2603" s="54">
        <v>57.500590000000003</v>
      </c>
      <c r="D2603" s="26">
        <v>5.1388888888888894E-2</v>
      </c>
      <c r="F2603" s="61" t="s">
        <v>6663</v>
      </c>
    </row>
    <row r="2604" spans="1:6" x14ac:dyDescent="0.25">
      <c r="A2604" s="15" t="s">
        <v>4316</v>
      </c>
      <c r="B2604" s="15" t="s">
        <v>4277</v>
      </c>
      <c r="C2604" s="52">
        <v>51.663415000000001</v>
      </c>
      <c r="D2604" s="25">
        <v>4.7222222222222221E-2</v>
      </c>
      <c r="F2604" s="61" t="s">
        <v>6664</v>
      </c>
    </row>
    <row r="2605" spans="1:6" x14ac:dyDescent="0.25">
      <c r="A2605" s="15" t="s">
        <v>4316</v>
      </c>
      <c r="B2605" s="15" t="s">
        <v>4278</v>
      </c>
      <c r="C2605" s="54">
        <v>64.930344000000005</v>
      </c>
      <c r="D2605" s="26">
        <v>5.8333333333333327E-2</v>
      </c>
      <c r="F2605" s="61" t="s">
        <v>6665</v>
      </c>
    </row>
    <row r="2606" spans="1:6" x14ac:dyDescent="0.25">
      <c r="A2606" s="15" t="s">
        <v>4316</v>
      </c>
      <c r="B2606" s="15" t="s">
        <v>4279</v>
      </c>
      <c r="C2606" s="52">
        <v>72.667676999999998</v>
      </c>
      <c r="D2606" s="25">
        <v>6.6666666666666666E-2</v>
      </c>
      <c r="F2606" s="61" t="s">
        <v>6666</v>
      </c>
    </row>
    <row r="2607" spans="1:6" x14ac:dyDescent="0.25">
      <c r="A2607" s="15" t="s">
        <v>4316</v>
      </c>
      <c r="B2607" s="15" t="s">
        <v>4280</v>
      </c>
      <c r="C2607" s="54">
        <v>61.917929000000001</v>
      </c>
      <c r="D2607" s="26">
        <v>6.3194444444444442E-2</v>
      </c>
      <c r="F2607" s="61" t="s">
        <v>6667</v>
      </c>
    </row>
    <row r="2608" spans="1:6" x14ac:dyDescent="0.25">
      <c r="A2608" s="15" t="s">
        <v>4316</v>
      </c>
      <c r="B2608" s="15" t="s">
        <v>4281</v>
      </c>
      <c r="C2608" s="52">
        <v>64.005120000000005</v>
      </c>
      <c r="D2608" s="25">
        <v>5.7638888888888885E-2</v>
      </c>
      <c r="F2608" s="61" t="s">
        <v>6668</v>
      </c>
    </row>
    <row r="2609" spans="1:6" x14ac:dyDescent="0.25">
      <c r="A2609" s="15" t="s">
        <v>4316</v>
      </c>
      <c r="B2609" s="15" t="s">
        <v>4282</v>
      </c>
      <c r="C2609" s="54">
        <v>107.205438</v>
      </c>
      <c r="D2609" s="26">
        <v>9.7916666666666666E-2</v>
      </c>
      <c r="F2609" s="61" t="s">
        <v>6669</v>
      </c>
    </row>
    <row r="2610" spans="1:6" x14ac:dyDescent="0.25">
      <c r="A2610" s="15" t="s">
        <v>4316</v>
      </c>
      <c r="B2610" s="15" t="s">
        <v>4283</v>
      </c>
      <c r="C2610" s="52">
        <v>115.089416</v>
      </c>
      <c r="D2610" s="25">
        <v>0.10347222222222223</v>
      </c>
      <c r="F2610" s="61" t="s">
        <v>6670</v>
      </c>
    </row>
    <row r="2611" spans="1:6" x14ac:dyDescent="0.25">
      <c r="A2611" s="15" t="s">
        <v>4316</v>
      </c>
      <c r="B2611" s="15" t="s">
        <v>4284</v>
      </c>
      <c r="C2611" s="54">
        <v>113.15197499999999</v>
      </c>
      <c r="D2611" s="26">
        <v>9.9999999999999992E-2</v>
      </c>
      <c r="F2611" s="61" t="s">
        <v>6671</v>
      </c>
    </row>
    <row r="2612" spans="1:6" x14ac:dyDescent="0.25">
      <c r="A2612" s="15" t="s">
        <v>4316</v>
      </c>
      <c r="B2612" s="15" t="s">
        <v>4285</v>
      </c>
      <c r="C2612" s="52">
        <v>116.88456100000001</v>
      </c>
      <c r="D2612" s="25">
        <v>0.10833333333333334</v>
      </c>
      <c r="F2612" s="61" t="s">
        <v>6672</v>
      </c>
    </row>
    <row r="2613" spans="1:6" x14ac:dyDescent="0.25">
      <c r="A2613" s="15" t="s">
        <v>4316</v>
      </c>
      <c r="B2613" s="15" t="s">
        <v>4286</v>
      </c>
      <c r="C2613" s="54">
        <v>114.461208</v>
      </c>
      <c r="D2613" s="26">
        <v>0.10486111111111111</v>
      </c>
      <c r="F2613" s="61" t="s">
        <v>6673</v>
      </c>
    </row>
    <row r="2614" spans="1:6" x14ac:dyDescent="0.25">
      <c r="A2614" s="15" t="s">
        <v>4316</v>
      </c>
      <c r="B2614" s="15" t="s">
        <v>4287</v>
      </c>
      <c r="C2614" s="52">
        <v>115.51692</v>
      </c>
      <c r="D2614" s="25">
        <v>0.10277777777777779</v>
      </c>
      <c r="F2614" s="61" t="s">
        <v>6674</v>
      </c>
    </row>
    <row r="2615" spans="1:6" x14ac:dyDescent="0.25">
      <c r="A2615" s="15" t="s">
        <v>4316</v>
      </c>
      <c r="B2615" s="15" t="s">
        <v>4288</v>
      </c>
      <c r="C2615" s="54">
        <v>120.34498600000001</v>
      </c>
      <c r="D2615" s="26">
        <v>0.1076388888888889</v>
      </c>
      <c r="F2615" s="61" t="s">
        <v>6675</v>
      </c>
    </row>
    <row r="2616" spans="1:6" x14ac:dyDescent="0.25">
      <c r="A2616" s="15" t="s">
        <v>4316</v>
      </c>
      <c r="B2616" s="15" t="s">
        <v>4289</v>
      </c>
      <c r="C2616" s="52">
        <v>58.717858999999997</v>
      </c>
      <c r="D2616" s="25">
        <v>5.4166666666666669E-2</v>
      </c>
      <c r="F2616" s="61" t="s">
        <v>6676</v>
      </c>
    </row>
    <row r="2617" spans="1:6" x14ac:dyDescent="0.25">
      <c r="A2617" s="15" t="s">
        <v>4316</v>
      </c>
      <c r="B2617" s="15" t="s">
        <v>4290</v>
      </c>
      <c r="C2617" s="54">
        <v>55.234444000000003</v>
      </c>
      <c r="D2617" s="26">
        <v>5.2083333333333336E-2</v>
      </c>
      <c r="F2617" s="61" t="s">
        <v>6677</v>
      </c>
    </row>
    <row r="2618" spans="1:6" x14ac:dyDescent="0.25">
      <c r="A2618" s="15" t="s">
        <v>4316</v>
      </c>
      <c r="B2618" s="15" t="s">
        <v>4291</v>
      </c>
      <c r="C2618" s="52">
        <v>55.776902</v>
      </c>
      <c r="D2618" s="25">
        <v>5.2777777777777778E-2</v>
      </c>
      <c r="F2618" s="61" t="s">
        <v>6678</v>
      </c>
    </row>
    <row r="2619" spans="1:6" x14ac:dyDescent="0.25">
      <c r="A2619" s="15" t="s">
        <v>4316</v>
      </c>
      <c r="B2619" s="15" t="s">
        <v>4292</v>
      </c>
      <c r="C2619" s="54">
        <v>57.040152999999997</v>
      </c>
      <c r="D2619" s="26">
        <v>5.5555555555555552E-2</v>
      </c>
      <c r="F2619" s="61" t="s">
        <v>6679</v>
      </c>
    </row>
    <row r="2620" spans="1:6" x14ac:dyDescent="0.25">
      <c r="A2620" s="15" t="s">
        <v>4316</v>
      </c>
      <c r="B2620" s="15" t="s">
        <v>4293</v>
      </c>
      <c r="C2620" s="52">
        <v>60.784545000000001</v>
      </c>
      <c r="D2620" s="25">
        <v>5.8333333333333327E-2</v>
      </c>
      <c r="F2620" s="61" t="s">
        <v>6680</v>
      </c>
    </row>
    <row r="2621" spans="1:6" x14ac:dyDescent="0.25">
      <c r="A2621" s="15" t="s">
        <v>4316</v>
      </c>
      <c r="B2621" s="15" t="s">
        <v>4294</v>
      </c>
      <c r="C2621" s="54">
        <v>61.763829000000001</v>
      </c>
      <c r="D2621" s="26">
        <v>6.0416666666666667E-2</v>
      </c>
      <c r="F2621" s="61" t="s">
        <v>6681</v>
      </c>
    </row>
    <row r="2622" spans="1:6" x14ac:dyDescent="0.25">
      <c r="A2622" s="15" t="s">
        <v>4316</v>
      </c>
      <c r="B2622" s="15" t="s">
        <v>4295</v>
      </c>
      <c r="C2622" s="52">
        <v>64.584239999999994</v>
      </c>
      <c r="D2622" s="25">
        <v>6.25E-2</v>
      </c>
      <c r="F2622" s="61" t="s">
        <v>6682</v>
      </c>
    </row>
    <row r="2623" spans="1:6" x14ac:dyDescent="0.25">
      <c r="A2623" s="15" t="s">
        <v>4316</v>
      </c>
      <c r="B2623" s="15" t="s">
        <v>4296</v>
      </c>
      <c r="C2623" s="54">
        <v>56.246659999999999</v>
      </c>
      <c r="D2623" s="26">
        <v>5.347222222222222E-2</v>
      </c>
      <c r="F2623" s="61" t="s">
        <v>6683</v>
      </c>
    </row>
    <row r="2624" spans="1:6" x14ac:dyDescent="0.25">
      <c r="A2624" s="15" t="s">
        <v>4316</v>
      </c>
      <c r="B2624" s="15" t="s">
        <v>4297</v>
      </c>
      <c r="C2624" s="52">
        <v>62.563535000000002</v>
      </c>
      <c r="D2624" s="25">
        <v>6.1111111111111116E-2</v>
      </c>
      <c r="F2624" s="61" t="s">
        <v>6684</v>
      </c>
    </row>
    <row r="2625" spans="1:6" x14ac:dyDescent="0.25">
      <c r="A2625" s="15" t="s">
        <v>4316</v>
      </c>
      <c r="B2625" s="15" t="s">
        <v>4298</v>
      </c>
      <c r="C2625" s="54">
        <v>66.247033000000002</v>
      </c>
      <c r="D2625" s="26">
        <v>6.805555555555555E-2</v>
      </c>
      <c r="F2625" s="61" t="s">
        <v>6685</v>
      </c>
    </row>
    <row r="2626" spans="1:6" x14ac:dyDescent="0.25">
      <c r="A2626" s="15" t="s">
        <v>4316</v>
      </c>
      <c r="B2626" s="15" t="s">
        <v>4299</v>
      </c>
      <c r="C2626" s="52">
        <v>71.667266999999995</v>
      </c>
      <c r="D2626" s="25">
        <v>7.4999999999999997E-2</v>
      </c>
      <c r="F2626" s="61" t="s">
        <v>6686</v>
      </c>
    </row>
    <row r="2627" spans="1:6" x14ac:dyDescent="0.25">
      <c r="A2627" s="15" t="s">
        <v>4316</v>
      </c>
      <c r="B2627" s="15" t="s">
        <v>4300</v>
      </c>
      <c r="C2627" s="54">
        <v>77.594542000000004</v>
      </c>
      <c r="D2627" s="26">
        <v>8.6111111111111124E-2</v>
      </c>
      <c r="F2627" s="61" t="s">
        <v>6687</v>
      </c>
    </row>
    <row r="2628" spans="1:6" x14ac:dyDescent="0.25">
      <c r="A2628" s="15" t="s">
        <v>4316</v>
      </c>
      <c r="B2628" s="15" t="s">
        <v>4301</v>
      </c>
      <c r="C2628" s="52">
        <v>53.145389000000002</v>
      </c>
      <c r="D2628" s="25">
        <v>5.2083333333333336E-2</v>
      </c>
      <c r="F2628" s="61" t="s">
        <v>6688</v>
      </c>
    </row>
    <row r="2629" spans="1:6" x14ac:dyDescent="0.25">
      <c r="A2629" s="15" t="s">
        <v>4316</v>
      </c>
      <c r="B2629" s="15" t="s">
        <v>4302</v>
      </c>
      <c r="C2629" s="54">
        <v>57.601874000000002</v>
      </c>
      <c r="D2629" s="26">
        <v>5.5555555555555552E-2</v>
      </c>
      <c r="F2629" s="61" t="s">
        <v>6689</v>
      </c>
    </row>
    <row r="2630" spans="1:6" x14ac:dyDescent="0.25">
      <c r="A2630" s="15" t="s">
        <v>4316</v>
      </c>
      <c r="B2630" s="15" t="s">
        <v>4303</v>
      </c>
      <c r="C2630" s="52">
        <v>71.613828999999996</v>
      </c>
      <c r="D2630" s="25">
        <v>7.013888888888889E-2</v>
      </c>
      <c r="F2630" s="61" t="s">
        <v>6690</v>
      </c>
    </row>
    <row r="2631" spans="1:6" x14ac:dyDescent="0.25">
      <c r="A2631" s="15" t="s">
        <v>4316</v>
      </c>
      <c r="B2631" s="15" t="s">
        <v>4304</v>
      </c>
      <c r="C2631" s="54">
        <v>52.399742000000003</v>
      </c>
      <c r="D2631" s="26">
        <v>5.2083333333333336E-2</v>
      </c>
      <c r="F2631" s="61" t="s">
        <v>6691</v>
      </c>
    </row>
    <row r="2632" spans="1:6" x14ac:dyDescent="0.25">
      <c r="A2632" s="15" t="s">
        <v>4316</v>
      </c>
      <c r="B2632" s="15" t="s">
        <v>4305</v>
      </c>
      <c r="C2632" s="52">
        <v>51.123441999999997</v>
      </c>
      <c r="D2632" s="25">
        <v>4.9999999999999996E-2</v>
      </c>
      <c r="F2632" s="61" t="s">
        <v>6692</v>
      </c>
    </row>
    <row r="2633" spans="1:6" x14ac:dyDescent="0.25">
      <c r="A2633" s="15" t="s">
        <v>4316</v>
      </c>
      <c r="B2633" s="15" t="s">
        <v>4306</v>
      </c>
      <c r="C2633" s="54">
        <v>125.27433600000001</v>
      </c>
      <c r="D2633" s="26">
        <v>0.10902777777777778</v>
      </c>
      <c r="F2633" s="61" t="s">
        <v>6693</v>
      </c>
    </row>
    <row r="2634" spans="1:6" x14ac:dyDescent="0.25">
      <c r="A2634" s="15" t="s">
        <v>4316</v>
      </c>
      <c r="B2634" s="15" t="s">
        <v>4307</v>
      </c>
      <c r="C2634" s="52">
        <v>124.17761299999999</v>
      </c>
      <c r="D2634" s="25">
        <v>0.1076388888888889</v>
      </c>
      <c r="F2634" s="61" t="s">
        <v>6694</v>
      </c>
    </row>
    <row r="2635" spans="1:6" x14ac:dyDescent="0.25">
      <c r="A2635" s="15" t="s">
        <v>4316</v>
      </c>
      <c r="B2635" s="15" t="s">
        <v>4308</v>
      </c>
      <c r="C2635" s="54">
        <v>122.40110900000001</v>
      </c>
      <c r="D2635" s="26">
        <v>0.10555555555555556</v>
      </c>
      <c r="F2635" s="61" t="s">
        <v>6695</v>
      </c>
    </row>
    <row r="2636" spans="1:6" x14ac:dyDescent="0.25">
      <c r="A2636" s="15" t="s">
        <v>4316</v>
      </c>
      <c r="B2636" s="15" t="s">
        <v>4309</v>
      </c>
      <c r="C2636" s="52">
        <v>141.351113</v>
      </c>
      <c r="D2636" s="25">
        <v>0.12708333333333333</v>
      </c>
      <c r="F2636" s="61" t="s">
        <v>6696</v>
      </c>
    </row>
    <row r="2637" spans="1:6" x14ac:dyDescent="0.25">
      <c r="A2637" s="15" t="s">
        <v>4316</v>
      </c>
      <c r="B2637" s="15" t="s">
        <v>4310</v>
      </c>
      <c r="C2637" s="54">
        <v>146.20651899999999</v>
      </c>
      <c r="D2637" s="26">
        <v>0.13541666666666666</v>
      </c>
      <c r="F2637" s="61" t="s">
        <v>6697</v>
      </c>
    </row>
    <row r="2638" spans="1:6" x14ac:dyDescent="0.25">
      <c r="A2638" s="15" t="s">
        <v>4316</v>
      </c>
      <c r="B2638" s="15" t="s">
        <v>4311</v>
      </c>
      <c r="C2638" s="52">
        <v>132.38967500000001</v>
      </c>
      <c r="D2638" s="25">
        <v>0.12222222222222223</v>
      </c>
      <c r="F2638" s="61" t="s">
        <v>6698</v>
      </c>
    </row>
    <row r="2639" spans="1:6" x14ac:dyDescent="0.25">
      <c r="A2639" s="15" t="s">
        <v>4316</v>
      </c>
      <c r="B2639" s="15" t="s">
        <v>4312</v>
      </c>
      <c r="C2639" s="54">
        <v>128.91868700000001</v>
      </c>
      <c r="D2639" s="26">
        <v>0.11388888888888889</v>
      </c>
      <c r="F2639" s="61" t="s">
        <v>6699</v>
      </c>
    </row>
    <row r="2640" spans="1:6" x14ac:dyDescent="0.25">
      <c r="A2640" s="15" t="s">
        <v>4316</v>
      </c>
      <c r="B2640" s="15" t="s">
        <v>4313</v>
      </c>
      <c r="C2640" s="52">
        <v>151.57145199999999</v>
      </c>
      <c r="D2640" s="25">
        <v>0.13472222222222222</v>
      </c>
      <c r="F2640" s="61" t="s">
        <v>6700</v>
      </c>
    </row>
    <row r="2641" spans="1:6" x14ac:dyDescent="0.25">
      <c r="A2641" s="15" t="s">
        <v>4316</v>
      </c>
      <c r="B2641" s="15" t="s">
        <v>4314</v>
      </c>
      <c r="C2641" s="54">
        <v>2.7837499999999999</v>
      </c>
      <c r="D2641" s="26">
        <v>6.9444444444444441E-3</v>
      </c>
      <c r="F2641" s="61" t="s">
        <v>6701</v>
      </c>
    </row>
    <row r="2642" spans="1:6" x14ac:dyDescent="0.25">
      <c r="A2642" s="15" t="s">
        <v>4316</v>
      </c>
      <c r="B2642" s="15" t="s">
        <v>4315</v>
      </c>
      <c r="C2642" s="52">
        <v>3.2808480000000002</v>
      </c>
      <c r="D2642" s="25">
        <v>9.0277777777777787E-3</v>
      </c>
      <c r="F2642" s="61" t="s">
        <v>6702</v>
      </c>
    </row>
    <row r="2643" spans="1:6" x14ac:dyDescent="0.25">
      <c r="A2643" s="15" t="s">
        <v>4316</v>
      </c>
      <c r="B2643" s="15" t="s">
        <v>4316</v>
      </c>
      <c r="C2643" s="54">
        <v>0</v>
      </c>
      <c r="D2643" s="26">
        <v>0</v>
      </c>
      <c r="F2643" s="61" t="s">
        <v>6703</v>
      </c>
    </row>
    <row r="2644" spans="1:6" x14ac:dyDescent="0.25">
      <c r="A2644" s="15" t="s">
        <v>4316</v>
      </c>
      <c r="B2644" s="15" t="s">
        <v>4317</v>
      </c>
      <c r="C2644" s="52">
        <v>183.37393</v>
      </c>
      <c r="D2644" s="25">
        <v>0.15138888888888888</v>
      </c>
      <c r="F2644" s="61" t="s">
        <v>6704</v>
      </c>
    </row>
    <row r="2645" spans="1:6" x14ac:dyDescent="0.25">
      <c r="A2645" s="15" t="s">
        <v>4316</v>
      </c>
      <c r="B2645" s="15" t="s">
        <v>4318</v>
      </c>
      <c r="C2645" s="54">
        <v>192.485118</v>
      </c>
      <c r="D2645" s="26">
        <v>0.15972222222222224</v>
      </c>
      <c r="F2645" s="61" t="s">
        <v>6705</v>
      </c>
    </row>
    <row r="2646" spans="1:6" x14ac:dyDescent="0.25">
      <c r="A2646" s="15" t="s">
        <v>4316</v>
      </c>
      <c r="B2646" s="15" t="s">
        <v>4319</v>
      </c>
      <c r="C2646" s="52">
        <v>186.122883</v>
      </c>
      <c r="D2646" s="25">
        <v>0.15555555555555556</v>
      </c>
      <c r="F2646" s="61" t="s">
        <v>6706</v>
      </c>
    </row>
    <row r="2647" spans="1:6" x14ac:dyDescent="0.25">
      <c r="A2647" s="15" t="s">
        <v>4316</v>
      </c>
      <c r="B2647" s="15" t="s">
        <v>4320</v>
      </c>
      <c r="C2647" s="54">
        <v>153.971193</v>
      </c>
      <c r="D2647" s="26">
        <v>0.13402777777777777</v>
      </c>
      <c r="F2647" s="61" t="s">
        <v>6707</v>
      </c>
    </row>
    <row r="2648" spans="1:6" x14ac:dyDescent="0.25">
      <c r="A2648" s="15" t="s">
        <v>4316</v>
      </c>
      <c r="B2648" s="15" t="s">
        <v>4321</v>
      </c>
      <c r="C2648" s="52">
        <v>152.87012100000001</v>
      </c>
      <c r="D2648" s="25">
        <v>0.13194444444444445</v>
      </c>
      <c r="F2648" s="61" t="s">
        <v>6708</v>
      </c>
    </row>
    <row r="2649" spans="1:6" x14ac:dyDescent="0.25">
      <c r="A2649" s="15" t="s">
        <v>4317</v>
      </c>
      <c r="B2649" s="15">
        <v>3423909</v>
      </c>
      <c r="C2649" s="54">
        <v>165.96120099999999</v>
      </c>
      <c r="D2649" s="26">
        <v>0.1361111111111111</v>
      </c>
      <c r="F2649" s="61" t="s">
        <v>7062</v>
      </c>
    </row>
    <row r="2650" spans="1:6" x14ac:dyDescent="0.25">
      <c r="A2650" s="15" t="s">
        <v>4317</v>
      </c>
      <c r="B2650" s="15">
        <v>3403208</v>
      </c>
      <c r="C2650" s="52">
        <v>55.6402</v>
      </c>
      <c r="D2650" s="25">
        <v>5.486111111111111E-2</v>
      </c>
      <c r="F2650" s="61" t="s">
        <v>7167</v>
      </c>
    </row>
    <row r="2651" spans="1:6" x14ac:dyDescent="0.25">
      <c r="A2651" s="15" t="s">
        <v>4317</v>
      </c>
      <c r="B2651" s="15">
        <v>3424402</v>
      </c>
      <c r="C2651" s="54">
        <v>223.25736000000001</v>
      </c>
      <c r="D2651" s="26">
        <v>0.18263888888888891</v>
      </c>
      <c r="F2651" s="61" t="s">
        <v>7274</v>
      </c>
    </row>
    <row r="2652" spans="1:6" x14ac:dyDescent="0.25">
      <c r="A2652" s="15" t="s">
        <v>4317</v>
      </c>
      <c r="B2652" s="15" t="s">
        <v>4271</v>
      </c>
      <c r="C2652" s="52">
        <v>144.430015</v>
      </c>
      <c r="D2652" s="25">
        <v>0.12152777777777778</v>
      </c>
      <c r="F2652" s="61" t="s">
        <v>6709</v>
      </c>
    </row>
    <row r="2653" spans="1:6" x14ac:dyDescent="0.25">
      <c r="A2653" s="15" t="s">
        <v>4317</v>
      </c>
      <c r="B2653" s="15" t="s">
        <v>4272</v>
      </c>
      <c r="C2653" s="54">
        <v>137.985758</v>
      </c>
      <c r="D2653" s="26">
        <v>0.11666666666666665</v>
      </c>
      <c r="F2653" s="61" t="s">
        <v>6710</v>
      </c>
    </row>
    <row r="2654" spans="1:6" x14ac:dyDescent="0.25">
      <c r="A2654" s="15" t="s">
        <v>4317</v>
      </c>
      <c r="B2654" s="15" t="s">
        <v>4273</v>
      </c>
      <c r="C2654" s="52">
        <v>139.34221500000001</v>
      </c>
      <c r="D2654" s="25">
        <v>0.12083333333333333</v>
      </c>
      <c r="F2654" s="61" t="s">
        <v>6711</v>
      </c>
    </row>
    <row r="2655" spans="1:6" x14ac:dyDescent="0.25">
      <c r="A2655" s="15" t="s">
        <v>4317</v>
      </c>
      <c r="B2655" s="15" t="s">
        <v>4274</v>
      </c>
      <c r="C2655" s="54">
        <v>136.32234299999999</v>
      </c>
      <c r="D2655" s="26">
        <v>0.11388888888888889</v>
      </c>
      <c r="F2655" s="61" t="s">
        <v>6712</v>
      </c>
    </row>
    <row r="2656" spans="1:6" x14ac:dyDescent="0.25">
      <c r="A2656" s="15" t="s">
        <v>4317</v>
      </c>
      <c r="B2656" s="15" t="s">
        <v>4275</v>
      </c>
      <c r="C2656" s="52">
        <v>136.415549</v>
      </c>
      <c r="D2656" s="25">
        <v>0.11458333333333333</v>
      </c>
      <c r="F2656" s="61" t="s">
        <v>6713</v>
      </c>
    </row>
    <row r="2657" spans="1:6" x14ac:dyDescent="0.25">
      <c r="A2657" s="15" t="s">
        <v>4317</v>
      </c>
      <c r="B2657" s="15" t="s">
        <v>4276</v>
      </c>
      <c r="C2657" s="54">
        <v>145.120981</v>
      </c>
      <c r="D2657" s="26">
        <v>0.12152777777777778</v>
      </c>
      <c r="F2657" s="61" t="s">
        <v>6714</v>
      </c>
    </row>
    <row r="2658" spans="1:6" x14ac:dyDescent="0.25">
      <c r="A2658" s="15" t="s">
        <v>4317</v>
      </c>
      <c r="B2658" s="15" t="s">
        <v>4277</v>
      </c>
      <c r="C2658" s="52">
        <v>138.595325</v>
      </c>
      <c r="D2658" s="25">
        <v>0.11597222222222221</v>
      </c>
      <c r="F2658" s="61" t="s">
        <v>6715</v>
      </c>
    </row>
    <row r="2659" spans="1:6" x14ac:dyDescent="0.25">
      <c r="A2659" s="15" t="s">
        <v>4317</v>
      </c>
      <c r="B2659" s="15" t="s">
        <v>4278</v>
      </c>
      <c r="C2659" s="54">
        <v>146.15929499999999</v>
      </c>
      <c r="D2659" s="26">
        <v>0.12291666666666667</v>
      </c>
      <c r="F2659" s="61" t="s">
        <v>6716</v>
      </c>
    </row>
    <row r="2660" spans="1:6" x14ac:dyDescent="0.25">
      <c r="A2660" s="15" t="s">
        <v>4317</v>
      </c>
      <c r="B2660" s="15" t="s">
        <v>4279</v>
      </c>
      <c r="C2660" s="52">
        <v>117.969478</v>
      </c>
      <c r="D2660" s="25">
        <v>9.8611111111111108E-2</v>
      </c>
      <c r="F2660" s="61" t="s">
        <v>6717</v>
      </c>
    </row>
    <row r="2661" spans="1:6" x14ac:dyDescent="0.25">
      <c r="A2661" s="15" t="s">
        <v>4317</v>
      </c>
      <c r="B2661" s="15" t="s">
        <v>4280</v>
      </c>
      <c r="C2661" s="54">
        <v>192.01535999999999</v>
      </c>
      <c r="D2661" s="26">
        <v>0.16180555555555556</v>
      </c>
      <c r="F2661" s="61" t="s">
        <v>6718</v>
      </c>
    </row>
    <row r="2662" spans="1:6" x14ac:dyDescent="0.25">
      <c r="A2662" s="15" t="s">
        <v>4317</v>
      </c>
      <c r="B2662" s="15" t="s">
        <v>4281</v>
      </c>
      <c r="C2662" s="52">
        <v>124.09621300000001</v>
      </c>
      <c r="D2662" s="25">
        <v>0.1013888888888889</v>
      </c>
      <c r="F2662" s="61" t="s">
        <v>6719</v>
      </c>
    </row>
    <row r="2663" spans="1:6" x14ac:dyDescent="0.25">
      <c r="A2663" s="15" t="s">
        <v>4317</v>
      </c>
      <c r="B2663" s="15" t="s">
        <v>4282</v>
      </c>
      <c r="C2663" s="54">
        <v>222.29858200000001</v>
      </c>
      <c r="D2663" s="26">
        <v>0.18263888888888891</v>
      </c>
      <c r="F2663" s="61" t="s">
        <v>6720</v>
      </c>
    </row>
    <row r="2664" spans="1:6" x14ac:dyDescent="0.25">
      <c r="A2664" s="15" t="s">
        <v>4317</v>
      </c>
      <c r="B2664" s="15" t="s">
        <v>4283</v>
      </c>
      <c r="C2664" s="52">
        <v>230.182559</v>
      </c>
      <c r="D2664" s="25">
        <v>0.18819444444444444</v>
      </c>
      <c r="F2664" s="61" t="s">
        <v>6721</v>
      </c>
    </row>
    <row r="2665" spans="1:6" x14ac:dyDescent="0.25">
      <c r="A2665" s="15" t="s">
        <v>4317</v>
      </c>
      <c r="B2665" s="15" t="s">
        <v>4284</v>
      </c>
      <c r="C2665" s="54">
        <v>228.24511899999999</v>
      </c>
      <c r="D2665" s="26">
        <v>0.18472222222222223</v>
      </c>
      <c r="F2665" s="61" t="s">
        <v>6722</v>
      </c>
    </row>
    <row r="2666" spans="1:6" x14ac:dyDescent="0.25">
      <c r="A2666" s="15" t="s">
        <v>4317</v>
      </c>
      <c r="B2666" s="15" t="s">
        <v>4285</v>
      </c>
      <c r="C2666" s="52">
        <v>231.97770499999999</v>
      </c>
      <c r="D2666" s="25">
        <v>0.19305555555555554</v>
      </c>
      <c r="F2666" s="61" t="s">
        <v>6723</v>
      </c>
    </row>
    <row r="2667" spans="1:6" x14ac:dyDescent="0.25">
      <c r="A2667" s="15" t="s">
        <v>4317</v>
      </c>
      <c r="B2667" s="15" t="s">
        <v>4286</v>
      </c>
      <c r="C2667" s="54">
        <v>229.554351</v>
      </c>
      <c r="D2667" s="26">
        <v>0.18958333333333333</v>
      </c>
      <c r="F2667" s="61" t="s">
        <v>6724</v>
      </c>
    </row>
    <row r="2668" spans="1:6" x14ac:dyDescent="0.25">
      <c r="A2668" s="15" t="s">
        <v>4317</v>
      </c>
      <c r="B2668" s="15" t="s">
        <v>4287</v>
      </c>
      <c r="C2668" s="52">
        <v>230.61006399999999</v>
      </c>
      <c r="D2668" s="25">
        <v>0.1875</v>
      </c>
      <c r="F2668" s="61" t="s">
        <v>6725</v>
      </c>
    </row>
    <row r="2669" spans="1:6" x14ac:dyDescent="0.25">
      <c r="A2669" s="15" t="s">
        <v>4317</v>
      </c>
      <c r="B2669" s="15" t="s">
        <v>4288</v>
      </c>
      <c r="C2669" s="54">
        <v>235.43813</v>
      </c>
      <c r="D2669" s="26">
        <v>0.19236111111111112</v>
      </c>
      <c r="F2669" s="61" t="s">
        <v>6726</v>
      </c>
    </row>
    <row r="2670" spans="1:6" x14ac:dyDescent="0.25">
      <c r="A2670" s="15" t="s">
        <v>4317</v>
      </c>
      <c r="B2670" s="15" t="s">
        <v>4289</v>
      </c>
      <c r="C2670" s="52">
        <v>188.79540700000001</v>
      </c>
      <c r="D2670" s="25">
        <v>0.15347222222222223</v>
      </c>
      <c r="F2670" s="61" t="s">
        <v>6727</v>
      </c>
    </row>
    <row r="2671" spans="1:6" x14ac:dyDescent="0.25">
      <c r="A2671" s="15" t="s">
        <v>4317</v>
      </c>
      <c r="B2671" s="15" t="s">
        <v>4290</v>
      </c>
      <c r="C2671" s="54">
        <v>190.36748</v>
      </c>
      <c r="D2671" s="26">
        <v>0.15694444444444444</v>
      </c>
      <c r="F2671" s="61" t="s">
        <v>6728</v>
      </c>
    </row>
    <row r="2672" spans="1:6" x14ac:dyDescent="0.25">
      <c r="A2672" s="15" t="s">
        <v>4317</v>
      </c>
      <c r="B2672" s="15" t="s">
        <v>4291</v>
      </c>
      <c r="C2672" s="52">
        <v>189.96917999999999</v>
      </c>
      <c r="D2672" s="25">
        <v>0.15694444444444444</v>
      </c>
      <c r="F2672" s="61" t="s">
        <v>6729</v>
      </c>
    </row>
    <row r="2673" spans="1:6" x14ac:dyDescent="0.25">
      <c r="A2673" s="15" t="s">
        <v>4317</v>
      </c>
      <c r="B2673" s="15" t="s">
        <v>4292</v>
      </c>
      <c r="C2673" s="54">
        <v>189.092423</v>
      </c>
      <c r="D2673" s="26">
        <v>0.15625</v>
      </c>
      <c r="F2673" s="61" t="s">
        <v>6730</v>
      </c>
    </row>
    <row r="2674" spans="1:6" x14ac:dyDescent="0.25">
      <c r="A2674" s="15" t="s">
        <v>4317</v>
      </c>
      <c r="B2674" s="15" t="s">
        <v>4293</v>
      </c>
      <c r="C2674" s="52">
        <v>198.24275800000001</v>
      </c>
      <c r="D2674" s="25">
        <v>0.16319444444444445</v>
      </c>
      <c r="F2674" s="61" t="s">
        <v>6731</v>
      </c>
    </row>
    <row r="2675" spans="1:6" x14ac:dyDescent="0.25">
      <c r="A2675" s="15" t="s">
        <v>4317</v>
      </c>
      <c r="B2675" s="15" t="s">
        <v>4294</v>
      </c>
      <c r="C2675" s="54">
        <v>199.22204099999999</v>
      </c>
      <c r="D2675" s="26">
        <v>0.16597222222222222</v>
      </c>
      <c r="F2675" s="61" t="s">
        <v>6732</v>
      </c>
    </row>
    <row r="2676" spans="1:6" x14ac:dyDescent="0.25">
      <c r="A2676" s="15" t="s">
        <v>4317</v>
      </c>
      <c r="B2676" s="15" t="s">
        <v>4295</v>
      </c>
      <c r="C2676" s="52">
        <v>202.042452</v>
      </c>
      <c r="D2676" s="25">
        <v>0.16805555555555554</v>
      </c>
      <c r="F2676" s="61" t="s">
        <v>6733</v>
      </c>
    </row>
    <row r="2677" spans="1:6" x14ac:dyDescent="0.25">
      <c r="A2677" s="15" t="s">
        <v>4317</v>
      </c>
      <c r="B2677" s="15" t="s">
        <v>4296</v>
      </c>
      <c r="C2677" s="54">
        <v>193.70487299999999</v>
      </c>
      <c r="D2677" s="26">
        <v>0.15833333333333333</v>
      </c>
      <c r="F2677" s="61" t="s">
        <v>6734</v>
      </c>
    </row>
    <row r="2678" spans="1:6" x14ac:dyDescent="0.25">
      <c r="A2678" s="15" t="s">
        <v>4317</v>
      </c>
      <c r="B2678" s="15" t="s">
        <v>4297</v>
      </c>
      <c r="C2678" s="52">
        <v>200.021748</v>
      </c>
      <c r="D2678" s="25">
        <v>0.16666666666666666</v>
      </c>
      <c r="F2678" s="61" t="s">
        <v>6735</v>
      </c>
    </row>
    <row r="2679" spans="1:6" x14ac:dyDescent="0.25">
      <c r="A2679" s="15" t="s">
        <v>4317</v>
      </c>
      <c r="B2679" s="15" t="s">
        <v>4298</v>
      </c>
      <c r="C2679" s="54">
        <v>201.35335000000001</v>
      </c>
      <c r="D2679" s="26">
        <v>0.17291666666666669</v>
      </c>
      <c r="F2679" s="61" t="s">
        <v>6736</v>
      </c>
    </row>
    <row r="2680" spans="1:6" x14ac:dyDescent="0.25">
      <c r="A2680" s="15" t="s">
        <v>4317</v>
      </c>
      <c r="B2680" s="15" t="s">
        <v>4299</v>
      </c>
      <c r="C2680" s="52">
        <v>203.615768</v>
      </c>
      <c r="D2680" s="25">
        <v>0.1763888888888889</v>
      </c>
      <c r="F2680" s="61" t="s">
        <v>6737</v>
      </c>
    </row>
    <row r="2681" spans="1:6" x14ac:dyDescent="0.25">
      <c r="A2681" s="15" t="s">
        <v>4317</v>
      </c>
      <c r="B2681" s="15" t="s">
        <v>4300</v>
      </c>
      <c r="C2681" s="54">
        <v>207.675196</v>
      </c>
      <c r="D2681" s="26">
        <v>0.18541666666666667</v>
      </c>
      <c r="F2681" s="61" t="s">
        <v>6738</v>
      </c>
    </row>
    <row r="2682" spans="1:6" x14ac:dyDescent="0.25">
      <c r="A2682" s="15" t="s">
        <v>4317</v>
      </c>
      <c r="B2682" s="15" t="s">
        <v>4301</v>
      </c>
      <c r="C2682" s="52">
        <v>198.97970599999999</v>
      </c>
      <c r="D2682" s="25">
        <v>0.17361111111111113</v>
      </c>
      <c r="F2682" s="61" t="s">
        <v>6739</v>
      </c>
    </row>
    <row r="2683" spans="1:6" x14ac:dyDescent="0.25">
      <c r="A2683" s="15" t="s">
        <v>4317</v>
      </c>
      <c r="B2683" s="15" t="s">
        <v>4302</v>
      </c>
      <c r="C2683" s="54">
        <v>188.54126500000001</v>
      </c>
      <c r="D2683" s="26">
        <v>0.15763888888888888</v>
      </c>
      <c r="F2683" s="61" t="s">
        <v>6740</v>
      </c>
    </row>
    <row r="2684" spans="1:6" x14ac:dyDescent="0.25">
      <c r="A2684" s="15" t="s">
        <v>4317</v>
      </c>
      <c r="B2684" s="15" t="s">
        <v>4303</v>
      </c>
      <c r="C2684" s="52">
        <v>201.69883300000001</v>
      </c>
      <c r="D2684" s="25">
        <v>0.16944444444444443</v>
      </c>
      <c r="F2684" s="61" t="s">
        <v>6741</v>
      </c>
    </row>
    <row r="2685" spans="1:6" x14ac:dyDescent="0.25">
      <c r="A2685" s="15" t="s">
        <v>4317</v>
      </c>
      <c r="B2685" s="15" t="s">
        <v>4304</v>
      </c>
      <c r="C2685" s="54">
        <v>189.20302699999999</v>
      </c>
      <c r="D2685" s="26">
        <v>0.17083333333333331</v>
      </c>
      <c r="F2685" s="61" t="s">
        <v>6742</v>
      </c>
    </row>
    <row r="2686" spans="1:6" x14ac:dyDescent="0.25">
      <c r="A2686" s="15" t="s">
        <v>4317</v>
      </c>
      <c r="B2686" s="15" t="s">
        <v>4305</v>
      </c>
      <c r="C2686" s="52">
        <v>186.16886400000001</v>
      </c>
      <c r="D2686" s="25">
        <v>0.16527777777777777</v>
      </c>
      <c r="F2686" s="61" t="s">
        <v>6743</v>
      </c>
    </row>
    <row r="2687" spans="1:6" x14ac:dyDescent="0.25">
      <c r="A2687" s="15" t="s">
        <v>4317</v>
      </c>
      <c r="B2687" s="15" t="s">
        <v>4306</v>
      </c>
      <c r="C2687" s="54">
        <v>68.198764999999995</v>
      </c>
      <c r="D2687" s="26">
        <v>6.5277777777777782E-2</v>
      </c>
      <c r="F2687" s="61" t="s">
        <v>6744</v>
      </c>
    </row>
    <row r="2688" spans="1:6" x14ac:dyDescent="0.25">
      <c r="A2688" s="15" t="s">
        <v>4317</v>
      </c>
      <c r="B2688" s="15" t="s">
        <v>4307</v>
      </c>
      <c r="C2688" s="52">
        <v>67.143051999999997</v>
      </c>
      <c r="D2688" s="25">
        <v>6.25E-2</v>
      </c>
      <c r="F2688" s="61" t="s">
        <v>6745</v>
      </c>
    </row>
    <row r="2689" spans="1:6" x14ac:dyDescent="0.25">
      <c r="A2689" s="15" t="s">
        <v>4317</v>
      </c>
      <c r="B2689" s="15" t="s">
        <v>4308</v>
      </c>
      <c r="C2689" s="54">
        <v>65.793430999999998</v>
      </c>
      <c r="D2689" s="26">
        <v>6.1111111111111116E-2</v>
      </c>
      <c r="F2689" s="61" t="s">
        <v>6746</v>
      </c>
    </row>
    <row r="2690" spans="1:6" x14ac:dyDescent="0.25">
      <c r="A2690" s="15" t="s">
        <v>4317</v>
      </c>
      <c r="B2690" s="15" t="s">
        <v>4309</v>
      </c>
      <c r="C2690" s="52">
        <v>256.44425699999999</v>
      </c>
      <c r="D2690" s="25">
        <v>0.21180555555555555</v>
      </c>
      <c r="F2690" s="61" t="s">
        <v>6747</v>
      </c>
    </row>
    <row r="2691" spans="1:6" x14ac:dyDescent="0.25">
      <c r="A2691" s="15" t="s">
        <v>4317</v>
      </c>
      <c r="B2691" s="15" t="s">
        <v>4310</v>
      </c>
      <c r="C2691" s="54">
        <v>258.00576599999999</v>
      </c>
      <c r="D2691" s="26">
        <v>0.21527777777777779</v>
      </c>
      <c r="F2691" s="61" t="s">
        <v>6748</v>
      </c>
    </row>
    <row r="2692" spans="1:6" x14ac:dyDescent="0.25">
      <c r="A2692" s="15" t="s">
        <v>4317</v>
      </c>
      <c r="B2692" s="15" t="s">
        <v>4311</v>
      </c>
      <c r="C2692" s="52">
        <v>262.098749</v>
      </c>
      <c r="D2692" s="25">
        <v>0.22013888888888888</v>
      </c>
      <c r="F2692" s="61" t="s">
        <v>6749</v>
      </c>
    </row>
    <row r="2693" spans="1:6" x14ac:dyDescent="0.25">
      <c r="A2693" s="15" t="s">
        <v>4317</v>
      </c>
      <c r="B2693" s="15" t="s">
        <v>4312</v>
      </c>
      <c r="C2693" s="54">
        <v>244.011831</v>
      </c>
      <c r="D2693" s="26">
        <v>0.1986111111111111</v>
      </c>
      <c r="F2693" s="61" t="s">
        <v>6750</v>
      </c>
    </row>
    <row r="2694" spans="1:6" x14ac:dyDescent="0.25">
      <c r="A2694" s="15" t="s">
        <v>4317</v>
      </c>
      <c r="B2694" s="15" t="s">
        <v>4313</v>
      </c>
      <c r="C2694" s="52">
        <v>262.685946</v>
      </c>
      <c r="D2694" s="25">
        <v>0.21805555555555556</v>
      </c>
      <c r="F2694" s="61" t="s">
        <v>6751</v>
      </c>
    </row>
    <row r="2695" spans="1:6" x14ac:dyDescent="0.25">
      <c r="A2695" s="15" t="s">
        <v>4317</v>
      </c>
      <c r="B2695" s="15" t="s">
        <v>4314</v>
      </c>
      <c r="C2695" s="54">
        <v>197.637541</v>
      </c>
      <c r="D2695" s="26">
        <v>0.16388888888888889</v>
      </c>
      <c r="F2695" s="61" t="s">
        <v>6752</v>
      </c>
    </row>
    <row r="2696" spans="1:6" x14ac:dyDescent="0.25">
      <c r="A2696" s="15" t="s">
        <v>4317</v>
      </c>
      <c r="B2696" s="15" t="s">
        <v>4315</v>
      </c>
      <c r="C2696" s="52">
        <v>201.93060500000001</v>
      </c>
      <c r="D2696" s="25">
        <v>0.17291666666666669</v>
      </c>
      <c r="F2696" s="61" t="s">
        <v>6753</v>
      </c>
    </row>
    <row r="2697" spans="1:6" x14ac:dyDescent="0.25">
      <c r="A2697" s="15" t="s">
        <v>4317</v>
      </c>
      <c r="B2697" s="15" t="s">
        <v>4316</v>
      </c>
      <c r="C2697" s="54">
        <v>200.037904</v>
      </c>
      <c r="D2697" s="26">
        <v>0.16944444444444443</v>
      </c>
      <c r="F2697" s="61" t="s">
        <v>6754</v>
      </c>
    </row>
    <row r="2698" spans="1:6" x14ac:dyDescent="0.25">
      <c r="A2698" s="15" t="s">
        <v>4317</v>
      </c>
      <c r="B2698" s="15" t="s">
        <v>4317</v>
      </c>
      <c r="C2698" s="52">
        <v>0</v>
      </c>
      <c r="D2698" s="25">
        <v>0</v>
      </c>
      <c r="F2698" s="61" t="s">
        <v>6755</v>
      </c>
    </row>
    <row r="2699" spans="1:6" x14ac:dyDescent="0.25">
      <c r="A2699" s="15" t="s">
        <v>4317</v>
      </c>
      <c r="B2699" s="15" t="s">
        <v>4318</v>
      </c>
      <c r="C2699" s="54">
        <v>7.6981869999999999</v>
      </c>
      <c r="D2699" s="26">
        <v>1.3888888888888888E-2</v>
      </c>
      <c r="F2699" s="61" t="s">
        <v>6756</v>
      </c>
    </row>
    <row r="2700" spans="1:6" x14ac:dyDescent="0.25">
      <c r="A2700" s="15" t="s">
        <v>4317</v>
      </c>
      <c r="B2700" s="15" t="s">
        <v>4319</v>
      </c>
      <c r="C2700" s="52">
        <v>5.0237990000000003</v>
      </c>
      <c r="D2700" s="25">
        <v>9.7222222222222224E-3</v>
      </c>
      <c r="F2700" s="61" t="s">
        <v>6757</v>
      </c>
    </row>
    <row r="2701" spans="1:6" x14ac:dyDescent="0.25">
      <c r="A2701" s="15" t="s">
        <v>4317</v>
      </c>
      <c r="B2701" s="15" t="s">
        <v>4320</v>
      </c>
      <c r="C2701" s="54">
        <v>131.47252900000001</v>
      </c>
      <c r="D2701" s="26">
        <v>0.12430555555555556</v>
      </c>
      <c r="F2701" s="61" t="s">
        <v>6758</v>
      </c>
    </row>
    <row r="2702" spans="1:6" x14ac:dyDescent="0.25">
      <c r="A2702" s="15" t="s">
        <v>4317</v>
      </c>
      <c r="B2702" s="15" t="s">
        <v>4321</v>
      </c>
      <c r="C2702" s="52">
        <v>131.29170999999999</v>
      </c>
      <c r="D2702" s="25">
        <v>0.12361111111111112</v>
      </c>
      <c r="F2702" s="61" t="s">
        <v>6759</v>
      </c>
    </row>
    <row r="2703" spans="1:6" x14ac:dyDescent="0.25">
      <c r="A2703" s="15" t="s">
        <v>4318</v>
      </c>
      <c r="B2703" s="15">
        <v>3423909</v>
      </c>
      <c r="C2703" s="54">
        <v>173.64571799999999</v>
      </c>
      <c r="D2703" s="26">
        <v>0.14166666666666666</v>
      </c>
      <c r="F2703" s="61" t="s">
        <v>7063</v>
      </c>
    </row>
    <row r="2704" spans="1:6" x14ac:dyDescent="0.25">
      <c r="A2704" s="15" t="s">
        <v>4318</v>
      </c>
      <c r="B2704" s="15">
        <v>3403208</v>
      </c>
      <c r="C2704" s="52">
        <v>58.693004999999999</v>
      </c>
      <c r="D2704" s="25">
        <v>5.9722222222222225E-2</v>
      </c>
      <c r="F2704" s="61" t="s">
        <v>7168</v>
      </c>
    </row>
    <row r="2705" spans="1:6" x14ac:dyDescent="0.25">
      <c r="A2705" s="15" t="s">
        <v>4318</v>
      </c>
      <c r="B2705" s="15">
        <v>3424402</v>
      </c>
      <c r="C2705" s="54">
        <v>230.94187700000001</v>
      </c>
      <c r="D2705" s="26">
        <v>0.18888888888888888</v>
      </c>
      <c r="F2705" s="61" t="s">
        <v>7275</v>
      </c>
    </row>
    <row r="2706" spans="1:6" x14ac:dyDescent="0.25">
      <c r="A2706" s="15" t="s">
        <v>4318</v>
      </c>
      <c r="B2706" s="15" t="s">
        <v>4271</v>
      </c>
      <c r="C2706" s="52">
        <v>152.114531</v>
      </c>
      <c r="D2706" s="25">
        <v>0.12708333333333333</v>
      </c>
      <c r="F2706" s="61" t="s">
        <v>6760</v>
      </c>
    </row>
    <row r="2707" spans="1:6" x14ac:dyDescent="0.25">
      <c r="A2707" s="15" t="s">
        <v>4318</v>
      </c>
      <c r="B2707" s="15" t="s">
        <v>4272</v>
      </c>
      <c r="C2707" s="54">
        <v>145.47143500000001</v>
      </c>
      <c r="D2707" s="26">
        <v>0.12291666666666667</v>
      </c>
      <c r="F2707" s="61" t="s">
        <v>6761</v>
      </c>
    </row>
    <row r="2708" spans="1:6" x14ac:dyDescent="0.25">
      <c r="A2708" s="15" t="s">
        <v>4318</v>
      </c>
      <c r="B2708" s="15" t="s">
        <v>4273</v>
      </c>
      <c r="C2708" s="52">
        <v>147.02673100000001</v>
      </c>
      <c r="D2708" s="25">
        <v>0.12638888888888888</v>
      </c>
      <c r="F2708" s="61" t="s">
        <v>6762</v>
      </c>
    </row>
    <row r="2709" spans="1:6" x14ac:dyDescent="0.25">
      <c r="A2709" s="15" t="s">
        <v>4318</v>
      </c>
      <c r="B2709" s="15" t="s">
        <v>4274</v>
      </c>
      <c r="C2709" s="54">
        <v>144.00685999999999</v>
      </c>
      <c r="D2709" s="26">
        <v>0.12013888888888889</v>
      </c>
      <c r="F2709" s="61" t="s">
        <v>6763</v>
      </c>
    </row>
    <row r="2710" spans="1:6" x14ac:dyDescent="0.25">
      <c r="A2710" s="15" t="s">
        <v>4318</v>
      </c>
      <c r="B2710" s="15" t="s">
        <v>4275</v>
      </c>
      <c r="C2710" s="52">
        <v>144.100066</v>
      </c>
      <c r="D2710" s="25">
        <v>0.12013888888888889</v>
      </c>
      <c r="F2710" s="61" t="s">
        <v>6764</v>
      </c>
    </row>
    <row r="2711" spans="1:6" x14ac:dyDescent="0.25">
      <c r="A2711" s="15" t="s">
        <v>4318</v>
      </c>
      <c r="B2711" s="15" t="s">
        <v>4276</v>
      </c>
      <c r="C2711" s="54">
        <v>152.805498</v>
      </c>
      <c r="D2711" s="26">
        <v>0.12708333333333333</v>
      </c>
      <c r="F2711" s="61" t="s">
        <v>6765</v>
      </c>
    </row>
    <row r="2712" spans="1:6" x14ac:dyDescent="0.25">
      <c r="A2712" s="15" t="s">
        <v>4318</v>
      </c>
      <c r="B2712" s="15" t="s">
        <v>4277</v>
      </c>
      <c r="C2712" s="52">
        <v>146.279841</v>
      </c>
      <c r="D2712" s="25">
        <v>0.12222222222222223</v>
      </c>
      <c r="F2712" s="61" t="s">
        <v>6766</v>
      </c>
    </row>
    <row r="2713" spans="1:6" x14ac:dyDescent="0.25">
      <c r="A2713" s="15" t="s">
        <v>4318</v>
      </c>
      <c r="B2713" s="15" t="s">
        <v>4278</v>
      </c>
      <c r="C2713" s="54">
        <v>153.84381200000001</v>
      </c>
      <c r="D2713" s="26">
        <v>0.12847222222222224</v>
      </c>
      <c r="F2713" s="61" t="s">
        <v>6767</v>
      </c>
    </row>
    <row r="2714" spans="1:6" x14ac:dyDescent="0.25">
      <c r="A2714" s="15" t="s">
        <v>4318</v>
      </c>
      <c r="B2714" s="15" t="s">
        <v>4279</v>
      </c>
      <c r="C2714" s="52">
        <v>123.26481699999999</v>
      </c>
      <c r="D2714" s="25">
        <v>0.10347222222222223</v>
      </c>
      <c r="F2714" s="61" t="s">
        <v>6768</v>
      </c>
    </row>
    <row r="2715" spans="1:6" x14ac:dyDescent="0.25">
      <c r="A2715" s="15" t="s">
        <v>4318</v>
      </c>
      <c r="B2715" s="15" t="s">
        <v>4280</v>
      </c>
      <c r="C2715" s="54">
        <v>199.69987699999999</v>
      </c>
      <c r="D2715" s="26">
        <v>0.16805555555555554</v>
      </c>
      <c r="F2715" s="61" t="s">
        <v>6769</v>
      </c>
    </row>
    <row r="2716" spans="1:6" x14ac:dyDescent="0.25">
      <c r="A2716" s="15" t="s">
        <v>4318</v>
      </c>
      <c r="B2716" s="15" t="s">
        <v>4281</v>
      </c>
      <c r="C2716" s="52">
        <v>131.78073000000001</v>
      </c>
      <c r="D2716" s="25">
        <v>0.1076388888888889</v>
      </c>
      <c r="F2716" s="61" t="s">
        <v>6770</v>
      </c>
    </row>
    <row r="2717" spans="1:6" x14ac:dyDescent="0.25">
      <c r="A2717" s="15" t="s">
        <v>4318</v>
      </c>
      <c r="B2717" s="15" t="s">
        <v>4282</v>
      </c>
      <c r="C2717" s="54">
        <v>229.98309900000001</v>
      </c>
      <c r="D2717" s="26">
        <v>0.18819444444444444</v>
      </c>
      <c r="F2717" s="61" t="s">
        <v>6771</v>
      </c>
    </row>
    <row r="2718" spans="1:6" x14ac:dyDescent="0.25">
      <c r="A2718" s="15" t="s">
        <v>4318</v>
      </c>
      <c r="B2718" s="15" t="s">
        <v>4283</v>
      </c>
      <c r="C2718" s="52">
        <v>237.867076</v>
      </c>
      <c r="D2718" s="25">
        <v>0.19375000000000001</v>
      </c>
      <c r="F2718" s="61" t="s">
        <v>6772</v>
      </c>
    </row>
    <row r="2719" spans="1:6" x14ac:dyDescent="0.25">
      <c r="A2719" s="15" t="s">
        <v>4318</v>
      </c>
      <c r="B2719" s="15" t="s">
        <v>4284</v>
      </c>
      <c r="C2719" s="54">
        <v>235.92963599999999</v>
      </c>
      <c r="D2719" s="26">
        <v>0.19097222222222221</v>
      </c>
      <c r="F2719" s="61" t="s">
        <v>6773</v>
      </c>
    </row>
    <row r="2720" spans="1:6" x14ac:dyDescent="0.25">
      <c r="A2720" s="15" t="s">
        <v>4318</v>
      </c>
      <c r="B2720" s="15" t="s">
        <v>4285</v>
      </c>
      <c r="C2720" s="52">
        <v>239.66222200000001</v>
      </c>
      <c r="D2720" s="25">
        <v>0.19930555555555554</v>
      </c>
      <c r="F2720" s="61" t="s">
        <v>6774</v>
      </c>
    </row>
    <row r="2721" spans="1:6" x14ac:dyDescent="0.25">
      <c r="A2721" s="15" t="s">
        <v>4318</v>
      </c>
      <c r="B2721" s="15" t="s">
        <v>4286</v>
      </c>
      <c r="C2721" s="54">
        <v>237.238868</v>
      </c>
      <c r="D2721" s="26">
        <v>0.19513888888888889</v>
      </c>
      <c r="F2721" s="61" t="s">
        <v>6775</v>
      </c>
    </row>
    <row r="2722" spans="1:6" x14ac:dyDescent="0.25">
      <c r="A2722" s="15" t="s">
        <v>4318</v>
      </c>
      <c r="B2722" s="15" t="s">
        <v>4287</v>
      </c>
      <c r="C2722" s="52">
        <v>238.29458</v>
      </c>
      <c r="D2722" s="25">
        <v>0.19375000000000001</v>
      </c>
      <c r="F2722" s="61" t="s">
        <v>6776</v>
      </c>
    </row>
    <row r="2723" spans="1:6" x14ac:dyDescent="0.25">
      <c r="A2723" s="15" t="s">
        <v>4318</v>
      </c>
      <c r="B2723" s="15" t="s">
        <v>4288</v>
      </c>
      <c r="C2723" s="54">
        <v>243.122647</v>
      </c>
      <c r="D2723" s="26">
        <v>0.1986111111111111</v>
      </c>
      <c r="F2723" s="61" t="s">
        <v>6777</v>
      </c>
    </row>
    <row r="2724" spans="1:6" x14ac:dyDescent="0.25">
      <c r="A2724" s="15" t="s">
        <v>4318</v>
      </c>
      <c r="B2724" s="15" t="s">
        <v>4289</v>
      </c>
      <c r="C2724" s="52">
        <v>196.47992300000001</v>
      </c>
      <c r="D2724" s="25">
        <v>0.15972222222222224</v>
      </c>
      <c r="F2724" s="61" t="s">
        <v>6778</v>
      </c>
    </row>
    <row r="2725" spans="1:6" x14ac:dyDescent="0.25">
      <c r="A2725" s="15" t="s">
        <v>4318</v>
      </c>
      <c r="B2725" s="15" t="s">
        <v>4290</v>
      </c>
      <c r="C2725" s="54">
        <v>198.051996</v>
      </c>
      <c r="D2725" s="26">
        <v>0.16250000000000001</v>
      </c>
      <c r="F2725" s="61" t="s">
        <v>6779</v>
      </c>
    </row>
    <row r="2726" spans="1:6" x14ac:dyDescent="0.25">
      <c r="A2726" s="15" t="s">
        <v>4318</v>
      </c>
      <c r="B2726" s="15" t="s">
        <v>4291</v>
      </c>
      <c r="C2726" s="52">
        <v>197.65369699999999</v>
      </c>
      <c r="D2726" s="25">
        <v>0.16319444444444445</v>
      </c>
      <c r="F2726" s="61" t="s">
        <v>6780</v>
      </c>
    </row>
    <row r="2727" spans="1:6" x14ac:dyDescent="0.25">
      <c r="A2727" s="15" t="s">
        <v>4318</v>
      </c>
      <c r="B2727" s="15" t="s">
        <v>4292</v>
      </c>
      <c r="C2727" s="54">
        <v>196.77694</v>
      </c>
      <c r="D2727" s="26">
        <v>0.16180555555555556</v>
      </c>
      <c r="F2727" s="61" t="s">
        <v>6781</v>
      </c>
    </row>
    <row r="2728" spans="1:6" x14ac:dyDescent="0.25">
      <c r="A2728" s="15" t="s">
        <v>4318</v>
      </c>
      <c r="B2728" s="15" t="s">
        <v>4293</v>
      </c>
      <c r="C2728" s="52">
        <v>205.92727500000001</v>
      </c>
      <c r="D2728" s="25">
        <v>0.16944444444444443</v>
      </c>
      <c r="F2728" s="61" t="s">
        <v>6782</v>
      </c>
    </row>
    <row r="2729" spans="1:6" x14ac:dyDescent="0.25">
      <c r="A2729" s="15" t="s">
        <v>4318</v>
      </c>
      <c r="B2729" s="15" t="s">
        <v>4294</v>
      </c>
      <c r="C2729" s="54">
        <v>206.90655799999999</v>
      </c>
      <c r="D2729" s="26">
        <v>0.17152777777777775</v>
      </c>
      <c r="F2729" s="61" t="s">
        <v>6783</v>
      </c>
    </row>
    <row r="2730" spans="1:6" x14ac:dyDescent="0.25">
      <c r="A2730" s="15" t="s">
        <v>4318</v>
      </c>
      <c r="B2730" s="15" t="s">
        <v>4295</v>
      </c>
      <c r="C2730" s="52">
        <v>209.726969</v>
      </c>
      <c r="D2730" s="25">
        <v>0.17430555555555557</v>
      </c>
      <c r="F2730" s="61" t="s">
        <v>6784</v>
      </c>
    </row>
    <row r="2731" spans="1:6" x14ac:dyDescent="0.25">
      <c r="A2731" s="15" t="s">
        <v>4318</v>
      </c>
      <c r="B2731" s="15" t="s">
        <v>4296</v>
      </c>
      <c r="C2731" s="54">
        <v>201.38938899999999</v>
      </c>
      <c r="D2731" s="26">
        <v>0.16458333333333333</v>
      </c>
      <c r="F2731" s="61" t="s">
        <v>6785</v>
      </c>
    </row>
    <row r="2732" spans="1:6" x14ac:dyDescent="0.25">
      <c r="A2732" s="15" t="s">
        <v>4318</v>
      </c>
      <c r="B2732" s="15" t="s">
        <v>4297</v>
      </c>
      <c r="C2732" s="52">
        <v>207.706265</v>
      </c>
      <c r="D2732" s="25">
        <v>0.17222222222222225</v>
      </c>
      <c r="F2732" s="61" t="s">
        <v>6786</v>
      </c>
    </row>
    <row r="2733" spans="1:6" x14ac:dyDescent="0.25">
      <c r="A2733" s="15" t="s">
        <v>4318</v>
      </c>
      <c r="B2733" s="15" t="s">
        <v>4298</v>
      </c>
      <c r="C2733" s="54">
        <v>209.03786600000001</v>
      </c>
      <c r="D2733" s="26">
        <v>0.17847222222222223</v>
      </c>
      <c r="F2733" s="61" t="s">
        <v>6787</v>
      </c>
    </row>
    <row r="2734" spans="1:6" x14ac:dyDescent="0.25">
      <c r="A2734" s="15" t="s">
        <v>4318</v>
      </c>
      <c r="B2734" s="15" t="s">
        <v>4299</v>
      </c>
      <c r="C2734" s="52">
        <v>211.300285</v>
      </c>
      <c r="D2734" s="25">
        <v>0.18263888888888891</v>
      </c>
      <c r="F2734" s="61" t="s">
        <v>6788</v>
      </c>
    </row>
    <row r="2735" spans="1:6" x14ac:dyDescent="0.25">
      <c r="A2735" s="15" t="s">
        <v>4318</v>
      </c>
      <c r="B2735" s="15" t="s">
        <v>4300</v>
      </c>
      <c r="C2735" s="54">
        <v>215.359713</v>
      </c>
      <c r="D2735" s="26">
        <v>0.19166666666666665</v>
      </c>
      <c r="F2735" s="61" t="s">
        <v>6789</v>
      </c>
    </row>
    <row r="2736" spans="1:6" x14ac:dyDescent="0.25">
      <c r="A2736" s="15" t="s">
        <v>4318</v>
      </c>
      <c r="B2736" s="15" t="s">
        <v>4301</v>
      </c>
      <c r="C2736" s="52">
        <v>206.66422299999999</v>
      </c>
      <c r="D2736" s="25">
        <v>0.17916666666666667</v>
      </c>
      <c r="F2736" s="61" t="s">
        <v>6790</v>
      </c>
    </row>
    <row r="2737" spans="1:6" x14ac:dyDescent="0.25">
      <c r="A2737" s="15" t="s">
        <v>4318</v>
      </c>
      <c r="B2737" s="15" t="s">
        <v>4302</v>
      </c>
      <c r="C2737" s="54">
        <v>196.22578200000001</v>
      </c>
      <c r="D2737" s="26">
        <v>0.16319444444444445</v>
      </c>
      <c r="F2737" s="61" t="s">
        <v>6791</v>
      </c>
    </row>
    <row r="2738" spans="1:6" x14ac:dyDescent="0.25">
      <c r="A2738" s="15" t="s">
        <v>4318</v>
      </c>
      <c r="B2738" s="15" t="s">
        <v>4303</v>
      </c>
      <c r="C2738" s="52">
        <v>209.38335000000001</v>
      </c>
      <c r="D2738" s="25">
        <v>0.17569444444444446</v>
      </c>
      <c r="F2738" s="61" t="s">
        <v>6792</v>
      </c>
    </row>
    <row r="2739" spans="1:6" x14ac:dyDescent="0.25">
      <c r="A2739" s="15" t="s">
        <v>4318</v>
      </c>
      <c r="B2739" s="15" t="s">
        <v>4304</v>
      </c>
      <c r="C2739" s="54">
        <v>196.88754399999999</v>
      </c>
      <c r="D2739" s="26">
        <v>0.17708333333333334</v>
      </c>
      <c r="F2739" s="61" t="s">
        <v>6793</v>
      </c>
    </row>
    <row r="2740" spans="1:6" x14ac:dyDescent="0.25">
      <c r="A2740" s="15" t="s">
        <v>4318</v>
      </c>
      <c r="B2740" s="15" t="s">
        <v>4305</v>
      </c>
      <c r="C2740" s="52">
        <v>193.85338100000001</v>
      </c>
      <c r="D2740" s="25">
        <v>0.17152777777777775</v>
      </c>
      <c r="F2740" s="61" t="s">
        <v>6794</v>
      </c>
    </row>
    <row r="2741" spans="1:6" x14ac:dyDescent="0.25">
      <c r="A2741" s="15" t="s">
        <v>4318</v>
      </c>
      <c r="B2741" s="15" t="s">
        <v>4306</v>
      </c>
      <c r="C2741" s="54">
        <v>71.251569000000003</v>
      </c>
      <c r="D2741" s="26">
        <v>7.013888888888889E-2</v>
      </c>
      <c r="F2741" s="61" t="s">
        <v>6795</v>
      </c>
    </row>
    <row r="2742" spans="1:6" x14ac:dyDescent="0.25">
      <c r="A2742" s="15" t="s">
        <v>4318</v>
      </c>
      <c r="B2742" s="15" t="s">
        <v>4307</v>
      </c>
      <c r="C2742" s="52">
        <v>70.195857000000004</v>
      </c>
      <c r="D2742" s="25">
        <v>6.805555555555555E-2</v>
      </c>
      <c r="F2742" s="61" t="s">
        <v>6796</v>
      </c>
    </row>
    <row r="2743" spans="1:6" x14ac:dyDescent="0.25">
      <c r="A2743" s="15" t="s">
        <v>4318</v>
      </c>
      <c r="B2743" s="15" t="s">
        <v>4308</v>
      </c>
      <c r="C2743" s="54">
        <v>68.846234999999993</v>
      </c>
      <c r="D2743" s="26">
        <v>6.6666666666666666E-2</v>
      </c>
      <c r="F2743" s="61" t="s">
        <v>6797</v>
      </c>
    </row>
    <row r="2744" spans="1:6" x14ac:dyDescent="0.25">
      <c r="A2744" s="15" t="s">
        <v>4318</v>
      </c>
      <c r="B2744" s="15" t="s">
        <v>4309</v>
      </c>
      <c r="C2744" s="52">
        <v>278.92800799999998</v>
      </c>
      <c r="D2744" s="25">
        <v>0.23194444444444443</v>
      </c>
      <c r="F2744" s="61" t="s">
        <v>6798</v>
      </c>
    </row>
    <row r="2745" spans="1:6" x14ac:dyDescent="0.25">
      <c r="A2745" s="15" t="s">
        <v>4318</v>
      </c>
      <c r="B2745" s="15" t="s">
        <v>4310</v>
      </c>
      <c r="C2745" s="54">
        <v>263.30110500000001</v>
      </c>
      <c r="D2745" s="26">
        <v>0.22013888888888888</v>
      </c>
      <c r="F2745" s="61" t="s">
        <v>6799</v>
      </c>
    </row>
    <row r="2746" spans="1:6" x14ac:dyDescent="0.25">
      <c r="A2746" s="15" t="s">
        <v>4318</v>
      </c>
      <c r="B2746" s="15" t="s">
        <v>4311</v>
      </c>
      <c r="C2746" s="52">
        <v>254.98403099999999</v>
      </c>
      <c r="D2746" s="25">
        <v>0.21180555555555555</v>
      </c>
      <c r="F2746" s="61" t="s">
        <v>6800</v>
      </c>
    </row>
    <row r="2747" spans="1:6" x14ac:dyDescent="0.25">
      <c r="A2747" s="15" t="s">
        <v>4318</v>
      </c>
      <c r="B2747" s="15" t="s">
        <v>4312</v>
      </c>
      <c r="C2747" s="54">
        <v>251.696348</v>
      </c>
      <c r="D2747" s="26">
        <v>0.20486111111111113</v>
      </c>
      <c r="F2747" s="61" t="s">
        <v>6801</v>
      </c>
    </row>
    <row r="2748" spans="1:6" x14ac:dyDescent="0.25">
      <c r="A2748" s="15" t="s">
        <v>4318</v>
      </c>
      <c r="B2748" s="15" t="s">
        <v>4313</v>
      </c>
      <c r="C2748" s="52">
        <v>285.16969699999999</v>
      </c>
      <c r="D2748" s="25">
        <v>0.23819444444444446</v>
      </c>
      <c r="F2748" s="61" t="s">
        <v>6802</v>
      </c>
    </row>
    <row r="2749" spans="1:6" x14ac:dyDescent="0.25">
      <c r="A2749" s="15" t="s">
        <v>4318</v>
      </c>
      <c r="B2749" s="15" t="s">
        <v>4314</v>
      </c>
      <c r="C2749" s="54">
        <v>205.322057</v>
      </c>
      <c r="D2749" s="26">
        <v>0.16944444444444443</v>
      </c>
      <c r="F2749" s="61" t="s">
        <v>6803</v>
      </c>
    </row>
    <row r="2750" spans="1:6" x14ac:dyDescent="0.25">
      <c r="A2750" s="15" t="s">
        <v>4318</v>
      </c>
      <c r="B2750" s="15" t="s">
        <v>4315</v>
      </c>
      <c r="C2750" s="52">
        <v>209.61512200000001</v>
      </c>
      <c r="D2750" s="25">
        <v>0.17847222222222223</v>
      </c>
      <c r="F2750" s="61" t="s">
        <v>6804</v>
      </c>
    </row>
    <row r="2751" spans="1:6" x14ac:dyDescent="0.25">
      <c r="A2751" s="15" t="s">
        <v>4318</v>
      </c>
      <c r="B2751" s="15" t="s">
        <v>4316</v>
      </c>
      <c r="C2751" s="54">
        <v>207.72242</v>
      </c>
      <c r="D2751" s="26">
        <v>0.17500000000000002</v>
      </c>
      <c r="F2751" s="61" t="s">
        <v>6805</v>
      </c>
    </row>
    <row r="2752" spans="1:6" x14ac:dyDescent="0.25">
      <c r="A2752" s="15" t="s">
        <v>4318</v>
      </c>
      <c r="B2752" s="15" t="s">
        <v>4317</v>
      </c>
      <c r="C2752" s="52">
        <v>11.504095</v>
      </c>
      <c r="D2752" s="25">
        <v>1.5277777777777777E-2</v>
      </c>
      <c r="F2752" s="61" t="s">
        <v>6806</v>
      </c>
    </row>
    <row r="2753" spans="1:6" x14ac:dyDescent="0.25">
      <c r="A2753" s="15" t="s">
        <v>4318</v>
      </c>
      <c r="B2753" s="15" t="s">
        <v>4318</v>
      </c>
      <c r="C2753" s="54">
        <v>0</v>
      </c>
      <c r="D2753" s="26">
        <v>0</v>
      </c>
      <c r="F2753" s="61" t="s">
        <v>6807</v>
      </c>
    </row>
    <row r="2754" spans="1:6" x14ac:dyDescent="0.25">
      <c r="A2754" s="15" t="s">
        <v>4318</v>
      </c>
      <c r="B2754" s="15" t="s">
        <v>4319</v>
      </c>
      <c r="C2754" s="52">
        <v>4.261374</v>
      </c>
      <c r="D2754" s="25">
        <v>9.0277777777777787E-3</v>
      </c>
      <c r="F2754" s="61" t="s">
        <v>6808</v>
      </c>
    </row>
    <row r="2755" spans="1:6" x14ac:dyDescent="0.25">
      <c r="A2755" s="15" t="s">
        <v>4318</v>
      </c>
      <c r="B2755" s="15" t="s">
        <v>4320</v>
      </c>
      <c r="C2755" s="54">
        <v>134.52533299999999</v>
      </c>
      <c r="D2755" s="26">
        <v>0.12986111111111112</v>
      </c>
      <c r="F2755" s="61" t="s">
        <v>6809</v>
      </c>
    </row>
    <row r="2756" spans="1:6" x14ac:dyDescent="0.25">
      <c r="A2756" s="15" t="s">
        <v>4318</v>
      </c>
      <c r="B2756" s="15" t="s">
        <v>4321</v>
      </c>
      <c r="C2756" s="52">
        <v>134.344514</v>
      </c>
      <c r="D2756" s="25">
        <v>0.12916666666666668</v>
      </c>
      <c r="F2756" s="61" t="s">
        <v>6810</v>
      </c>
    </row>
    <row r="2757" spans="1:6" x14ac:dyDescent="0.25">
      <c r="A2757" s="15" t="s">
        <v>4319</v>
      </c>
      <c r="B2757" s="15">
        <v>3423909</v>
      </c>
      <c r="C2757" s="54">
        <v>166.79384099999999</v>
      </c>
      <c r="D2757" s="26">
        <v>0.13680555555555554</v>
      </c>
      <c r="F2757" s="61" t="s">
        <v>7064</v>
      </c>
    </row>
    <row r="2758" spans="1:6" x14ac:dyDescent="0.25">
      <c r="A2758" s="15" t="s">
        <v>4319</v>
      </c>
      <c r="B2758" s="15">
        <v>3403208</v>
      </c>
      <c r="C2758" s="52">
        <v>56.282077999999998</v>
      </c>
      <c r="D2758" s="25">
        <v>5.486111111111111E-2</v>
      </c>
      <c r="F2758" s="61" t="s">
        <v>7169</v>
      </c>
    </row>
    <row r="2759" spans="1:6" x14ac:dyDescent="0.25">
      <c r="A2759" s="15" t="s">
        <v>4319</v>
      </c>
      <c r="B2759" s="15">
        <v>3424402</v>
      </c>
      <c r="C2759" s="54">
        <v>224.09</v>
      </c>
      <c r="D2759" s="26">
        <v>0.18333333333333335</v>
      </c>
      <c r="F2759" s="61" t="s">
        <v>7276</v>
      </c>
    </row>
    <row r="2760" spans="1:6" x14ac:dyDescent="0.25">
      <c r="A2760" s="15" t="s">
        <v>4319</v>
      </c>
      <c r="B2760" s="15" t="s">
        <v>4271</v>
      </c>
      <c r="C2760" s="52">
        <v>145.262654</v>
      </c>
      <c r="D2760" s="25">
        <v>0.12222222222222223</v>
      </c>
      <c r="F2760" s="61" t="s">
        <v>6811</v>
      </c>
    </row>
    <row r="2761" spans="1:6" x14ac:dyDescent="0.25">
      <c r="A2761" s="15" t="s">
        <v>4319</v>
      </c>
      <c r="B2761" s="15" t="s">
        <v>4272</v>
      </c>
      <c r="C2761" s="54">
        <v>138.61955800000001</v>
      </c>
      <c r="D2761" s="26">
        <v>0.11805555555555557</v>
      </c>
      <c r="F2761" s="61" t="s">
        <v>6812</v>
      </c>
    </row>
    <row r="2762" spans="1:6" x14ac:dyDescent="0.25">
      <c r="A2762" s="15" t="s">
        <v>4319</v>
      </c>
      <c r="B2762" s="15" t="s">
        <v>4273</v>
      </c>
      <c r="C2762" s="52">
        <v>140.17485400000001</v>
      </c>
      <c r="D2762" s="25">
        <v>0.12152777777777778</v>
      </c>
      <c r="F2762" s="61" t="s">
        <v>6813</v>
      </c>
    </row>
    <row r="2763" spans="1:6" x14ac:dyDescent="0.25">
      <c r="A2763" s="15" t="s">
        <v>4319</v>
      </c>
      <c r="B2763" s="15" t="s">
        <v>4274</v>
      </c>
      <c r="C2763" s="54">
        <v>137.15498299999999</v>
      </c>
      <c r="D2763" s="26">
        <v>0.11527777777777777</v>
      </c>
      <c r="F2763" s="61" t="s">
        <v>6814</v>
      </c>
    </row>
    <row r="2764" spans="1:6" x14ac:dyDescent="0.25">
      <c r="A2764" s="15" t="s">
        <v>4319</v>
      </c>
      <c r="B2764" s="15" t="s">
        <v>4275</v>
      </c>
      <c r="C2764" s="52">
        <v>137.248189</v>
      </c>
      <c r="D2764" s="25">
        <v>0.11527777777777777</v>
      </c>
      <c r="F2764" s="61" t="s">
        <v>6815</v>
      </c>
    </row>
    <row r="2765" spans="1:6" x14ac:dyDescent="0.25">
      <c r="A2765" s="15" t="s">
        <v>4319</v>
      </c>
      <c r="B2765" s="15" t="s">
        <v>4276</v>
      </c>
      <c r="C2765" s="54">
        <v>145.953621</v>
      </c>
      <c r="D2765" s="26">
        <v>0.12222222222222223</v>
      </c>
      <c r="F2765" s="61" t="s">
        <v>6816</v>
      </c>
    </row>
    <row r="2766" spans="1:6" x14ac:dyDescent="0.25">
      <c r="A2766" s="15" t="s">
        <v>4319</v>
      </c>
      <c r="B2766" s="15" t="s">
        <v>4277</v>
      </c>
      <c r="C2766" s="52">
        <v>139.427964</v>
      </c>
      <c r="D2766" s="25">
        <v>0.11666666666666665</v>
      </c>
      <c r="F2766" s="61" t="s">
        <v>6817</v>
      </c>
    </row>
    <row r="2767" spans="1:6" x14ac:dyDescent="0.25">
      <c r="A2767" s="15" t="s">
        <v>4319</v>
      </c>
      <c r="B2767" s="15" t="s">
        <v>4278</v>
      </c>
      <c r="C2767" s="54">
        <v>146.99193500000001</v>
      </c>
      <c r="D2767" s="26">
        <v>0.12361111111111112</v>
      </c>
      <c r="F2767" s="61" t="s">
        <v>6818</v>
      </c>
    </row>
    <row r="2768" spans="1:6" x14ac:dyDescent="0.25">
      <c r="A2768" s="15" t="s">
        <v>4319</v>
      </c>
      <c r="B2768" s="15" t="s">
        <v>4279</v>
      </c>
      <c r="C2768" s="52">
        <v>118.80211799999999</v>
      </c>
      <c r="D2768" s="25">
        <v>9.930555555555555E-2</v>
      </c>
      <c r="F2768" s="61" t="s">
        <v>6819</v>
      </c>
    </row>
    <row r="2769" spans="1:6" x14ac:dyDescent="0.25">
      <c r="A2769" s="15" t="s">
        <v>4319</v>
      </c>
      <c r="B2769" s="15" t="s">
        <v>4280</v>
      </c>
      <c r="C2769" s="54">
        <v>192.84800000000001</v>
      </c>
      <c r="D2769" s="26">
        <v>0.16250000000000001</v>
      </c>
      <c r="F2769" s="61" t="s">
        <v>6820</v>
      </c>
    </row>
    <row r="2770" spans="1:6" x14ac:dyDescent="0.25">
      <c r="A2770" s="15" t="s">
        <v>4319</v>
      </c>
      <c r="B2770" s="15" t="s">
        <v>4281</v>
      </c>
      <c r="C2770" s="52">
        <v>124.928853</v>
      </c>
      <c r="D2770" s="25">
        <v>0.10208333333333335</v>
      </c>
      <c r="F2770" s="61" t="s">
        <v>6821</v>
      </c>
    </row>
    <row r="2771" spans="1:6" x14ac:dyDescent="0.25">
      <c r="A2771" s="15" t="s">
        <v>4319</v>
      </c>
      <c r="B2771" s="15" t="s">
        <v>4282</v>
      </c>
      <c r="C2771" s="54">
        <v>223.13122100000001</v>
      </c>
      <c r="D2771" s="26">
        <v>0.18333333333333335</v>
      </c>
      <c r="F2771" s="61" t="s">
        <v>6822</v>
      </c>
    </row>
    <row r="2772" spans="1:6" x14ac:dyDescent="0.25">
      <c r="A2772" s="15" t="s">
        <v>4319</v>
      </c>
      <c r="B2772" s="15" t="s">
        <v>4283</v>
      </c>
      <c r="C2772" s="52">
        <v>231.015199</v>
      </c>
      <c r="D2772" s="25">
        <v>0.18888888888888888</v>
      </c>
      <c r="F2772" s="61" t="s">
        <v>6823</v>
      </c>
    </row>
    <row r="2773" spans="1:6" x14ac:dyDescent="0.25">
      <c r="A2773" s="15" t="s">
        <v>4319</v>
      </c>
      <c r="B2773" s="15" t="s">
        <v>4284</v>
      </c>
      <c r="C2773" s="54">
        <v>229.07775899999999</v>
      </c>
      <c r="D2773" s="26">
        <v>0.18611111111111112</v>
      </c>
      <c r="F2773" s="61" t="s">
        <v>6824</v>
      </c>
    </row>
    <row r="2774" spans="1:6" x14ac:dyDescent="0.25">
      <c r="A2774" s="15" t="s">
        <v>4319</v>
      </c>
      <c r="B2774" s="15" t="s">
        <v>4285</v>
      </c>
      <c r="C2774" s="52">
        <v>232.81034500000001</v>
      </c>
      <c r="D2774" s="25">
        <v>0.19375000000000001</v>
      </c>
      <c r="F2774" s="61" t="s">
        <v>6825</v>
      </c>
    </row>
    <row r="2775" spans="1:6" x14ac:dyDescent="0.25">
      <c r="A2775" s="15" t="s">
        <v>4319</v>
      </c>
      <c r="B2775" s="15" t="s">
        <v>4286</v>
      </c>
      <c r="C2775" s="54">
        <v>230.38699099999999</v>
      </c>
      <c r="D2775" s="26">
        <v>0.19027777777777777</v>
      </c>
      <c r="F2775" s="61" t="s">
        <v>6826</v>
      </c>
    </row>
    <row r="2776" spans="1:6" x14ac:dyDescent="0.25">
      <c r="A2776" s="15" t="s">
        <v>4319</v>
      </c>
      <c r="B2776" s="15" t="s">
        <v>4287</v>
      </c>
      <c r="C2776" s="52">
        <v>231.44270299999999</v>
      </c>
      <c r="D2776" s="25">
        <v>0.18888888888888888</v>
      </c>
      <c r="F2776" s="61" t="s">
        <v>6827</v>
      </c>
    </row>
    <row r="2777" spans="1:6" x14ac:dyDescent="0.25">
      <c r="A2777" s="15" t="s">
        <v>4319</v>
      </c>
      <c r="B2777" s="15" t="s">
        <v>4288</v>
      </c>
      <c r="C2777" s="54">
        <v>236.270769</v>
      </c>
      <c r="D2777" s="26">
        <v>0.19305555555555554</v>
      </c>
      <c r="F2777" s="61" t="s">
        <v>6828</v>
      </c>
    </row>
    <row r="2778" spans="1:6" x14ac:dyDescent="0.25">
      <c r="A2778" s="15" t="s">
        <v>4319</v>
      </c>
      <c r="B2778" s="15" t="s">
        <v>4289</v>
      </c>
      <c r="C2778" s="52">
        <v>189.62804600000001</v>
      </c>
      <c r="D2778" s="25">
        <v>0.15416666666666667</v>
      </c>
      <c r="F2778" s="61" t="s">
        <v>6829</v>
      </c>
    </row>
    <row r="2779" spans="1:6" x14ac:dyDescent="0.25">
      <c r="A2779" s="15" t="s">
        <v>4319</v>
      </c>
      <c r="B2779" s="15" t="s">
        <v>4290</v>
      </c>
      <c r="C2779" s="54">
        <v>191.200119</v>
      </c>
      <c r="D2779" s="26">
        <v>0.15763888888888888</v>
      </c>
      <c r="F2779" s="61" t="s">
        <v>6830</v>
      </c>
    </row>
    <row r="2780" spans="1:6" x14ac:dyDescent="0.25">
      <c r="A2780" s="15" t="s">
        <v>4319</v>
      </c>
      <c r="B2780" s="15" t="s">
        <v>4291</v>
      </c>
      <c r="C2780" s="52">
        <v>190.80181899999999</v>
      </c>
      <c r="D2780" s="25">
        <v>0.15763888888888888</v>
      </c>
      <c r="F2780" s="61" t="s">
        <v>6831</v>
      </c>
    </row>
    <row r="2781" spans="1:6" x14ac:dyDescent="0.25">
      <c r="A2781" s="15" t="s">
        <v>4319</v>
      </c>
      <c r="B2781" s="15" t="s">
        <v>4292</v>
      </c>
      <c r="C2781" s="54">
        <v>189.925062</v>
      </c>
      <c r="D2781" s="26">
        <v>0.15694444444444444</v>
      </c>
      <c r="F2781" s="61" t="s">
        <v>6832</v>
      </c>
    </row>
    <row r="2782" spans="1:6" x14ac:dyDescent="0.25">
      <c r="A2782" s="15" t="s">
        <v>4319</v>
      </c>
      <c r="B2782" s="15" t="s">
        <v>4293</v>
      </c>
      <c r="C2782" s="52">
        <v>199.07539700000001</v>
      </c>
      <c r="D2782" s="25">
        <v>0.16458333333333333</v>
      </c>
      <c r="F2782" s="61" t="s">
        <v>6833</v>
      </c>
    </row>
    <row r="2783" spans="1:6" x14ac:dyDescent="0.25">
      <c r="A2783" s="15" t="s">
        <v>4319</v>
      </c>
      <c r="B2783" s="15" t="s">
        <v>4294</v>
      </c>
      <c r="C2783" s="54">
        <v>200.05468099999999</v>
      </c>
      <c r="D2783" s="26">
        <v>0.16666666666666666</v>
      </c>
      <c r="F2783" s="61" t="s">
        <v>6834</v>
      </c>
    </row>
    <row r="2784" spans="1:6" x14ac:dyDescent="0.25">
      <c r="A2784" s="15" t="s">
        <v>4319</v>
      </c>
      <c r="B2784" s="15" t="s">
        <v>4295</v>
      </c>
      <c r="C2784" s="52">
        <v>202.875092</v>
      </c>
      <c r="D2784" s="25">
        <v>0.16874999999999998</v>
      </c>
      <c r="F2784" s="61" t="s">
        <v>6835</v>
      </c>
    </row>
    <row r="2785" spans="1:6" x14ac:dyDescent="0.25">
      <c r="A2785" s="15" t="s">
        <v>4319</v>
      </c>
      <c r="B2785" s="15" t="s">
        <v>4296</v>
      </c>
      <c r="C2785" s="54">
        <v>194.53751199999999</v>
      </c>
      <c r="D2785" s="26">
        <v>0.15972222222222224</v>
      </c>
      <c r="F2785" s="61" t="s">
        <v>6836</v>
      </c>
    </row>
    <row r="2786" spans="1:6" x14ac:dyDescent="0.25">
      <c r="A2786" s="15" t="s">
        <v>4319</v>
      </c>
      <c r="B2786" s="15" t="s">
        <v>4297</v>
      </c>
      <c r="C2786" s="52">
        <v>200.854388</v>
      </c>
      <c r="D2786" s="25">
        <v>0.1673611111111111</v>
      </c>
      <c r="F2786" s="61" t="s">
        <v>6837</v>
      </c>
    </row>
    <row r="2787" spans="1:6" x14ac:dyDescent="0.25">
      <c r="A2787" s="15" t="s">
        <v>4319</v>
      </c>
      <c r="B2787" s="15" t="s">
        <v>4298</v>
      </c>
      <c r="C2787" s="54">
        <v>202.18598900000001</v>
      </c>
      <c r="D2787" s="26">
        <v>0.17361111111111113</v>
      </c>
      <c r="F2787" s="61" t="s">
        <v>6838</v>
      </c>
    </row>
    <row r="2788" spans="1:6" x14ac:dyDescent="0.25">
      <c r="A2788" s="15" t="s">
        <v>4319</v>
      </c>
      <c r="B2788" s="15" t="s">
        <v>4299</v>
      </c>
      <c r="C2788" s="52">
        <v>204.448407</v>
      </c>
      <c r="D2788" s="25">
        <v>0.17708333333333334</v>
      </c>
      <c r="F2788" s="61" t="s">
        <v>6839</v>
      </c>
    </row>
    <row r="2789" spans="1:6" x14ac:dyDescent="0.25">
      <c r="A2789" s="15" t="s">
        <v>4319</v>
      </c>
      <c r="B2789" s="15" t="s">
        <v>4300</v>
      </c>
      <c r="C2789" s="54">
        <v>208.507836</v>
      </c>
      <c r="D2789" s="26">
        <v>0.18611111111111112</v>
      </c>
      <c r="F2789" s="61" t="s">
        <v>6840</v>
      </c>
    </row>
    <row r="2790" spans="1:6" x14ac:dyDescent="0.25">
      <c r="A2790" s="15" t="s">
        <v>4319</v>
      </c>
      <c r="B2790" s="15" t="s">
        <v>4301</v>
      </c>
      <c r="C2790" s="52">
        <v>199.81234499999999</v>
      </c>
      <c r="D2790" s="25">
        <v>0.17430555555555557</v>
      </c>
      <c r="F2790" s="61" t="s">
        <v>6841</v>
      </c>
    </row>
    <row r="2791" spans="1:6" x14ac:dyDescent="0.25">
      <c r="A2791" s="15" t="s">
        <v>4319</v>
      </c>
      <c r="B2791" s="15" t="s">
        <v>4302</v>
      </c>
      <c r="C2791" s="54">
        <v>189.37390500000001</v>
      </c>
      <c r="D2791" s="26">
        <v>0.15833333333333333</v>
      </c>
      <c r="F2791" s="61" t="s">
        <v>6842</v>
      </c>
    </row>
    <row r="2792" spans="1:6" x14ac:dyDescent="0.25">
      <c r="A2792" s="15" t="s">
        <v>4319</v>
      </c>
      <c r="B2792" s="15" t="s">
        <v>4303</v>
      </c>
      <c r="C2792" s="52">
        <v>202.53147300000001</v>
      </c>
      <c r="D2792" s="25">
        <v>0.17083333333333331</v>
      </c>
      <c r="F2792" s="61" t="s">
        <v>6843</v>
      </c>
    </row>
    <row r="2793" spans="1:6" x14ac:dyDescent="0.25">
      <c r="A2793" s="15" t="s">
        <v>4319</v>
      </c>
      <c r="B2793" s="15" t="s">
        <v>4304</v>
      </c>
      <c r="C2793" s="54">
        <v>190.03566699999999</v>
      </c>
      <c r="D2793" s="26">
        <v>0.17222222222222225</v>
      </c>
      <c r="F2793" s="61" t="s">
        <v>6844</v>
      </c>
    </row>
    <row r="2794" spans="1:6" x14ac:dyDescent="0.25">
      <c r="A2794" s="15" t="s">
        <v>4319</v>
      </c>
      <c r="B2794" s="15" t="s">
        <v>4305</v>
      </c>
      <c r="C2794" s="52">
        <v>187.00150400000001</v>
      </c>
      <c r="D2794" s="25">
        <v>0.16666666666666666</v>
      </c>
      <c r="F2794" s="61" t="s">
        <v>6845</v>
      </c>
    </row>
    <row r="2795" spans="1:6" x14ac:dyDescent="0.25">
      <c r="A2795" s="15" t="s">
        <v>4319</v>
      </c>
      <c r="B2795" s="15" t="s">
        <v>4306</v>
      </c>
      <c r="C2795" s="54">
        <v>68.840643</v>
      </c>
      <c r="D2795" s="26">
        <v>6.5277777777777782E-2</v>
      </c>
      <c r="F2795" s="61" t="s">
        <v>6846</v>
      </c>
    </row>
    <row r="2796" spans="1:6" x14ac:dyDescent="0.25">
      <c r="A2796" s="15" t="s">
        <v>4319</v>
      </c>
      <c r="B2796" s="15" t="s">
        <v>4307</v>
      </c>
      <c r="C2796" s="52">
        <v>67.784930000000003</v>
      </c>
      <c r="D2796" s="25">
        <v>6.3194444444444442E-2</v>
      </c>
      <c r="F2796" s="61" t="s">
        <v>6847</v>
      </c>
    </row>
    <row r="2797" spans="1:6" x14ac:dyDescent="0.25">
      <c r="A2797" s="15" t="s">
        <v>4319</v>
      </c>
      <c r="B2797" s="15" t="s">
        <v>4308</v>
      </c>
      <c r="C2797" s="54">
        <v>66.435309000000004</v>
      </c>
      <c r="D2797" s="26">
        <v>6.1805555555555558E-2</v>
      </c>
      <c r="F2797" s="61" t="s">
        <v>6848</v>
      </c>
    </row>
    <row r="2798" spans="1:6" x14ac:dyDescent="0.25">
      <c r="A2798" s="15" t="s">
        <v>4319</v>
      </c>
      <c r="B2798" s="15" t="s">
        <v>4309</v>
      </c>
      <c r="C2798" s="52">
        <v>272.07613099999998</v>
      </c>
      <c r="D2798" s="25">
        <v>0.22708333333333333</v>
      </c>
      <c r="F2798" s="61" t="s">
        <v>6849</v>
      </c>
    </row>
    <row r="2799" spans="1:6" x14ac:dyDescent="0.25">
      <c r="A2799" s="15" t="s">
        <v>4319</v>
      </c>
      <c r="B2799" s="15" t="s">
        <v>4310</v>
      </c>
      <c r="C2799" s="54">
        <v>258.83840600000002</v>
      </c>
      <c r="D2799" s="26">
        <v>0.21597222222222223</v>
      </c>
      <c r="F2799" s="61" t="s">
        <v>6850</v>
      </c>
    </row>
    <row r="2800" spans="1:6" x14ac:dyDescent="0.25">
      <c r="A2800" s="15" t="s">
        <v>4319</v>
      </c>
      <c r="B2800" s="15" t="s">
        <v>4311</v>
      </c>
      <c r="C2800" s="52">
        <v>262.93138800000003</v>
      </c>
      <c r="D2800" s="25">
        <v>0.22152777777777777</v>
      </c>
      <c r="F2800" s="61" t="s">
        <v>6851</v>
      </c>
    </row>
    <row r="2801" spans="1:6" x14ac:dyDescent="0.25">
      <c r="A2801" s="15" t="s">
        <v>4319</v>
      </c>
      <c r="B2801" s="15" t="s">
        <v>4312</v>
      </c>
      <c r="C2801" s="54">
        <v>244.84447</v>
      </c>
      <c r="D2801" s="26">
        <v>0.19999999999999998</v>
      </c>
      <c r="F2801" s="61" t="s">
        <v>6852</v>
      </c>
    </row>
    <row r="2802" spans="1:6" x14ac:dyDescent="0.25">
      <c r="A2802" s="15" t="s">
        <v>4319</v>
      </c>
      <c r="B2802" s="15" t="s">
        <v>4313</v>
      </c>
      <c r="C2802" s="52">
        <v>263.51858499999997</v>
      </c>
      <c r="D2802" s="25">
        <v>0.21875</v>
      </c>
      <c r="F2802" s="61" t="s">
        <v>6853</v>
      </c>
    </row>
    <row r="2803" spans="1:6" x14ac:dyDescent="0.25">
      <c r="A2803" s="15" t="s">
        <v>4319</v>
      </c>
      <c r="B2803" s="15" t="s">
        <v>4314</v>
      </c>
      <c r="C2803" s="54">
        <v>198.47018</v>
      </c>
      <c r="D2803" s="26">
        <v>0.16458333333333333</v>
      </c>
      <c r="F2803" s="61" t="s">
        <v>6854</v>
      </c>
    </row>
    <row r="2804" spans="1:6" x14ac:dyDescent="0.25">
      <c r="A2804" s="15" t="s">
        <v>4319</v>
      </c>
      <c r="B2804" s="15" t="s">
        <v>4315</v>
      </c>
      <c r="C2804" s="52">
        <v>202.76324500000001</v>
      </c>
      <c r="D2804" s="25">
        <v>0.17361111111111113</v>
      </c>
      <c r="F2804" s="61" t="s">
        <v>6855</v>
      </c>
    </row>
    <row r="2805" spans="1:6" x14ac:dyDescent="0.25">
      <c r="A2805" s="15" t="s">
        <v>4319</v>
      </c>
      <c r="B2805" s="15" t="s">
        <v>4316</v>
      </c>
      <c r="C2805" s="54">
        <v>200.870543</v>
      </c>
      <c r="D2805" s="26">
        <v>0.17013888888888887</v>
      </c>
      <c r="F2805" s="61" t="s">
        <v>6856</v>
      </c>
    </row>
    <row r="2806" spans="1:6" x14ac:dyDescent="0.25">
      <c r="A2806" s="15" t="s">
        <v>4319</v>
      </c>
      <c r="B2806" s="15" t="s">
        <v>4317</v>
      </c>
      <c r="C2806" s="52">
        <v>5.0219339999999999</v>
      </c>
      <c r="D2806" s="25">
        <v>9.0277777777777787E-3</v>
      </c>
      <c r="F2806" s="61" t="s">
        <v>6857</v>
      </c>
    </row>
    <row r="2807" spans="1:6" x14ac:dyDescent="0.25">
      <c r="A2807" s="15" t="s">
        <v>4319</v>
      </c>
      <c r="B2807" s="15" t="s">
        <v>4318</v>
      </c>
      <c r="C2807" s="54">
        <v>5.1455880000000001</v>
      </c>
      <c r="D2807" s="26">
        <v>1.1111111111111112E-2</v>
      </c>
      <c r="F2807" s="61" t="s">
        <v>6858</v>
      </c>
    </row>
    <row r="2808" spans="1:6" x14ac:dyDescent="0.25">
      <c r="A2808" s="15" t="s">
        <v>4319</v>
      </c>
      <c r="B2808" s="15" t="s">
        <v>4319</v>
      </c>
      <c r="C2808" s="52">
        <v>0</v>
      </c>
      <c r="D2808" s="25">
        <v>0</v>
      </c>
      <c r="F2808" s="61" t="s">
        <v>6859</v>
      </c>
    </row>
    <row r="2809" spans="1:6" x14ac:dyDescent="0.25">
      <c r="A2809" s="15" t="s">
        <v>4319</v>
      </c>
      <c r="B2809" s="15" t="s">
        <v>4320</v>
      </c>
      <c r="C2809" s="54">
        <v>132.114407</v>
      </c>
      <c r="D2809" s="26">
        <v>0.125</v>
      </c>
      <c r="F2809" s="61" t="s">
        <v>6860</v>
      </c>
    </row>
    <row r="2810" spans="1:6" x14ac:dyDescent="0.25">
      <c r="A2810" s="15" t="s">
        <v>4319</v>
      </c>
      <c r="B2810" s="15" t="s">
        <v>4321</v>
      </c>
      <c r="C2810" s="52">
        <v>131.93358799999999</v>
      </c>
      <c r="D2810" s="25">
        <v>0.12430555555555556</v>
      </c>
      <c r="F2810" s="61" t="s">
        <v>6861</v>
      </c>
    </row>
    <row r="2811" spans="1:6" x14ac:dyDescent="0.25">
      <c r="A2811" s="15" t="s">
        <v>4320</v>
      </c>
      <c r="B2811" s="15">
        <v>3423909</v>
      </c>
      <c r="C2811" s="54">
        <v>156.21932000000001</v>
      </c>
      <c r="D2811" s="26">
        <v>0.13194444444444445</v>
      </c>
      <c r="F2811" s="61" t="s">
        <v>7065</v>
      </c>
    </row>
    <row r="2812" spans="1:6" x14ac:dyDescent="0.25">
      <c r="A2812" s="15" t="s">
        <v>4320</v>
      </c>
      <c r="B2812" s="15">
        <v>3403208</v>
      </c>
      <c r="C2812" s="52">
        <v>81.116483000000002</v>
      </c>
      <c r="D2812" s="25">
        <v>7.2916666666666671E-2</v>
      </c>
      <c r="F2812" s="61" t="s">
        <v>7170</v>
      </c>
    </row>
    <row r="2813" spans="1:6" x14ac:dyDescent="0.25">
      <c r="A2813" s="15" t="s">
        <v>4320</v>
      </c>
      <c r="B2813" s="15">
        <v>3424402</v>
      </c>
      <c r="C2813" s="54">
        <v>249.48985300000001</v>
      </c>
      <c r="D2813" s="26">
        <v>0.20416666666666669</v>
      </c>
      <c r="F2813" s="61" t="s">
        <v>7277</v>
      </c>
    </row>
    <row r="2814" spans="1:6" x14ac:dyDescent="0.25">
      <c r="A2814" s="15" t="s">
        <v>4320</v>
      </c>
      <c r="B2814" s="15" t="s">
        <v>4271</v>
      </c>
      <c r="C2814" s="52">
        <v>172.20972599999999</v>
      </c>
      <c r="D2814" s="25">
        <v>0.14375000000000002</v>
      </c>
      <c r="F2814" s="61" t="s">
        <v>6862</v>
      </c>
    </row>
    <row r="2815" spans="1:6" x14ac:dyDescent="0.25">
      <c r="A2815" s="15" t="s">
        <v>4320</v>
      </c>
      <c r="B2815" s="15" t="s">
        <v>4272</v>
      </c>
      <c r="C2815" s="54">
        <v>165.56663</v>
      </c>
      <c r="D2815" s="26">
        <v>0.13958333333333334</v>
      </c>
      <c r="F2815" s="61" t="s">
        <v>6863</v>
      </c>
    </row>
    <row r="2816" spans="1:6" x14ac:dyDescent="0.25">
      <c r="A2816" s="15" t="s">
        <v>4320</v>
      </c>
      <c r="B2816" s="15" t="s">
        <v>4273</v>
      </c>
      <c r="C2816" s="52">
        <v>167.121926</v>
      </c>
      <c r="D2816" s="25">
        <v>0.14305555555555557</v>
      </c>
      <c r="F2816" s="61" t="s">
        <v>6864</v>
      </c>
    </row>
    <row r="2817" spans="1:6" x14ac:dyDescent="0.25">
      <c r="A2817" s="15" t="s">
        <v>4320</v>
      </c>
      <c r="B2817" s="15" t="s">
        <v>4274</v>
      </c>
      <c r="C2817" s="54">
        <v>164.10205400000001</v>
      </c>
      <c r="D2817" s="26">
        <v>0.13680555555555554</v>
      </c>
      <c r="F2817" s="61" t="s">
        <v>6865</v>
      </c>
    </row>
    <row r="2818" spans="1:6" x14ac:dyDescent="0.25">
      <c r="A2818" s="15" t="s">
        <v>4320</v>
      </c>
      <c r="B2818" s="15" t="s">
        <v>4275</v>
      </c>
      <c r="C2818" s="52">
        <v>164.19525999999999</v>
      </c>
      <c r="D2818" s="25">
        <v>0.13680555555555554</v>
      </c>
      <c r="F2818" s="61" t="s">
        <v>6866</v>
      </c>
    </row>
    <row r="2819" spans="1:6" x14ac:dyDescent="0.25">
      <c r="A2819" s="15" t="s">
        <v>4320</v>
      </c>
      <c r="B2819" s="15" t="s">
        <v>4276</v>
      </c>
      <c r="C2819" s="54">
        <v>172.90069199999999</v>
      </c>
      <c r="D2819" s="26">
        <v>0.14375000000000002</v>
      </c>
      <c r="F2819" s="61" t="s">
        <v>6867</v>
      </c>
    </row>
    <row r="2820" spans="1:6" x14ac:dyDescent="0.25">
      <c r="A2820" s="15" t="s">
        <v>4320</v>
      </c>
      <c r="B2820" s="15" t="s">
        <v>4277</v>
      </c>
      <c r="C2820" s="52">
        <v>166.37503599999999</v>
      </c>
      <c r="D2820" s="25">
        <v>0.13819444444444443</v>
      </c>
      <c r="F2820" s="61" t="s">
        <v>6868</v>
      </c>
    </row>
    <row r="2821" spans="1:6" x14ac:dyDescent="0.25">
      <c r="A2821" s="15" t="s">
        <v>4320</v>
      </c>
      <c r="B2821" s="15" t="s">
        <v>4278</v>
      </c>
      <c r="C2821" s="54">
        <v>173.93900600000001</v>
      </c>
      <c r="D2821" s="26">
        <v>0.1451388888888889</v>
      </c>
      <c r="F2821" s="61" t="s">
        <v>6869</v>
      </c>
    </row>
    <row r="2822" spans="1:6" x14ac:dyDescent="0.25">
      <c r="A2822" s="15" t="s">
        <v>4320</v>
      </c>
      <c r="B2822" s="15" t="s">
        <v>4279</v>
      </c>
      <c r="C2822" s="52">
        <v>145.749189</v>
      </c>
      <c r="D2822" s="25">
        <v>0.12152777777777778</v>
      </c>
      <c r="F2822" s="61" t="s">
        <v>6870</v>
      </c>
    </row>
    <row r="2823" spans="1:6" x14ac:dyDescent="0.25">
      <c r="A2823" s="15" t="s">
        <v>4320</v>
      </c>
      <c r="B2823" s="15" t="s">
        <v>4280</v>
      </c>
      <c r="C2823" s="54">
        <v>203.24356599999999</v>
      </c>
      <c r="D2823" s="26">
        <v>0.17013888888888887</v>
      </c>
      <c r="F2823" s="61" t="s">
        <v>6871</v>
      </c>
    </row>
    <row r="2824" spans="1:6" x14ac:dyDescent="0.25">
      <c r="A2824" s="15" t="s">
        <v>4320</v>
      </c>
      <c r="B2824" s="15" t="s">
        <v>4281</v>
      </c>
      <c r="C2824" s="52">
        <v>138.001914</v>
      </c>
      <c r="D2824" s="25">
        <v>0.11388888888888889</v>
      </c>
      <c r="F2824" s="61" t="s">
        <v>6872</v>
      </c>
    </row>
    <row r="2825" spans="1:6" x14ac:dyDescent="0.25">
      <c r="A2825" s="15" t="s">
        <v>4320</v>
      </c>
      <c r="B2825" s="15" t="s">
        <v>4282</v>
      </c>
      <c r="C2825" s="54">
        <v>248.53107499999999</v>
      </c>
      <c r="D2825" s="26">
        <v>0.20416666666666669</v>
      </c>
      <c r="F2825" s="61" t="s">
        <v>6873</v>
      </c>
    </row>
    <row r="2826" spans="1:6" x14ac:dyDescent="0.25">
      <c r="A2826" s="15" t="s">
        <v>4320</v>
      </c>
      <c r="B2826" s="15" t="s">
        <v>4283</v>
      </c>
      <c r="C2826" s="52">
        <v>257.96226999999999</v>
      </c>
      <c r="D2826" s="25">
        <v>0.21041666666666667</v>
      </c>
      <c r="F2826" s="61" t="s">
        <v>6874</v>
      </c>
    </row>
    <row r="2827" spans="1:6" x14ac:dyDescent="0.25">
      <c r="A2827" s="15" t="s">
        <v>4320</v>
      </c>
      <c r="B2827" s="15" t="s">
        <v>4284</v>
      </c>
      <c r="C2827" s="54">
        <v>254.47761199999999</v>
      </c>
      <c r="D2827" s="26">
        <v>0.20694444444444446</v>
      </c>
      <c r="F2827" s="61" t="s">
        <v>6875</v>
      </c>
    </row>
    <row r="2828" spans="1:6" x14ac:dyDescent="0.25">
      <c r="A2828" s="15" t="s">
        <v>4320</v>
      </c>
      <c r="B2828" s="15" t="s">
        <v>4285</v>
      </c>
      <c r="C2828" s="52">
        <v>258.21019799999999</v>
      </c>
      <c r="D2828" s="25">
        <v>0.21527777777777779</v>
      </c>
      <c r="F2828" s="61" t="s">
        <v>6876</v>
      </c>
    </row>
    <row r="2829" spans="1:6" x14ac:dyDescent="0.25">
      <c r="A2829" s="15" t="s">
        <v>4320</v>
      </c>
      <c r="B2829" s="15" t="s">
        <v>4286</v>
      </c>
      <c r="C2829" s="54">
        <v>255.786844</v>
      </c>
      <c r="D2829" s="26">
        <v>0.21111111111111111</v>
      </c>
      <c r="F2829" s="61" t="s">
        <v>6877</v>
      </c>
    </row>
    <row r="2830" spans="1:6" x14ac:dyDescent="0.25">
      <c r="A2830" s="15" t="s">
        <v>4320</v>
      </c>
      <c r="B2830" s="15" t="s">
        <v>4287</v>
      </c>
      <c r="C2830" s="52">
        <v>258.38977499999999</v>
      </c>
      <c r="D2830" s="25">
        <v>0.21041666666666667</v>
      </c>
      <c r="F2830" s="61" t="s">
        <v>6878</v>
      </c>
    </row>
    <row r="2831" spans="1:6" x14ac:dyDescent="0.25">
      <c r="A2831" s="15" t="s">
        <v>4320</v>
      </c>
      <c r="B2831" s="15" t="s">
        <v>4288</v>
      </c>
      <c r="C2831" s="54">
        <v>263.21784100000002</v>
      </c>
      <c r="D2831" s="26">
        <v>0.21527777777777779</v>
      </c>
      <c r="F2831" s="61" t="s">
        <v>6879</v>
      </c>
    </row>
    <row r="2832" spans="1:6" x14ac:dyDescent="0.25">
      <c r="A2832" s="15" t="s">
        <v>4320</v>
      </c>
      <c r="B2832" s="15" t="s">
        <v>4289</v>
      </c>
      <c r="C2832" s="52">
        <v>200.043496</v>
      </c>
      <c r="D2832" s="25">
        <v>0.16111111111111112</v>
      </c>
      <c r="F2832" s="61" t="s">
        <v>6880</v>
      </c>
    </row>
    <row r="2833" spans="1:6" x14ac:dyDescent="0.25">
      <c r="A2833" s="15" t="s">
        <v>4320</v>
      </c>
      <c r="B2833" s="15" t="s">
        <v>4290</v>
      </c>
      <c r="C2833" s="54">
        <v>196.560081</v>
      </c>
      <c r="D2833" s="26">
        <v>0.15902777777777777</v>
      </c>
      <c r="F2833" s="61" t="s">
        <v>6881</v>
      </c>
    </row>
    <row r="2834" spans="1:6" x14ac:dyDescent="0.25">
      <c r="A2834" s="15" t="s">
        <v>4320</v>
      </c>
      <c r="B2834" s="15" t="s">
        <v>4291</v>
      </c>
      <c r="C2834" s="52">
        <v>197.10253900000001</v>
      </c>
      <c r="D2834" s="25">
        <v>0.15902777777777777</v>
      </c>
      <c r="F2834" s="61" t="s">
        <v>6882</v>
      </c>
    </row>
    <row r="2835" spans="1:6" x14ac:dyDescent="0.25">
      <c r="A2835" s="15" t="s">
        <v>4320</v>
      </c>
      <c r="B2835" s="15" t="s">
        <v>4292</v>
      </c>
      <c r="C2835" s="54">
        <v>198.36579</v>
      </c>
      <c r="D2835" s="26">
        <v>0.16250000000000001</v>
      </c>
      <c r="F2835" s="61" t="s">
        <v>6883</v>
      </c>
    </row>
    <row r="2836" spans="1:6" x14ac:dyDescent="0.25">
      <c r="A2836" s="15" t="s">
        <v>4320</v>
      </c>
      <c r="B2836" s="15" t="s">
        <v>4293</v>
      </c>
      <c r="C2836" s="52">
        <v>202.11018200000001</v>
      </c>
      <c r="D2836" s="25">
        <v>0.16458333333333333</v>
      </c>
      <c r="F2836" s="61" t="s">
        <v>6884</v>
      </c>
    </row>
    <row r="2837" spans="1:6" x14ac:dyDescent="0.25">
      <c r="A2837" s="15" t="s">
        <v>4320</v>
      </c>
      <c r="B2837" s="15" t="s">
        <v>4294</v>
      </c>
      <c r="C2837" s="54">
        <v>203.08946499999999</v>
      </c>
      <c r="D2837" s="26">
        <v>0.16666666666666666</v>
      </c>
      <c r="F2837" s="61" t="s">
        <v>6885</v>
      </c>
    </row>
    <row r="2838" spans="1:6" x14ac:dyDescent="0.25">
      <c r="A2838" s="15" t="s">
        <v>4320</v>
      </c>
      <c r="B2838" s="15" t="s">
        <v>4295</v>
      </c>
      <c r="C2838" s="52">
        <v>205.909876</v>
      </c>
      <c r="D2838" s="25">
        <v>0.16944444444444443</v>
      </c>
      <c r="F2838" s="61" t="s">
        <v>6886</v>
      </c>
    </row>
    <row r="2839" spans="1:6" x14ac:dyDescent="0.25">
      <c r="A2839" s="15" t="s">
        <v>4320</v>
      </c>
      <c r="B2839" s="15" t="s">
        <v>4296</v>
      </c>
      <c r="C2839" s="54">
        <v>197.57229699999999</v>
      </c>
      <c r="D2839" s="26">
        <v>0.15972222222222224</v>
      </c>
      <c r="F2839" s="61" t="s">
        <v>6887</v>
      </c>
    </row>
    <row r="2840" spans="1:6" x14ac:dyDescent="0.25">
      <c r="A2840" s="15" t="s">
        <v>4320</v>
      </c>
      <c r="B2840" s="15" t="s">
        <v>4297</v>
      </c>
      <c r="C2840" s="52">
        <v>203.889172</v>
      </c>
      <c r="D2840" s="25">
        <v>0.1673611111111111</v>
      </c>
      <c r="F2840" s="61" t="s">
        <v>6888</v>
      </c>
    </row>
    <row r="2841" spans="1:6" x14ac:dyDescent="0.25">
      <c r="A2841" s="15" t="s">
        <v>4320</v>
      </c>
      <c r="B2841" s="15" t="s">
        <v>4298</v>
      </c>
      <c r="C2841" s="54">
        <v>207.57266999999999</v>
      </c>
      <c r="D2841" s="26">
        <v>0.17500000000000002</v>
      </c>
      <c r="F2841" s="61" t="s">
        <v>6889</v>
      </c>
    </row>
    <row r="2842" spans="1:6" x14ac:dyDescent="0.25">
      <c r="A2842" s="15" t="s">
        <v>4320</v>
      </c>
      <c r="B2842" s="15" t="s">
        <v>4299</v>
      </c>
      <c r="C2842" s="52">
        <v>214.10391799999999</v>
      </c>
      <c r="D2842" s="25">
        <v>0.18263888888888891</v>
      </c>
      <c r="F2842" s="61" t="s">
        <v>6890</v>
      </c>
    </row>
    <row r="2843" spans="1:6" x14ac:dyDescent="0.25">
      <c r="A2843" s="15" t="s">
        <v>4320</v>
      </c>
      <c r="B2843" s="15" t="s">
        <v>4300</v>
      </c>
      <c r="C2843" s="54">
        <v>218.92017799999999</v>
      </c>
      <c r="D2843" s="26">
        <v>0.19305555555555554</v>
      </c>
      <c r="F2843" s="61" t="s">
        <v>6891</v>
      </c>
    </row>
    <row r="2844" spans="1:6" x14ac:dyDescent="0.25">
      <c r="A2844" s="15" t="s">
        <v>4320</v>
      </c>
      <c r="B2844" s="15" t="s">
        <v>4301</v>
      </c>
      <c r="C2844" s="52">
        <v>196.06546800000001</v>
      </c>
      <c r="D2844" s="25">
        <v>0.16805555555555554</v>
      </c>
      <c r="F2844" s="61" t="s">
        <v>6892</v>
      </c>
    </row>
    <row r="2845" spans="1:6" x14ac:dyDescent="0.25">
      <c r="A2845" s="15" t="s">
        <v>4320</v>
      </c>
      <c r="B2845" s="15" t="s">
        <v>4302</v>
      </c>
      <c r="C2845" s="54">
        <v>198.92751100000001</v>
      </c>
      <c r="D2845" s="26">
        <v>0.16250000000000001</v>
      </c>
      <c r="F2845" s="61" t="s">
        <v>6893</v>
      </c>
    </row>
    <row r="2846" spans="1:6" x14ac:dyDescent="0.25">
      <c r="A2846" s="15" t="s">
        <v>4320</v>
      </c>
      <c r="B2846" s="15" t="s">
        <v>4303</v>
      </c>
      <c r="C2846" s="52">
        <v>212.93946600000001</v>
      </c>
      <c r="D2846" s="25">
        <v>0.17708333333333334</v>
      </c>
      <c r="F2846" s="61" t="s">
        <v>6894</v>
      </c>
    </row>
    <row r="2847" spans="1:6" x14ac:dyDescent="0.25">
      <c r="A2847" s="15" t="s">
        <v>4320</v>
      </c>
      <c r="B2847" s="15" t="s">
        <v>4304</v>
      </c>
      <c r="C2847" s="54">
        <v>200.050331</v>
      </c>
      <c r="D2847" s="26">
        <v>0.17222222222222225</v>
      </c>
      <c r="F2847" s="61" t="s">
        <v>6895</v>
      </c>
    </row>
    <row r="2848" spans="1:6" x14ac:dyDescent="0.25">
      <c r="A2848" s="15" t="s">
        <v>4320</v>
      </c>
      <c r="B2848" s="15" t="s">
        <v>4305</v>
      </c>
      <c r="C2848" s="52">
        <v>197.01616799999999</v>
      </c>
      <c r="D2848" s="25">
        <v>0.16666666666666666</v>
      </c>
      <c r="F2848" s="61" t="s">
        <v>6896</v>
      </c>
    </row>
    <row r="2849" spans="1:6" x14ac:dyDescent="0.25">
      <c r="A2849" s="15" t="s">
        <v>4320</v>
      </c>
      <c r="B2849" s="15" t="s">
        <v>4306</v>
      </c>
      <c r="C2849" s="54">
        <v>94.750642999999997</v>
      </c>
      <c r="D2849" s="26">
        <v>8.4722222222222213E-2</v>
      </c>
      <c r="F2849" s="61" t="s">
        <v>6897</v>
      </c>
    </row>
    <row r="2850" spans="1:6" x14ac:dyDescent="0.25">
      <c r="A2850" s="15" t="s">
        <v>4320</v>
      </c>
      <c r="B2850" s="15" t="s">
        <v>4307</v>
      </c>
      <c r="C2850" s="52">
        <v>97.423788999999999</v>
      </c>
      <c r="D2850" s="25">
        <v>8.7500000000000008E-2</v>
      </c>
      <c r="F2850" s="61" t="s">
        <v>6898</v>
      </c>
    </row>
    <row r="2851" spans="1:6" x14ac:dyDescent="0.25">
      <c r="A2851" s="15" t="s">
        <v>4320</v>
      </c>
      <c r="B2851" s="15" t="s">
        <v>4308</v>
      </c>
      <c r="C2851" s="54">
        <v>95.647283999999999</v>
      </c>
      <c r="D2851" s="26">
        <v>8.4722222222222213E-2</v>
      </c>
      <c r="F2851" s="61" t="s">
        <v>6899</v>
      </c>
    </row>
    <row r="2852" spans="1:6" x14ac:dyDescent="0.25">
      <c r="A2852" s="15" t="s">
        <v>4320</v>
      </c>
      <c r="B2852" s="15" t="s">
        <v>4309</v>
      </c>
      <c r="C2852" s="52">
        <v>284.22396800000001</v>
      </c>
      <c r="D2852" s="25">
        <v>0.23472222222222219</v>
      </c>
      <c r="F2852" s="61" t="s">
        <v>6900</v>
      </c>
    </row>
    <row r="2853" spans="1:6" x14ac:dyDescent="0.25">
      <c r="A2853" s="15" t="s">
        <v>4320</v>
      </c>
      <c r="B2853" s="15" t="s">
        <v>4310</v>
      </c>
      <c r="C2853" s="54">
        <v>297.710241</v>
      </c>
      <c r="D2853" s="26">
        <v>0.24513888888888888</v>
      </c>
      <c r="F2853" s="61" t="s">
        <v>6901</v>
      </c>
    </row>
    <row r="2854" spans="1:6" x14ac:dyDescent="0.25">
      <c r="A2854" s="15" t="s">
        <v>4320</v>
      </c>
      <c r="B2854" s="15" t="s">
        <v>4311</v>
      </c>
      <c r="C2854" s="52">
        <v>288.24735600000002</v>
      </c>
      <c r="D2854" s="25">
        <v>0.23819444444444446</v>
      </c>
      <c r="F2854" s="61" t="s">
        <v>6902</v>
      </c>
    </row>
    <row r="2855" spans="1:6" x14ac:dyDescent="0.25">
      <c r="A2855" s="15" t="s">
        <v>4320</v>
      </c>
      <c r="B2855" s="15" t="s">
        <v>4312</v>
      </c>
      <c r="C2855" s="54">
        <v>271.79154199999999</v>
      </c>
      <c r="D2855" s="26">
        <v>0.22152777777777777</v>
      </c>
      <c r="F2855" s="61" t="s">
        <v>6903</v>
      </c>
    </row>
    <row r="2856" spans="1:6" x14ac:dyDescent="0.25">
      <c r="A2856" s="15" t="s">
        <v>4320</v>
      </c>
      <c r="B2856" s="15" t="s">
        <v>4313</v>
      </c>
      <c r="C2856" s="52">
        <v>294.44430599999998</v>
      </c>
      <c r="D2856" s="25">
        <v>0.24166666666666667</v>
      </c>
      <c r="F2856" s="61" t="s">
        <v>6904</v>
      </c>
    </row>
    <row r="2857" spans="1:6" x14ac:dyDescent="0.25">
      <c r="A2857" s="15" t="s">
        <v>4320</v>
      </c>
      <c r="B2857" s="15" t="s">
        <v>4314</v>
      </c>
      <c r="C2857" s="54">
        <v>150.39208600000001</v>
      </c>
      <c r="D2857" s="26">
        <v>0.12361111111111112</v>
      </c>
      <c r="F2857" s="61" t="s">
        <v>6905</v>
      </c>
    </row>
    <row r="2858" spans="1:6" x14ac:dyDescent="0.25">
      <c r="A2858" s="15" t="s">
        <v>4320</v>
      </c>
      <c r="B2858" s="15" t="s">
        <v>4315</v>
      </c>
      <c r="C2858" s="52">
        <v>154.68514999999999</v>
      </c>
      <c r="D2858" s="25">
        <v>0.13333333333333333</v>
      </c>
      <c r="F2858" s="61" t="s">
        <v>6906</v>
      </c>
    </row>
    <row r="2859" spans="1:6" x14ac:dyDescent="0.25">
      <c r="A2859" s="15" t="s">
        <v>4320</v>
      </c>
      <c r="B2859" s="15" t="s">
        <v>4316</v>
      </c>
      <c r="C2859" s="54">
        <v>152.792449</v>
      </c>
      <c r="D2859" s="26">
        <v>0.12916666666666668</v>
      </c>
      <c r="F2859" s="61" t="s">
        <v>6907</v>
      </c>
    </row>
    <row r="2860" spans="1:6" x14ac:dyDescent="0.25">
      <c r="A2860" s="15" t="s">
        <v>4320</v>
      </c>
      <c r="B2860" s="15" t="s">
        <v>4317</v>
      </c>
      <c r="C2860" s="52">
        <v>133.20615900000001</v>
      </c>
      <c r="D2860" s="25">
        <v>0.11875000000000001</v>
      </c>
      <c r="F2860" s="61" t="s">
        <v>6908</v>
      </c>
    </row>
    <row r="2861" spans="1:6" x14ac:dyDescent="0.25">
      <c r="A2861" s="15" t="s">
        <v>4320</v>
      </c>
      <c r="B2861" s="15" t="s">
        <v>4318</v>
      </c>
      <c r="C2861" s="54">
        <v>142.31734700000001</v>
      </c>
      <c r="D2861" s="26">
        <v>0.12708333333333333</v>
      </c>
      <c r="F2861" s="61" t="s">
        <v>6909</v>
      </c>
    </row>
    <row r="2862" spans="1:6" x14ac:dyDescent="0.25">
      <c r="A2862" s="15" t="s">
        <v>4320</v>
      </c>
      <c r="B2862" s="15" t="s">
        <v>4319</v>
      </c>
      <c r="C2862" s="52">
        <v>135.23556199999999</v>
      </c>
      <c r="D2862" s="25">
        <v>0.12222222222222223</v>
      </c>
      <c r="F2862" s="61" t="s">
        <v>6910</v>
      </c>
    </row>
    <row r="2863" spans="1:6" x14ac:dyDescent="0.25">
      <c r="A2863" s="15" t="s">
        <v>4320</v>
      </c>
      <c r="B2863" s="15" t="s">
        <v>4320</v>
      </c>
      <c r="C2863" s="54">
        <v>0</v>
      </c>
      <c r="D2863" s="26">
        <v>0</v>
      </c>
      <c r="F2863" s="61" t="s">
        <v>6911</v>
      </c>
    </row>
    <row r="2864" spans="1:6" x14ac:dyDescent="0.25">
      <c r="A2864" s="15" t="s">
        <v>4320</v>
      </c>
      <c r="B2864" s="15" t="s">
        <v>4321</v>
      </c>
      <c r="C2864" s="52">
        <v>1.2402599999999999</v>
      </c>
      <c r="D2864" s="25">
        <v>4.8611111111111112E-3</v>
      </c>
      <c r="F2864" s="61" t="s">
        <v>6912</v>
      </c>
    </row>
    <row r="2865" spans="1:6" x14ac:dyDescent="0.25">
      <c r="A2865" s="15" t="s">
        <v>4321</v>
      </c>
      <c r="B2865" s="15">
        <v>3423909</v>
      </c>
      <c r="C2865" s="54">
        <v>157.03021100000001</v>
      </c>
      <c r="D2865" s="26">
        <v>0.13263888888888889</v>
      </c>
      <c r="F2865" s="61" t="s">
        <v>7066</v>
      </c>
    </row>
    <row r="2866" spans="1:6" x14ac:dyDescent="0.25">
      <c r="A2866" s="15" t="s">
        <v>4321</v>
      </c>
      <c r="B2866" s="15">
        <v>3403208</v>
      </c>
      <c r="C2866" s="52">
        <v>81.927374</v>
      </c>
      <c r="D2866" s="25">
        <v>7.3611111111111113E-2</v>
      </c>
      <c r="F2866" s="61" t="s">
        <v>7171</v>
      </c>
    </row>
    <row r="2867" spans="1:6" x14ac:dyDescent="0.25">
      <c r="A2867" s="15" t="s">
        <v>4321</v>
      </c>
      <c r="B2867" s="15">
        <v>3424402</v>
      </c>
      <c r="C2867" s="54">
        <v>250.30074400000001</v>
      </c>
      <c r="D2867" s="26">
        <v>0.20555555555555557</v>
      </c>
      <c r="F2867" s="61" t="s">
        <v>7278</v>
      </c>
    </row>
    <row r="2868" spans="1:6" x14ac:dyDescent="0.25">
      <c r="A2868" s="15" t="s">
        <v>4321</v>
      </c>
      <c r="B2868" s="15" t="s">
        <v>4271</v>
      </c>
      <c r="C2868" s="52">
        <v>173.02061699999999</v>
      </c>
      <c r="D2868" s="25">
        <v>0.14444444444444446</v>
      </c>
      <c r="F2868" s="61" t="s">
        <v>6913</v>
      </c>
    </row>
    <row r="2869" spans="1:6" x14ac:dyDescent="0.25">
      <c r="A2869" s="15" t="s">
        <v>4321</v>
      </c>
      <c r="B2869" s="15" t="s">
        <v>4272</v>
      </c>
      <c r="C2869" s="54">
        <v>166.377521</v>
      </c>
      <c r="D2869" s="26">
        <v>0.14027777777777778</v>
      </c>
      <c r="F2869" s="61" t="s">
        <v>6914</v>
      </c>
    </row>
    <row r="2870" spans="1:6" x14ac:dyDescent="0.25">
      <c r="A2870" s="15" t="s">
        <v>4321</v>
      </c>
      <c r="B2870" s="15" t="s">
        <v>4273</v>
      </c>
      <c r="C2870" s="52">
        <v>167.932817</v>
      </c>
      <c r="D2870" s="25">
        <v>0.14375000000000002</v>
      </c>
      <c r="F2870" s="61" t="s">
        <v>6915</v>
      </c>
    </row>
    <row r="2871" spans="1:6" x14ac:dyDescent="0.25">
      <c r="A2871" s="15" t="s">
        <v>4321</v>
      </c>
      <c r="B2871" s="15" t="s">
        <v>4274</v>
      </c>
      <c r="C2871" s="54">
        <v>164.91294600000001</v>
      </c>
      <c r="D2871" s="26">
        <v>0.13749999999999998</v>
      </c>
      <c r="F2871" s="61" t="s">
        <v>6916</v>
      </c>
    </row>
    <row r="2872" spans="1:6" x14ac:dyDescent="0.25">
      <c r="A2872" s="15" t="s">
        <v>4321</v>
      </c>
      <c r="B2872" s="15" t="s">
        <v>4275</v>
      </c>
      <c r="C2872" s="52">
        <v>165.00615199999999</v>
      </c>
      <c r="D2872" s="25">
        <v>0.13749999999999998</v>
      </c>
      <c r="F2872" s="61" t="s">
        <v>6917</v>
      </c>
    </row>
    <row r="2873" spans="1:6" x14ac:dyDescent="0.25">
      <c r="A2873" s="15" t="s">
        <v>4321</v>
      </c>
      <c r="B2873" s="15" t="s">
        <v>4276</v>
      </c>
      <c r="C2873" s="54">
        <v>173.71158399999999</v>
      </c>
      <c r="D2873" s="26">
        <v>0.14444444444444446</v>
      </c>
      <c r="F2873" s="61" t="s">
        <v>6918</v>
      </c>
    </row>
    <row r="2874" spans="1:6" x14ac:dyDescent="0.25">
      <c r="A2874" s="15" t="s">
        <v>4321</v>
      </c>
      <c r="B2874" s="15" t="s">
        <v>4277</v>
      </c>
      <c r="C2874" s="52">
        <v>167.18592699999999</v>
      </c>
      <c r="D2874" s="25">
        <v>0.13958333333333334</v>
      </c>
      <c r="F2874" s="61" t="s">
        <v>6919</v>
      </c>
    </row>
    <row r="2875" spans="1:6" x14ac:dyDescent="0.25">
      <c r="A2875" s="15" t="s">
        <v>4321</v>
      </c>
      <c r="B2875" s="15" t="s">
        <v>4278</v>
      </c>
      <c r="C2875" s="54">
        <v>174.749897</v>
      </c>
      <c r="D2875" s="26">
        <v>0.14583333333333334</v>
      </c>
      <c r="F2875" s="61" t="s">
        <v>6920</v>
      </c>
    </row>
    <row r="2876" spans="1:6" x14ac:dyDescent="0.25">
      <c r="A2876" s="15" t="s">
        <v>4321</v>
      </c>
      <c r="B2876" s="15" t="s">
        <v>4279</v>
      </c>
      <c r="C2876" s="52">
        <v>146.560081</v>
      </c>
      <c r="D2876" s="25">
        <v>0.12222222222222223</v>
      </c>
      <c r="F2876" s="61" t="s">
        <v>6921</v>
      </c>
    </row>
    <row r="2877" spans="1:6" x14ac:dyDescent="0.25">
      <c r="A2877" s="15" t="s">
        <v>4321</v>
      </c>
      <c r="B2877" s="15" t="s">
        <v>4280</v>
      </c>
      <c r="C2877" s="54">
        <v>204.05445700000001</v>
      </c>
      <c r="D2877" s="26">
        <v>0.17083333333333331</v>
      </c>
      <c r="F2877" s="61" t="s">
        <v>6922</v>
      </c>
    </row>
    <row r="2878" spans="1:6" x14ac:dyDescent="0.25">
      <c r="A2878" s="15" t="s">
        <v>4321</v>
      </c>
      <c r="B2878" s="15" t="s">
        <v>4281</v>
      </c>
      <c r="C2878" s="52">
        <v>138.812805</v>
      </c>
      <c r="D2878" s="25">
        <v>0.11527777777777777</v>
      </c>
      <c r="F2878" s="61" t="s">
        <v>6923</v>
      </c>
    </row>
    <row r="2879" spans="1:6" x14ac:dyDescent="0.25">
      <c r="A2879" s="15" t="s">
        <v>4321</v>
      </c>
      <c r="B2879" s="15" t="s">
        <v>4282</v>
      </c>
      <c r="C2879" s="54">
        <v>249.34196600000001</v>
      </c>
      <c r="D2879" s="26">
        <v>0.20486111111111113</v>
      </c>
      <c r="F2879" s="61" t="s">
        <v>6924</v>
      </c>
    </row>
    <row r="2880" spans="1:6" x14ac:dyDescent="0.25">
      <c r="A2880" s="15" t="s">
        <v>4321</v>
      </c>
      <c r="B2880" s="15" t="s">
        <v>4283</v>
      </c>
      <c r="C2880" s="52">
        <v>258.77316200000001</v>
      </c>
      <c r="D2880" s="25">
        <v>0.21111111111111111</v>
      </c>
      <c r="F2880" s="61" t="s">
        <v>6925</v>
      </c>
    </row>
    <row r="2881" spans="1:6" x14ac:dyDescent="0.25">
      <c r="A2881" s="15" t="s">
        <v>4321</v>
      </c>
      <c r="B2881" s="15" t="s">
        <v>4284</v>
      </c>
      <c r="C2881" s="54">
        <v>256.83572099999998</v>
      </c>
      <c r="D2881" s="26">
        <v>0.20833333333333334</v>
      </c>
      <c r="F2881" s="61" t="s">
        <v>6926</v>
      </c>
    </row>
    <row r="2882" spans="1:6" x14ac:dyDescent="0.25">
      <c r="A2882" s="15" t="s">
        <v>4321</v>
      </c>
      <c r="B2882" s="15" t="s">
        <v>4285</v>
      </c>
      <c r="C2882" s="52">
        <v>259.02108900000002</v>
      </c>
      <c r="D2882" s="25">
        <v>0.21597222222222223</v>
      </c>
      <c r="F2882" s="61" t="s">
        <v>6927</v>
      </c>
    </row>
    <row r="2883" spans="1:6" x14ac:dyDescent="0.25">
      <c r="A2883" s="15" t="s">
        <v>4321</v>
      </c>
      <c r="B2883" s="15" t="s">
        <v>4286</v>
      </c>
      <c r="C2883" s="54">
        <v>256.597736</v>
      </c>
      <c r="D2883" s="26">
        <v>0.21180555555555555</v>
      </c>
      <c r="F2883" s="61" t="s">
        <v>6928</v>
      </c>
    </row>
    <row r="2884" spans="1:6" x14ac:dyDescent="0.25">
      <c r="A2884" s="15" t="s">
        <v>4321</v>
      </c>
      <c r="B2884" s="15" t="s">
        <v>4287</v>
      </c>
      <c r="C2884" s="52">
        <v>259.20066600000001</v>
      </c>
      <c r="D2884" s="25">
        <v>0.21111111111111111</v>
      </c>
      <c r="F2884" s="61" t="s">
        <v>6929</v>
      </c>
    </row>
    <row r="2885" spans="1:6" x14ac:dyDescent="0.25">
      <c r="A2885" s="15" t="s">
        <v>4321</v>
      </c>
      <c r="B2885" s="15" t="s">
        <v>4288</v>
      </c>
      <c r="C2885" s="54">
        <v>264.02873199999999</v>
      </c>
      <c r="D2885" s="26">
        <v>0.21597222222222223</v>
      </c>
      <c r="F2885" s="61" t="s">
        <v>6930</v>
      </c>
    </row>
    <row r="2886" spans="1:6" x14ac:dyDescent="0.25">
      <c r="A2886" s="15" t="s">
        <v>4321</v>
      </c>
      <c r="B2886" s="15" t="s">
        <v>4289</v>
      </c>
      <c r="C2886" s="52">
        <v>200.854388</v>
      </c>
      <c r="D2886" s="25">
        <v>0.16180555555555556</v>
      </c>
      <c r="F2886" s="61" t="s">
        <v>6931</v>
      </c>
    </row>
    <row r="2887" spans="1:6" x14ac:dyDescent="0.25">
      <c r="A2887" s="15" t="s">
        <v>4321</v>
      </c>
      <c r="B2887" s="15" t="s">
        <v>4290</v>
      </c>
      <c r="C2887" s="54">
        <v>197.37097199999999</v>
      </c>
      <c r="D2887" s="26">
        <v>0.15972222222222224</v>
      </c>
      <c r="F2887" s="61" t="s">
        <v>6932</v>
      </c>
    </row>
    <row r="2888" spans="1:6" x14ac:dyDescent="0.25">
      <c r="A2888" s="15" t="s">
        <v>4321</v>
      </c>
      <c r="B2888" s="15" t="s">
        <v>4291</v>
      </c>
      <c r="C2888" s="52">
        <v>197.91343000000001</v>
      </c>
      <c r="D2888" s="25">
        <v>0.16041666666666668</v>
      </c>
      <c r="F2888" s="61" t="s">
        <v>6933</v>
      </c>
    </row>
    <row r="2889" spans="1:6" x14ac:dyDescent="0.25">
      <c r="A2889" s="15" t="s">
        <v>4321</v>
      </c>
      <c r="B2889" s="15" t="s">
        <v>4292</v>
      </c>
      <c r="C2889" s="54">
        <v>199.176681</v>
      </c>
      <c r="D2889" s="26">
        <v>0.16319444444444445</v>
      </c>
      <c r="F2889" s="61" t="s">
        <v>6934</v>
      </c>
    </row>
    <row r="2890" spans="1:6" x14ac:dyDescent="0.25">
      <c r="A2890" s="15" t="s">
        <v>4321</v>
      </c>
      <c r="B2890" s="15" t="s">
        <v>4293</v>
      </c>
      <c r="C2890" s="52">
        <v>202.92107300000001</v>
      </c>
      <c r="D2890" s="25">
        <v>0.16527777777777777</v>
      </c>
      <c r="F2890" s="61" t="s">
        <v>6935</v>
      </c>
    </row>
    <row r="2891" spans="1:6" x14ac:dyDescent="0.25">
      <c r="A2891" s="15" t="s">
        <v>4321</v>
      </c>
      <c r="B2891" s="15" t="s">
        <v>4294</v>
      </c>
      <c r="C2891" s="54">
        <v>203.90035700000001</v>
      </c>
      <c r="D2891" s="26">
        <v>0.16805555555555554</v>
      </c>
      <c r="F2891" s="61" t="s">
        <v>6936</v>
      </c>
    </row>
    <row r="2892" spans="1:6" x14ac:dyDescent="0.25">
      <c r="A2892" s="15" t="s">
        <v>4321</v>
      </c>
      <c r="B2892" s="15" t="s">
        <v>4295</v>
      </c>
      <c r="C2892" s="52">
        <v>206.72076799999999</v>
      </c>
      <c r="D2892" s="25">
        <v>0.17013888888888887</v>
      </c>
      <c r="F2892" s="61" t="s">
        <v>6937</v>
      </c>
    </row>
    <row r="2893" spans="1:6" x14ac:dyDescent="0.25">
      <c r="A2893" s="15" t="s">
        <v>4321</v>
      </c>
      <c r="B2893" s="15" t="s">
        <v>4296</v>
      </c>
      <c r="C2893" s="54">
        <v>198.38318799999999</v>
      </c>
      <c r="D2893" s="26">
        <v>0.16111111111111112</v>
      </c>
      <c r="F2893" s="61" t="s">
        <v>6938</v>
      </c>
    </row>
    <row r="2894" spans="1:6" x14ac:dyDescent="0.25">
      <c r="A2894" s="15" t="s">
        <v>4321</v>
      </c>
      <c r="B2894" s="15" t="s">
        <v>4297</v>
      </c>
      <c r="C2894" s="52">
        <v>204.700063</v>
      </c>
      <c r="D2894" s="25">
        <v>0.16805555555555554</v>
      </c>
      <c r="F2894" s="61" t="s">
        <v>6939</v>
      </c>
    </row>
    <row r="2895" spans="1:6" x14ac:dyDescent="0.25">
      <c r="A2895" s="15" t="s">
        <v>4321</v>
      </c>
      <c r="B2895" s="15" t="s">
        <v>4298</v>
      </c>
      <c r="C2895" s="54">
        <v>208.38356099999999</v>
      </c>
      <c r="D2895" s="26">
        <v>0.17569444444444446</v>
      </c>
      <c r="F2895" s="61" t="s">
        <v>6940</v>
      </c>
    </row>
    <row r="2896" spans="1:6" x14ac:dyDescent="0.25">
      <c r="A2896" s="15" t="s">
        <v>4321</v>
      </c>
      <c r="B2896" s="15" t="s">
        <v>4299</v>
      </c>
      <c r="C2896" s="52">
        <v>214.91480999999999</v>
      </c>
      <c r="D2896" s="25">
        <v>0.18333333333333335</v>
      </c>
      <c r="F2896" s="61" t="s">
        <v>6941</v>
      </c>
    </row>
    <row r="2897" spans="1:6" x14ac:dyDescent="0.25">
      <c r="A2897" s="15" t="s">
        <v>4321</v>
      </c>
      <c r="B2897" s="15" t="s">
        <v>4300</v>
      </c>
      <c r="C2897" s="54">
        <v>219.73106999999999</v>
      </c>
      <c r="D2897" s="26">
        <v>0.19375000000000001</v>
      </c>
      <c r="F2897" s="61" t="s">
        <v>6942</v>
      </c>
    </row>
    <row r="2898" spans="1:6" x14ac:dyDescent="0.25">
      <c r="A2898" s="15" t="s">
        <v>4321</v>
      </c>
      <c r="B2898" s="15" t="s">
        <v>4301</v>
      </c>
      <c r="C2898" s="52">
        <v>196.87635900000001</v>
      </c>
      <c r="D2898" s="25">
        <v>0.16874999999999998</v>
      </c>
      <c r="F2898" s="61" t="s">
        <v>6943</v>
      </c>
    </row>
    <row r="2899" spans="1:6" x14ac:dyDescent="0.25">
      <c r="A2899" s="15" t="s">
        <v>4321</v>
      </c>
      <c r="B2899" s="15" t="s">
        <v>4302</v>
      </c>
      <c r="C2899" s="54">
        <v>199.73840200000001</v>
      </c>
      <c r="D2899" s="26">
        <v>0.16319444444444445</v>
      </c>
      <c r="F2899" s="61" t="s">
        <v>6944</v>
      </c>
    </row>
    <row r="2900" spans="1:6" x14ac:dyDescent="0.25">
      <c r="A2900" s="15" t="s">
        <v>4321</v>
      </c>
      <c r="B2900" s="15" t="s">
        <v>4303</v>
      </c>
      <c r="C2900" s="52">
        <v>213.75035700000001</v>
      </c>
      <c r="D2900" s="25">
        <v>0.17777777777777778</v>
      </c>
      <c r="F2900" s="61" t="s">
        <v>6945</v>
      </c>
    </row>
    <row r="2901" spans="1:6" x14ac:dyDescent="0.25">
      <c r="A2901" s="15" t="s">
        <v>4321</v>
      </c>
      <c r="B2901" s="15" t="s">
        <v>4304</v>
      </c>
      <c r="C2901" s="54">
        <v>200.861223</v>
      </c>
      <c r="D2901" s="26">
        <v>0.17291666666666669</v>
      </c>
      <c r="F2901" s="61" t="s">
        <v>6946</v>
      </c>
    </row>
    <row r="2902" spans="1:6" x14ac:dyDescent="0.25">
      <c r="A2902" s="15" t="s">
        <v>4321</v>
      </c>
      <c r="B2902" s="15" t="s">
        <v>4305</v>
      </c>
      <c r="C2902" s="52">
        <v>197.82705999999999</v>
      </c>
      <c r="D2902" s="25">
        <v>0.1673611111111111</v>
      </c>
      <c r="F2902" s="61" t="s">
        <v>6947</v>
      </c>
    </row>
    <row r="2903" spans="1:6" x14ac:dyDescent="0.25">
      <c r="A2903" s="15" t="s">
        <v>4321</v>
      </c>
      <c r="B2903" s="15" t="s">
        <v>4306</v>
      </c>
      <c r="C2903" s="54">
        <v>95.561535000000006</v>
      </c>
      <c r="D2903" s="26">
        <v>8.5416666666666655E-2</v>
      </c>
      <c r="F2903" s="61" t="s">
        <v>6948</v>
      </c>
    </row>
    <row r="2904" spans="1:6" x14ac:dyDescent="0.25">
      <c r="A2904" s="15" t="s">
        <v>4321</v>
      </c>
      <c r="B2904" s="15" t="s">
        <v>4307</v>
      </c>
      <c r="C2904" s="52">
        <v>98.234679999999997</v>
      </c>
      <c r="D2904" s="25">
        <v>8.819444444444445E-2</v>
      </c>
      <c r="F2904" s="61" t="s">
        <v>6949</v>
      </c>
    </row>
    <row r="2905" spans="1:6" x14ac:dyDescent="0.25">
      <c r="A2905" s="15" t="s">
        <v>4321</v>
      </c>
      <c r="B2905" s="15" t="s">
        <v>4308</v>
      </c>
      <c r="C2905" s="54">
        <v>96.458174999999997</v>
      </c>
      <c r="D2905" s="26">
        <v>8.6111111111111124E-2</v>
      </c>
      <c r="F2905" s="61" t="s">
        <v>6950</v>
      </c>
    </row>
    <row r="2906" spans="1:6" x14ac:dyDescent="0.25">
      <c r="A2906" s="15" t="s">
        <v>4321</v>
      </c>
      <c r="B2906" s="15" t="s">
        <v>4309</v>
      </c>
      <c r="C2906" s="52">
        <v>285.03485899999998</v>
      </c>
      <c r="D2906" s="25">
        <v>0.23541666666666669</v>
      </c>
      <c r="F2906" s="61" t="s">
        <v>6951</v>
      </c>
    </row>
    <row r="2907" spans="1:6" x14ac:dyDescent="0.25">
      <c r="A2907" s="15" t="s">
        <v>4321</v>
      </c>
      <c r="B2907" s="15" t="s">
        <v>4310</v>
      </c>
      <c r="C2907" s="54">
        <v>298.52113300000002</v>
      </c>
      <c r="D2907" s="26">
        <v>0.24652777777777779</v>
      </c>
      <c r="F2907" s="61" t="s">
        <v>6952</v>
      </c>
    </row>
    <row r="2908" spans="1:6" x14ac:dyDescent="0.25">
      <c r="A2908" s="15" t="s">
        <v>4321</v>
      </c>
      <c r="B2908" s="15" t="s">
        <v>4311</v>
      </c>
      <c r="C2908" s="52">
        <v>289.05824699999999</v>
      </c>
      <c r="D2908" s="25">
        <v>0.23958333333333334</v>
      </c>
      <c r="F2908" s="61" t="s">
        <v>6953</v>
      </c>
    </row>
    <row r="2909" spans="1:6" x14ac:dyDescent="0.25">
      <c r="A2909" s="15" t="s">
        <v>4321</v>
      </c>
      <c r="B2909" s="15" t="s">
        <v>4312</v>
      </c>
      <c r="C2909" s="54">
        <v>272.60243300000002</v>
      </c>
      <c r="D2909" s="26">
        <v>0.22222222222222221</v>
      </c>
      <c r="F2909" s="61" t="s">
        <v>6954</v>
      </c>
    </row>
    <row r="2910" spans="1:6" x14ac:dyDescent="0.25">
      <c r="A2910" s="15" t="s">
        <v>4321</v>
      </c>
      <c r="B2910" s="15" t="s">
        <v>4313</v>
      </c>
      <c r="C2910" s="52">
        <v>295.25519800000001</v>
      </c>
      <c r="D2910" s="25">
        <v>0.24305555555555555</v>
      </c>
      <c r="F2910" s="61" t="s">
        <v>6955</v>
      </c>
    </row>
    <row r="2911" spans="1:6" x14ac:dyDescent="0.25">
      <c r="A2911" s="15" t="s">
        <v>4321</v>
      </c>
      <c r="B2911" s="15" t="s">
        <v>4314</v>
      </c>
      <c r="C2911" s="54">
        <v>151.202978</v>
      </c>
      <c r="D2911" s="26">
        <v>0.125</v>
      </c>
      <c r="F2911" s="61" t="s">
        <v>6956</v>
      </c>
    </row>
    <row r="2912" spans="1:6" x14ac:dyDescent="0.25">
      <c r="A2912" s="15" t="s">
        <v>4321</v>
      </c>
      <c r="B2912" s="15" t="s">
        <v>4315</v>
      </c>
      <c r="C2912" s="52">
        <v>155.49604199999999</v>
      </c>
      <c r="D2912" s="25">
        <v>0.13402777777777777</v>
      </c>
      <c r="F2912" s="61" t="s">
        <v>6957</v>
      </c>
    </row>
    <row r="2913" spans="1:6" x14ac:dyDescent="0.25">
      <c r="A2913" s="15" t="s">
        <v>4321</v>
      </c>
      <c r="B2913" s="15" t="s">
        <v>4316</v>
      </c>
      <c r="C2913" s="54">
        <v>153.60334</v>
      </c>
      <c r="D2913" s="26">
        <v>0.13055555555555556</v>
      </c>
      <c r="F2913" s="61" t="s">
        <v>6958</v>
      </c>
    </row>
    <row r="2914" spans="1:6" x14ac:dyDescent="0.25">
      <c r="A2914" s="15" t="s">
        <v>4321</v>
      </c>
      <c r="B2914" s="15" t="s">
        <v>4317</v>
      </c>
      <c r="C2914" s="52">
        <v>134.01705000000001</v>
      </c>
      <c r="D2914" s="25">
        <v>0.11944444444444445</v>
      </c>
      <c r="F2914" s="61" t="s">
        <v>6959</v>
      </c>
    </row>
    <row r="2915" spans="1:6" x14ac:dyDescent="0.25">
      <c r="A2915" s="15" t="s">
        <v>4321</v>
      </c>
      <c r="B2915" s="15" t="s">
        <v>4318</v>
      </c>
      <c r="C2915" s="54">
        <v>143.12823900000001</v>
      </c>
      <c r="D2915" s="26">
        <v>0.1277777777777778</v>
      </c>
      <c r="F2915" s="61" t="s">
        <v>6960</v>
      </c>
    </row>
    <row r="2916" spans="1:6" x14ac:dyDescent="0.25">
      <c r="A2916" s="15" t="s">
        <v>4321</v>
      </c>
      <c r="B2916" s="15" t="s">
        <v>4319</v>
      </c>
      <c r="C2916" s="52">
        <v>136.04645400000001</v>
      </c>
      <c r="D2916" s="25">
        <v>0.12291666666666667</v>
      </c>
      <c r="F2916" s="61" t="s">
        <v>6961</v>
      </c>
    </row>
    <row r="2917" spans="1:6" x14ac:dyDescent="0.25">
      <c r="A2917" s="15" t="s">
        <v>4321</v>
      </c>
      <c r="B2917" s="15" t="s">
        <v>4320</v>
      </c>
      <c r="C2917" s="54">
        <v>1.2004919999999999</v>
      </c>
      <c r="D2917" s="26">
        <v>2.7777777777777779E-3</v>
      </c>
      <c r="F2917" s="61" t="s">
        <v>6962</v>
      </c>
    </row>
    <row r="2918" spans="1:6" x14ac:dyDescent="0.25">
      <c r="A2918" s="6" t="s">
        <v>4321</v>
      </c>
      <c r="B2918" s="6" t="s">
        <v>4321</v>
      </c>
      <c r="C2918" s="50">
        <v>0</v>
      </c>
      <c r="D2918" s="23">
        <v>0</v>
      </c>
      <c r="F2918" s="61" t="s">
        <v>6963</v>
      </c>
    </row>
  </sheetData>
  <pageMargins left="0.511811024" right="0.511811024" top="0.78740157499999996" bottom="0.78740157499999996" header="0.31496062000000002" footer="0.31496062000000002"/>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button id="customButton11" getLabel="GetMenuLabel" imageMso="AnimationStartDropdown" onAction="AnimateVisualizationWorksheetRibbonCall"/>
          </menu>
        </group>
        <group id="customGroup7" imageMso="AnimationStartDropdown">
          <menu id="menu7" getLabel="GetMenuLabel" imageMso="AnimationStartDropdown" size="large">
            <button id="customButton12" getLabel="GetMenuLabel" imageMso="AnimationStartDropdown" onAction="VRP_Solver_ribbon_call"/>
            <button id="customButton13" getLabel="GetMenuLabel" imageMso="AdvancedFind" onAction="FeasibilityCheckDataAndSolutionRibbonCall"/>
            <button id="customButton14" getLabel="GetMenuLabel" imageMso="TableIndexes" onAction="external_vrp_solver_ribbon_call"/>
          </menu>
        </group>
        <group id="customGroup8" imageMso="Info">
          <menu id="menu8" getLabel="GetMenuLabel" imageMso="Info" size="large">
            <button id="customButton15" getLabel="GetMenuLabel" imageMso="ContactCardSendEmail" onAction="SendFeedbackRibbonCall"/>
            <button id="customButton16" getLabel="GetMenuLabel" imageMso="MovieFromFileInsert" onAction="WatchTutorialRibbonCall"/>
            <button id="customButton17" getLabel="GetMenuLabel" imageMso="Info" onAction="AboutRibbonCall"/>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630DE7AEE37594DAC19B236692A2AB5" ma:contentTypeVersion="4" ma:contentTypeDescription="Crie um novo documento." ma:contentTypeScope="" ma:versionID="139dde195e94a45931fa5ea26d37004a">
  <xsd:schema xmlns:xsd="http://www.w3.org/2001/XMLSchema" xmlns:xs="http://www.w3.org/2001/XMLSchema" xmlns:p="http://schemas.microsoft.com/office/2006/metadata/properties" xmlns:ns2="6d96c976-0f67-495c-bd0e-e9d9da7a4926" targetNamespace="http://schemas.microsoft.com/office/2006/metadata/properties" ma:root="true" ma:fieldsID="06d7e5580df9820b62052b1d1dc9d64c" ns2:_="">
    <xsd:import namespace="6d96c976-0f67-495c-bd0e-e9d9da7a492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96c976-0f67-495c-bd0e-e9d9da7a49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BFCD3D6-5766-46E1-8413-EDB3FB2769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96c976-0f67-495c-bd0e-e9d9da7a49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C7E0D47-7056-4530-B9C0-595141F74C31}">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5E1C5B0-0534-4702-9E16-748B4424A8A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7</vt:i4>
      </vt:variant>
    </vt:vector>
  </HeadingPairs>
  <TitlesOfParts>
    <vt:vector size="7" baseType="lpstr">
      <vt:lpstr>About</vt:lpstr>
      <vt:lpstr>VRP Solver Console</vt:lpstr>
      <vt:lpstr>MultiLanguageMenuItems</vt:lpstr>
      <vt:lpstr>MultiLanguageInterface</vt:lpstr>
      <vt:lpstr>1. Locais</vt:lpstr>
      <vt:lpstr>2. Distâncias</vt:lpstr>
      <vt:lpstr>Planilha1</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marcelo rodolfo</cp:lastModifiedBy>
  <dcterms:created xsi:type="dcterms:W3CDTF">2013-07-17T23:20:08Z</dcterms:created>
  <dcterms:modified xsi:type="dcterms:W3CDTF">2023-04-26T18:30:39Z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0x0101002630DE7AEE37594DAC19B236692A2AB5</vt:lpwstr>
  </property>
</Properties>
</file>